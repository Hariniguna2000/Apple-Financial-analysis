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pavithragunasekaran/Documents/financial_project/Submission/"/>
    </mc:Choice>
  </mc:AlternateContent>
  <xr:revisionPtr revIDLastSave="0" documentId="13_ncr:1_{F7A9351E-2FAF-BF44-B645-296A0D8D04CA}" xr6:coauthVersionLast="47" xr6:coauthVersionMax="47" xr10:uidLastSave="{00000000-0000-0000-0000-000000000000}"/>
  <bookViews>
    <workbookView xWindow="0" yWindow="500" windowWidth="28800" windowHeight="16080" firstSheet="4" activeTab="9" xr2:uid="{00000000-000D-0000-FFFF-FFFF00000000}"/>
  </bookViews>
  <sheets>
    <sheet name="SP500_10Y_Prices" sheetId="1" r:id="rId1"/>
    <sheet name="AAPL_Dividends" sheetId="2" r:id="rId2"/>
    <sheet name="Risk_Free_Rate_DGS10" sheetId="3" r:id="rId3"/>
    <sheet name="AAPL_Info" sheetId="4" r:id="rId4"/>
    <sheet name="Cash Flow" sheetId="5" r:id="rId5"/>
    <sheet name="INCOME STATEMENT" sheetId="6" r:id="rId6"/>
    <sheet name="Balance Sheet" sheetId="7" r:id="rId7"/>
    <sheet name="Historical Data" sheetId="8" r:id="rId8"/>
    <sheet name="Regression data" sheetId="12" r:id="rId9"/>
    <sheet name="Ratio Analysis" sheetId="18" r:id="rId10"/>
    <sheet name="CAPM and Beta calulation" sheetId="9" r:id="rId11"/>
    <sheet name="Free Cash Flow" sheetId="17" r:id="rId12"/>
    <sheet name=" Valuation Using WACC" sheetId="14" r:id="rId13"/>
  </sheets>
  <definedNames>
    <definedName name="_xlnm._FilterDatabase" localSheetId="7" hidden="1">'Historical Data'!$A$1:$A$256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8" l="1"/>
  <c r="E19" i="18"/>
  <c r="F19" i="18"/>
  <c r="G19" i="18"/>
  <c r="D20" i="18"/>
  <c r="E20" i="18"/>
  <c r="F20" i="18"/>
  <c r="G20" i="18"/>
  <c r="D21" i="18"/>
  <c r="E21" i="18"/>
  <c r="F21" i="18"/>
  <c r="G21" i="18"/>
  <c r="D22" i="18"/>
  <c r="E22" i="18"/>
  <c r="F22" i="18"/>
  <c r="G22" i="18"/>
  <c r="D23" i="18"/>
  <c r="E23" i="18"/>
  <c r="F23" i="18"/>
  <c r="G23" i="18"/>
  <c r="D24" i="18"/>
  <c r="E24" i="18"/>
  <c r="F24" i="18"/>
  <c r="G24" i="18"/>
  <c r="D29" i="18"/>
  <c r="E29" i="18"/>
  <c r="F29" i="18"/>
  <c r="G29" i="18"/>
  <c r="D30" i="18"/>
  <c r="E30" i="18"/>
  <c r="F30" i="18"/>
  <c r="G30" i="18"/>
  <c r="D31" i="18"/>
  <c r="E31" i="18"/>
  <c r="F31" i="18"/>
  <c r="G31" i="18"/>
  <c r="D38" i="18"/>
  <c r="E38" i="18"/>
  <c r="F38" i="18"/>
  <c r="G38" i="18"/>
  <c r="D39" i="18"/>
  <c r="E39" i="18"/>
  <c r="F39" i="18"/>
  <c r="G39" i="18"/>
  <c r="D40" i="18"/>
  <c r="E40" i="18"/>
  <c r="F40" i="18"/>
  <c r="G40" i="18"/>
  <c r="E8" i="14"/>
  <c r="M2" i="9"/>
  <c r="E21" i="14"/>
  <c r="E20" i="14"/>
  <c r="E19" i="14"/>
  <c r="E18" i="14"/>
  <c r="B5" i="17"/>
  <c r="B4" i="17"/>
  <c r="B3" i="17"/>
  <c r="B2" i="17"/>
  <c r="D18" i="14"/>
  <c r="D19" i="14" s="1"/>
  <c r="H10" i="14"/>
  <c r="H17" i="6"/>
  <c r="B7" i="14"/>
  <c r="D3" i="9"/>
  <c r="D4" i="9"/>
  <c r="E4" i="9"/>
  <c r="E5" i="9"/>
  <c r="E6" i="9"/>
  <c r="E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84" i="9"/>
  <c r="E85" i="9"/>
  <c r="E86" i="9"/>
  <c r="E87" i="9"/>
  <c r="E88" i="9"/>
  <c r="E89" i="9"/>
  <c r="E90" i="9"/>
  <c r="E91" i="9"/>
  <c r="E92" i="9"/>
  <c r="E93" i="9"/>
  <c r="E94" i="9"/>
  <c r="E95" i="9"/>
  <c r="E96" i="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154" i="9"/>
  <c r="E155" i="9"/>
  <c r="E156" i="9"/>
  <c r="E157" i="9"/>
  <c r="E158" i="9"/>
  <c r="E159" i="9"/>
  <c r="E160" i="9"/>
  <c r="E161" i="9"/>
  <c r="E162" i="9"/>
  <c r="E163" i="9"/>
  <c r="E164" i="9"/>
  <c r="E165" i="9"/>
  <c r="E166" i="9"/>
  <c r="E167" i="9"/>
  <c r="E168" i="9"/>
  <c r="E169" i="9"/>
  <c r="E170" i="9"/>
  <c r="E171" i="9"/>
  <c r="E172" i="9"/>
  <c r="E173" i="9"/>
  <c r="E174" i="9"/>
  <c r="E175" i="9"/>
  <c r="E176" i="9"/>
  <c r="E177" i="9"/>
  <c r="E178" i="9"/>
  <c r="E179" i="9"/>
  <c r="E180" i="9"/>
  <c r="E181" i="9"/>
  <c r="E182" i="9"/>
  <c r="E183" i="9"/>
  <c r="E184" i="9"/>
  <c r="E185" i="9"/>
  <c r="E186" i="9"/>
  <c r="E187" i="9"/>
  <c r="E188" i="9"/>
  <c r="E189" i="9"/>
  <c r="E190" i="9"/>
  <c r="E191" i="9"/>
  <c r="E192" i="9"/>
  <c r="E193" i="9"/>
  <c r="E194" i="9"/>
  <c r="E195" i="9"/>
  <c r="E196" i="9"/>
  <c r="E197" i="9"/>
  <c r="E198" i="9"/>
  <c r="E199" i="9"/>
  <c r="E200" i="9"/>
  <c r="E201" i="9"/>
  <c r="E202" i="9"/>
  <c r="E203" i="9"/>
  <c r="E204" i="9"/>
  <c r="E205" i="9"/>
  <c r="E206" i="9"/>
  <c r="E207" i="9"/>
  <c r="E208" i="9"/>
  <c r="E209" i="9"/>
  <c r="E210" i="9"/>
  <c r="E211" i="9"/>
  <c r="E212" i="9"/>
  <c r="E213" i="9"/>
  <c r="E214" i="9"/>
  <c r="E215" i="9"/>
  <c r="E216" i="9"/>
  <c r="E217" i="9"/>
  <c r="E218" i="9"/>
  <c r="E219" i="9"/>
  <c r="E220" i="9"/>
  <c r="E221" i="9"/>
  <c r="E222" i="9"/>
  <c r="E223" i="9"/>
  <c r="E224" i="9"/>
  <c r="E225" i="9"/>
  <c r="E226" i="9"/>
  <c r="E227" i="9"/>
  <c r="E228" i="9"/>
  <c r="E229" i="9"/>
  <c r="E230" i="9"/>
  <c r="E231" i="9"/>
  <c r="E232" i="9"/>
  <c r="E233" i="9"/>
  <c r="E234" i="9"/>
  <c r="E235" i="9"/>
  <c r="E236" i="9"/>
  <c r="E237" i="9"/>
  <c r="E238" i="9"/>
  <c r="E239" i="9"/>
  <c r="E240" i="9"/>
  <c r="E241" i="9"/>
  <c r="E242" i="9"/>
  <c r="E243" i="9"/>
  <c r="E244" i="9"/>
  <c r="E245" i="9"/>
  <c r="E246" i="9"/>
  <c r="E247" i="9"/>
  <c r="E248" i="9"/>
  <c r="E249" i="9"/>
  <c r="E250" i="9"/>
  <c r="E251" i="9"/>
  <c r="E252" i="9"/>
  <c r="E3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40" i="9"/>
  <c r="D41" i="9"/>
  <c r="D42" i="9"/>
  <c r="D43" i="9"/>
  <c r="D44" i="9"/>
  <c r="D45" i="9"/>
  <c r="D46" i="9"/>
  <c r="D47" i="9"/>
  <c r="D48" i="9"/>
  <c r="D49" i="9"/>
  <c r="D50" i="9"/>
  <c r="D51" i="9"/>
  <c r="D52" i="9"/>
  <c r="D53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8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4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4" i="9"/>
  <c r="D115" i="9"/>
  <c r="D116" i="9"/>
  <c r="D117" i="9"/>
  <c r="D118" i="9"/>
  <c r="D119" i="9"/>
  <c r="D120" i="9"/>
  <c r="D121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3" i="9"/>
  <c r="D144" i="9"/>
  <c r="D145" i="9"/>
  <c r="D146" i="9"/>
  <c r="D147" i="9"/>
  <c r="D148" i="9"/>
  <c r="D149" i="9"/>
  <c r="D150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7" i="9"/>
  <c r="D168" i="9"/>
  <c r="D169" i="9"/>
  <c r="D170" i="9"/>
  <c r="D171" i="9"/>
  <c r="D172" i="9"/>
  <c r="D173" i="9"/>
  <c r="D174" i="9"/>
  <c r="D175" i="9"/>
  <c r="D176" i="9"/>
  <c r="D177" i="9"/>
  <c r="D178" i="9"/>
  <c r="D179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5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H7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2" i="2"/>
  <c r="B10" i="4"/>
  <c r="B9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" i="3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15" i="1"/>
  <c r="K16" i="1"/>
  <c r="K17" i="1"/>
  <c r="K18" i="1"/>
  <c r="K19" i="1"/>
  <c r="K20" i="1"/>
  <c r="K21" i="1"/>
  <c r="K4" i="1"/>
  <c r="K5" i="1"/>
  <c r="K6" i="1"/>
  <c r="K7" i="1"/>
  <c r="K8" i="1"/>
  <c r="K9" i="1"/>
  <c r="K10" i="1"/>
  <c r="K11" i="1"/>
  <c r="K12" i="1"/>
  <c r="K13" i="1"/>
  <c r="K14" i="1"/>
  <c r="K3" i="1"/>
  <c r="C12" i="14" l="1"/>
  <c r="F18" i="14"/>
  <c r="D2" i="3"/>
  <c r="M3" i="1"/>
  <c r="N3" i="1" s="1"/>
  <c r="D38" i="2"/>
  <c r="D4" i="2"/>
  <c r="G4" i="9"/>
  <c r="D20" i="14"/>
  <c r="F19" i="14"/>
  <c r="D2" i="2"/>
  <c r="D34" i="2"/>
  <c r="D26" i="2"/>
  <c r="D10" i="2"/>
  <c r="D41" i="2"/>
  <c r="D33" i="2"/>
  <c r="D25" i="2"/>
  <c r="D17" i="2"/>
  <c r="D9" i="2"/>
  <c r="D40" i="2"/>
  <c r="D32" i="2"/>
  <c r="D24" i="2"/>
  <c r="D16" i="2"/>
  <c r="D8" i="2"/>
  <c r="D39" i="2"/>
  <c r="D31" i="2"/>
  <c r="D23" i="2"/>
  <c r="D15" i="2"/>
  <c r="D7" i="2"/>
  <c r="D30" i="2"/>
  <c r="D22" i="2"/>
  <c r="D14" i="2"/>
  <c r="D6" i="2"/>
  <c r="D13" i="2"/>
  <c r="D37" i="2"/>
  <c r="D29" i="2"/>
  <c r="D21" i="2"/>
  <c r="D5" i="2"/>
  <c r="D28" i="2"/>
  <c r="D20" i="2"/>
  <c r="D19" i="2"/>
  <c r="D35" i="2"/>
  <c r="D27" i="2"/>
  <c r="D11" i="2"/>
  <c r="D18" i="2"/>
  <c r="C4" i="17"/>
  <c r="C3" i="17"/>
  <c r="C5" i="17"/>
  <c r="D36" i="2"/>
  <c r="D3" i="2"/>
  <c r="D12" i="2"/>
  <c r="E9" i="2" l="1"/>
  <c r="E5" i="2"/>
  <c r="E25" i="2"/>
  <c r="E33" i="2"/>
  <c r="E17" i="2"/>
  <c r="E41" i="2"/>
  <c r="E13" i="2"/>
  <c r="E29" i="2"/>
  <c r="E37" i="2"/>
  <c r="E21" i="2"/>
  <c r="F20" i="14"/>
  <c r="D21" i="14"/>
  <c r="F22" i="14" s="1"/>
  <c r="G6" i="2" l="1"/>
  <c r="F21" i="14"/>
  <c r="H18" i="14" s="1"/>
  <c r="J23" i="14" s="1"/>
</calcChain>
</file>

<file path=xl/sharedStrings.xml><?xml version="1.0" encoding="utf-8"?>
<sst xmlns="http://schemas.openxmlformats.org/spreadsheetml/2006/main" count="2740" uniqueCount="2291">
  <si>
    <t>Date</t>
  </si>
  <si>
    <t>Open</t>
  </si>
  <si>
    <t>High</t>
  </si>
  <si>
    <t>Low</t>
  </si>
  <si>
    <t>Close</t>
  </si>
  <si>
    <t>Adj Close</t>
  </si>
  <si>
    <t>Volume</t>
  </si>
  <si>
    <t>Dividends</t>
  </si>
  <si>
    <t>Stock Splits</t>
  </si>
  <si>
    <t>Dividend</t>
  </si>
  <si>
    <t>DATE</t>
  </si>
  <si>
    <t>DGS10</t>
  </si>
  <si>
    <t>Metric</t>
  </si>
  <si>
    <t>Value</t>
  </si>
  <si>
    <t>Shares Outstanding</t>
  </si>
  <si>
    <t>Current Price</t>
  </si>
  <si>
    <t>Market Cap</t>
  </si>
  <si>
    <t>Yahoo Beta</t>
  </si>
  <si>
    <t>Trailing P/E</t>
  </si>
  <si>
    <t>Daily Market Return</t>
  </si>
  <si>
    <t xml:space="preserve">Average Daily Market Return </t>
  </si>
  <si>
    <t>Annual Market Return(Rm)</t>
  </si>
  <si>
    <t>Risk Free Rate</t>
  </si>
  <si>
    <t>Average  Risk Free Rate(Rf)</t>
  </si>
  <si>
    <t>Implied Market Cap</t>
  </si>
  <si>
    <t>Implied Share Price</t>
  </si>
  <si>
    <t>CAPM</t>
  </si>
  <si>
    <t>Year</t>
  </si>
  <si>
    <t>Summary</t>
  </si>
  <si>
    <t>Dividend Growth %</t>
  </si>
  <si>
    <t>Average Dividend Growth</t>
  </si>
  <si>
    <t>Dividend Yield</t>
  </si>
  <si>
    <t>Latest_Annual_Dividend/Current Price</t>
  </si>
  <si>
    <t>title</t>
  </si>
  <si>
    <t>2025</t>
  </si>
  <si>
    <t>2024</t>
  </si>
  <si>
    <t>2023</t>
  </si>
  <si>
    <t>2022</t>
  </si>
  <si>
    <t>Operating Cash Flow</t>
  </si>
  <si>
    <t>111,482,000</t>
  </si>
  <si>
    <t>118,254,000</t>
  </si>
  <si>
    <t>110,543,000</t>
  </si>
  <si>
    <t>Cash Flow from Continuing Operating Activities</t>
  </si>
  <si>
    <t>Net Income from Continuing Operations</t>
  </si>
  <si>
    <t>112,010,000</t>
  </si>
  <si>
    <t>93,736,000</t>
  </si>
  <si>
    <t>96,995,000</t>
  </si>
  <si>
    <t>99,803,000</t>
  </si>
  <si>
    <t>Depreciation Amortization Depletion</t>
  </si>
  <si>
    <t>11,698,000</t>
  </si>
  <si>
    <t>11,445,000</t>
  </si>
  <si>
    <t>11,519,000</t>
  </si>
  <si>
    <t>11,104,000</t>
  </si>
  <si>
    <t>Depreciation &amp; amortization</t>
  </si>
  <si>
    <t>Deferred Tax</t>
  </si>
  <si>
    <t>--</t>
  </si>
  <si>
    <t>Deferred Income Tax</t>
  </si>
  <si>
    <t>Stock based compensation</t>
  </si>
  <si>
    <t>12,863,000</t>
  </si>
  <si>
    <t>11,688,000</t>
  </si>
  <si>
    <t>10,833,000</t>
  </si>
  <si>
    <t>Other non-cash items</t>
  </si>
  <si>
    <t>-89,000</t>
  </si>
  <si>
    <t>-2,266,000</t>
  </si>
  <si>
    <t>-2,227,000</t>
  </si>
  <si>
    <t>Change in working capital</t>
  </si>
  <si>
    <t>-25,000,000</t>
  </si>
  <si>
    <t>3,651,000</t>
  </si>
  <si>
    <t>-6,577,000</t>
  </si>
  <si>
    <t>Change in Receivables</t>
  </si>
  <si>
    <t>-7,029,000</t>
  </si>
  <si>
    <t>-5,144,000</t>
  </si>
  <si>
    <t>-417,000</t>
  </si>
  <si>
    <t>Changes in Account Receivables</t>
  </si>
  <si>
    <t>-6,682,000</t>
  </si>
  <si>
    <t>-3,788,000</t>
  </si>
  <si>
    <t>-1,688,000</t>
  </si>
  <si>
    <t>Change in Inventory</t>
  </si>
  <si>
    <t>1,400,000</t>
  </si>
  <si>
    <t>-1,046,000</t>
  </si>
  <si>
    <t>-1,618,000</t>
  </si>
  <si>
    <t>Change in Payables And Accrued Expense</t>
  </si>
  <si>
    <t>902,000</t>
  </si>
  <si>
    <t>6,020,000</t>
  </si>
  <si>
    <t>-1,889,000</t>
  </si>
  <si>
    <t>Change in Payable</t>
  </si>
  <si>
    <t>Change in Account Payable</t>
  </si>
  <si>
    <t>Change in Other Current Assets</t>
  </si>
  <si>
    <t>-9,197,000</t>
  </si>
  <si>
    <t>-11,731,000</t>
  </si>
  <si>
    <t>-5,684,000</t>
  </si>
  <si>
    <t>Change in Other Current Liabilities</t>
  </si>
  <si>
    <t>-11,076,000</t>
  </si>
  <si>
    <t>15,552,000</t>
  </si>
  <si>
    <t>3,031,000</t>
  </si>
  <si>
    <t>Change in Other Working Capital</t>
  </si>
  <si>
    <t>Investing Cash Flow</t>
  </si>
  <si>
    <t>15,195,000</t>
  </si>
  <si>
    <t>2,935,000</t>
  </si>
  <si>
    <t>3,705,000</t>
  </si>
  <si>
    <t>Cash Flow from Continuing Investing Activities</t>
  </si>
  <si>
    <t>Net PPE Purchase And Sale</t>
  </si>
  <si>
    <t>-12,715,000</t>
  </si>
  <si>
    <t>-9,447,000</t>
  </si>
  <si>
    <t>-10,959,000</t>
  </si>
  <si>
    <t>Purchase of PPE</t>
  </si>
  <si>
    <t>Net Business Purchase And Sale</t>
  </si>
  <si>
    <t>Purchase of Business</t>
  </si>
  <si>
    <t>Net Investment Purchase And Sale</t>
  </si>
  <si>
    <t>29,390,000</t>
  </si>
  <si>
    <t>13,690,000</t>
  </si>
  <si>
    <t>16,001,000</t>
  </si>
  <si>
    <t>Purchase of Investment</t>
  </si>
  <si>
    <t>-24,407,000</t>
  </si>
  <si>
    <t>-48,656,000</t>
  </si>
  <si>
    <t>-29,513,000</t>
  </si>
  <si>
    <t>Sale of Investment</t>
  </si>
  <si>
    <t>53,797,000</t>
  </si>
  <si>
    <t>62,346,000</t>
  </si>
  <si>
    <t>45,514,000</t>
  </si>
  <si>
    <t>Net Other Investing Changes</t>
  </si>
  <si>
    <t>-1,480,000</t>
  </si>
  <si>
    <t>-1,308,000</t>
  </si>
  <si>
    <t>-1,337,000</t>
  </si>
  <si>
    <t>Financing Cash Flow</t>
  </si>
  <si>
    <t>-120,686,000</t>
  </si>
  <si>
    <t>-121,983,000</t>
  </si>
  <si>
    <t>-108,488,000</t>
  </si>
  <si>
    <t>Cash Flow from Continuing Financing Activities</t>
  </si>
  <si>
    <t>Net Issuance Payments of Debt</t>
  </si>
  <si>
    <t>-8,483,000</t>
  </si>
  <si>
    <t>-5,998,000</t>
  </si>
  <si>
    <t>-9,901,000</t>
  </si>
  <si>
    <t>Net Long Term Debt Issuance</t>
  </si>
  <si>
    <t>-6,451,000</t>
  </si>
  <si>
    <t>-9,958,000</t>
  </si>
  <si>
    <t>-5,923,000</t>
  </si>
  <si>
    <t>Long Term Debt Issuance</t>
  </si>
  <si>
    <t>4,481,000</t>
  </si>
  <si>
    <t>0</t>
  </si>
  <si>
    <t>5,228,000</t>
  </si>
  <si>
    <t>Long Term Debt Payments</t>
  </si>
  <si>
    <t>-10,932,000</t>
  </si>
  <si>
    <t>-11,151,000</t>
  </si>
  <si>
    <t>Net Short Term Debt Issuance</t>
  </si>
  <si>
    <t>-2,032,000</t>
  </si>
  <si>
    <t>3,960,000</t>
  </si>
  <si>
    <t>-3,978,000</t>
  </si>
  <si>
    <t>Net Common Stock Issuance</t>
  </si>
  <si>
    <t>-90,711,000</t>
  </si>
  <si>
    <t>-94,949,000</t>
  </si>
  <si>
    <t>-77,550,000</t>
  </si>
  <si>
    <t>Common Stock Payments</t>
  </si>
  <si>
    <t>Cash Dividends Paid</t>
  </si>
  <si>
    <t>-15,421,000</t>
  </si>
  <si>
    <t>-15,234,000</t>
  </si>
  <si>
    <t>-15,025,000</t>
  </si>
  <si>
    <t>Common Stock Dividend Paid</t>
  </si>
  <si>
    <t>Net Other Financing Charges</t>
  </si>
  <si>
    <t>-6,071,000</t>
  </si>
  <si>
    <t>-5,802,000</t>
  </si>
  <si>
    <t>-6,012,000</t>
  </si>
  <si>
    <t>End Cash Position</t>
  </si>
  <si>
    <t>35,934,000</t>
  </si>
  <si>
    <t>29,943,000</t>
  </si>
  <si>
    <t>30,737,000</t>
  </si>
  <si>
    <t>24,977,000</t>
  </si>
  <si>
    <t>Changes in Cash</t>
  </si>
  <si>
    <t>5,991,000</t>
  </si>
  <si>
    <t>-794,000</t>
  </si>
  <si>
    <t>5,760,000</t>
  </si>
  <si>
    <t>Beginning Cash Position</t>
  </si>
  <si>
    <t>Income Tax Paid Supplemental Data</t>
  </si>
  <si>
    <t>43,369,000</t>
  </si>
  <si>
    <t>26,102,000</t>
  </si>
  <si>
    <t>18,679,000</t>
  </si>
  <si>
    <t>Interest Paid Supplemental Data</t>
  </si>
  <si>
    <t>3,803,000</t>
  </si>
  <si>
    <t>Capital Expenditure</t>
  </si>
  <si>
    <t>Issuance of Debt</t>
  </si>
  <si>
    <t>Repayment of Debt</t>
  </si>
  <si>
    <t>Repurchase of Capital Stock</t>
  </si>
  <si>
    <t>Free Cash Flow</t>
  </si>
  <si>
    <t>98,767,000</t>
  </si>
  <si>
    <t>108,807,000</t>
  </si>
  <si>
    <t>99,584,000</t>
  </si>
  <si>
    <t>FCF</t>
  </si>
  <si>
    <t>122151000</t>
  </si>
  <si>
    <t>Operating Cash Flow- Capital Expenditure</t>
  </si>
  <si>
    <t>Trend Analysis</t>
  </si>
  <si>
    <t>Total Revenue</t>
  </si>
  <si>
    <t>416,161,000</t>
  </si>
  <si>
    <t>391,035,000</t>
  </si>
  <si>
    <t>383,285,000</t>
  </si>
  <si>
    <t>394,328,000</t>
  </si>
  <si>
    <t>Operating Revenue</t>
  </si>
  <si>
    <t>Cost of Revenue</t>
  </si>
  <si>
    <t>220,960,000</t>
  </si>
  <si>
    <t>210,352,000</t>
  </si>
  <si>
    <t>214,137,000</t>
  </si>
  <si>
    <t>223,546,000</t>
  </si>
  <si>
    <t>Gross Profit</t>
  </si>
  <si>
    <t>195,201,000</t>
  </si>
  <si>
    <t>180,683,000</t>
  </si>
  <si>
    <t>169,148,000</t>
  </si>
  <si>
    <t>170,782,000</t>
  </si>
  <si>
    <t>Operating Expense</t>
  </si>
  <si>
    <t>62,151,000</t>
  </si>
  <si>
    <t>57,467,000</t>
  </si>
  <si>
    <t>54,847,000</t>
  </si>
  <si>
    <t>51,345,000</t>
  </si>
  <si>
    <t>Selling General and Administrative</t>
  </si>
  <si>
    <t>27,601,000</t>
  </si>
  <si>
    <t>26,097,000</t>
  </si>
  <si>
    <t>24,932,000</t>
  </si>
  <si>
    <t>25,094,000</t>
  </si>
  <si>
    <t>Research &amp; Development</t>
  </si>
  <si>
    <t>34,550,000</t>
  </si>
  <si>
    <t>31,370,000</t>
  </si>
  <si>
    <t>29,915,000</t>
  </si>
  <si>
    <t>26,251,000</t>
  </si>
  <si>
    <t>Operating Income</t>
  </si>
  <si>
    <t>133,050,000</t>
  </si>
  <si>
    <t>123,216,000</t>
  </si>
  <si>
    <t>114,301,000</t>
  </si>
  <si>
    <t>119,437,000</t>
  </si>
  <si>
    <t>Net Non Operating Interest Income Expense</t>
  </si>
  <si>
    <t>-183,000</t>
  </si>
  <si>
    <t>-106,000</t>
  </si>
  <si>
    <t>Interest Income Non Operating</t>
  </si>
  <si>
    <t>3,750,000</t>
  </si>
  <si>
    <t>2,825,000</t>
  </si>
  <si>
    <t>Interest Expense Non Operating</t>
  </si>
  <si>
    <t>3,933,000</t>
  </si>
  <si>
    <t>2,931,000</t>
  </si>
  <si>
    <t>Other Income Expense</t>
  </si>
  <si>
    <t>-321,000</t>
  </si>
  <si>
    <t>269,000</t>
  </si>
  <si>
    <t>-565,000</t>
  </si>
  <si>
    <t>-334,000</t>
  </si>
  <si>
    <t>Other Non Operating Income Expenses</t>
  </si>
  <si>
    <t>Pretax Income</t>
  </si>
  <si>
    <t>132,729,000</t>
  </si>
  <si>
    <t>123,485,000</t>
  </si>
  <si>
    <t>113,736,000</t>
  </si>
  <si>
    <t>119,103,000</t>
  </si>
  <si>
    <t>Tax Provision</t>
  </si>
  <si>
    <t>20,719,000</t>
  </si>
  <si>
    <t>29,749,000</t>
  </si>
  <si>
    <t>16,741,000</t>
  </si>
  <si>
    <t>19,300,000</t>
  </si>
  <si>
    <t>Net Income Common Stockholders</t>
  </si>
  <si>
    <t>Net Income</t>
  </si>
  <si>
    <t>Net Income Including Non-Controlling Interests</t>
  </si>
  <si>
    <t>Net Income Continuous Operations</t>
  </si>
  <si>
    <t>Diluted NI Available to Com Stockholders</t>
  </si>
  <si>
    <t>Basic EPS</t>
  </si>
  <si>
    <t>7.49</t>
  </si>
  <si>
    <t>6.11</t>
  </si>
  <si>
    <t>6.16</t>
  </si>
  <si>
    <t>6.15</t>
  </si>
  <si>
    <t>Diluted EPS</t>
  </si>
  <si>
    <t>7.46</t>
  </si>
  <si>
    <t>6.08</t>
  </si>
  <si>
    <t>6.13</t>
  </si>
  <si>
    <t>Basic Average Shares</t>
  </si>
  <si>
    <t>14,948,500</t>
  </si>
  <si>
    <t>15,343,783</t>
  </si>
  <si>
    <t>15,744,231</t>
  </si>
  <si>
    <t>16,215,963</t>
  </si>
  <si>
    <t>Diluted Average Shares</t>
  </si>
  <si>
    <t>15,004,697</t>
  </si>
  <si>
    <t>15,408,095</t>
  </si>
  <si>
    <t>15,812,547</t>
  </si>
  <si>
    <t>16,325,819</t>
  </si>
  <si>
    <t>Total Operating Income as Reported</t>
  </si>
  <si>
    <t>Total Expenses</t>
  </si>
  <si>
    <t>283,111,000</t>
  </si>
  <si>
    <t>267,819,000</t>
  </si>
  <si>
    <t>268,984,000</t>
  </si>
  <si>
    <t>274,891,000</t>
  </si>
  <si>
    <t>Net Income from Continuing &amp; Discontinued Operation</t>
  </si>
  <si>
    <t>Normalized Income</t>
  </si>
  <si>
    <t>Interest Income</t>
  </si>
  <si>
    <t>Interest Expense</t>
  </si>
  <si>
    <t>Net Interest Income</t>
  </si>
  <si>
    <t>EBIT</t>
  </si>
  <si>
    <t>EBITDA</t>
  </si>
  <si>
    <t>144,748,000</t>
  </si>
  <si>
    <t>134,661,000</t>
  </si>
  <si>
    <t>125,820,000</t>
  </si>
  <si>
    <t>130,541,000</t>
  </si>
  <si>
    <t>Reconciled Cost of Revenue</t>
  </si>
  <si>
    <t>Reconciled Depreciation</t>
  </si>
  <si>
    <t>Net Income from Continuing Operation Net Minority Interest</t>
  </si>
  <si>
    <t>Normalized EBITDA</t>
  </si>
  <si>
    <t>Tax Rate for Calcs</t>
  </si>
  <si>
    <t>Tax Effect of Unusual Items</t>
  </si>
  <si>
    <t>Total Assets</t>
  </si>
  <si>
    <t>359,241,000</t>
  </si>
  <si>
    <t>364,980,000</t>
  </si>
  <si>
    <t>352,583,000</t>
  </si>
  <si>
    <t>352,755,000</t>
  </si>
  <si>
    <t>Current Assets</t>
  </si>
  <si>
    <t>147,957,000</t>
  </si>
  <si>
    <t>152,987,000</t>
  </si>
  <si>
    <t>143,566,000</t>
  </si>
  <si>
    <t>135,405,000</t>
  </si>
  <si>
    <t>Cash, Cash Equivalents &amp; Short Term Investments</t>
  </si>
  <si>
    <t>54,697,000</t>
  </si>
  <si>
    <t>65,171,000</t>
  </si>
  <si>
    <t>61,555,000</t>
  </si>
  <si>
    <t>48,304,000</t>
  </si>
  <si>
    <t>Cash And Cash Equivalents</t>
  </si>
  <si>
    <t>29,965,000</t>
  </si>
  <si>
    <t>23,646,000</t>
  </si>
  <si>
    <t>Cash</t>
  </si>
  <si>
    <t>28,267,000</t>
  </si>
  <si>
    <t>27,199,000</t>
  </si>
  <si>
    <t>28,359,000</t>
  </si>
  <si>
    <t>18,546,000</t>
  </si>
  <si>
    <t>Cash Equivalents</t>
  </si>
  <si>
    <t>7,667,000</t>
  </si>
  <si>
    <t>2,744,000</t>
  </si>
  <si>
    <t>1,606,000</t>
  </si>
  <si>
    <t>5,100,000</t>
  </si>
  <si>
    <t>Other Short Term Investments</t>
  </si>
  <si>
    <t>18,763,000</t>
  </si>
  <si>
    <t>35,228,000</t>
  </si>
  <si>
    <t>31,590,000</t>
  </si>
  <si>
    <t>24,658,000</t>
  </si>
  <si>
    <t>Receivables</t>
  </si>
  <si>
    <t>72,957,000</t>
  </si>
  <si>
    <t>66,243,000</t>
  </si>
  <si>
    <t>60,985,000</t>
  </si>
  <si>
    <t>60,932,000</t>
  </si>
  <si>
    <t>Accounts receivable</t>
  </si>
  <si>
    <t>39,777,000</t>
  </si>
  <si>
    <t>33,410,000</t>
  </si>
  <si>
    <t>29,508,000</t>
  </si>
  <si>
    <t>28,184,000</t>
  </si>
  <si>
    <t>Other Receivables</t>
  </si>
  <si>
    <t>33,180,000</t>
  </si>
  <si>
    <t>32,833,000</t>
  </si>
  <si>
    <t>31,477,000</t>
  </si>
  <si>
    <t>32,748,000</t>
  </si>
  <si>
    <t>Inventory</t>
  </si>
  <si>
    <t>5,718,000</t>
  </si>
  <si>
    <t>7,286,000</t>
  </si>
  <si>
    <t>6,331,000</t>
  </si>
  <si>
    <t>4,946,000</t>
  </si>
  <si>
    <t>Other Current Assets</t>
  </si>
  <si>
    <t>14,585,000</t>
  </si>
  <si>
    <t>14,287,000</t>
  </si>
  <si>
    <t>14,695,000</t>
  </si>
  <si>
    <t>21,223,000</t>
  </si>
  <si>
    <t>Total non-current assets</t>
  </si>
  <si>
    <t>211,284,000</t>
  </si>
  <si>
    <t>211,993,000</t>
  </si>
  <si>
    <t>209,017,000</t>
  </si>
  <si>
    <t>217,350,000</t>
  </si>
  <si>
    <t>Net PPE</t>
  </si>
  <si>
    <t>49,834,000</t>
  </si>
  <si>
    <t>45,680,000</t>
  </si>
  <si>
    <t>43,715,000</t>
  </si>
  <si>
    <t>42,117,000</t>
  </si>
  <si>
    <t>Gross PPE</t>
  </si>
  <si>
    <t>125,848,000</t>
  </si>
  <si>
    <t>119,128,000</t>
  </si>
  <si>
    <t>114,599,000</t>
  </si>
  <si>
    <t>114,457,000</t>
  </si>
  <si>
    <t>Properties</t>
  </si>
  <si>
    <t>Land And Improvements</t>
  </si>
  <si>
    <t>27,337,000</t>
  </si>
  <si>
    <t>24,690,000</t>
  </si>
  <si>
    <t>23,446,000</t>
  </si>
  <si>
    <t>22,126,000</t>
  </si>
  <si>
    <t>Machinery Furniture Equipment</t>
  </si>
  <si>
    <t>83,420,000</t>
  </si>
  <si>
    <t>80,205,000</t>
  </si>
  <si>
    <t>78,314,000</t>
  </si>
  <si>
    <t>81,060,000</t>
  </si>
  <si>
    <t>Other Properties</t>
  </si>
  <si>
    <t>10,661,000</t>
  </si>
  <si>
    <t>10,417,000</t>
  </si>
  <si>
    <t>Leases</t>
  </si>
  <si>
    <t>15,091,000</t>
  </si>
  <si>
    <t>14,233,000</t>
  </si>
  <si>
    <t>12,839,000</t>
  </si>
  <si>
    <t>11,271,000</t>
  </si>
  <si>
    <t>Accumulated Depreciation</t>
  </si>
  <si>
    <t>-76,014,000</t>
  </si>
  <si>
    <t>-73,448,000</t>
  </si>
  <si>
    <t>-70,884,000</t>
  </si>
  <si>
    <t>-72,340,000</t>
  </si>
  <si>
    <t>Investments And Advances</t>
  </si>
  <si>
    <t>77,723,000</t>
  </si>
  <si>
    <t>91,479,000</t>
  </si>
  <si>
    <t>100,544,000</t>
  </si>
  <si>
    <t>120,805,000</t>
  </si>
  <si>
    <t>Investment in Financial Assets</t>
  </si>
  <si>
    <t>Available for Sale Securities</t>
  </si>
  <si>
    <t>Other Investments</t>
  </si>
  <si>
    <t>Non Current Deferred Assets</t>
  </si>
  <si>
    <t>20,777,000</t>
  </si>
  <si>
    <t>19,499,000</t>
  </si>
  <si>
    <t>17,852,000</t>
  </si>
  <si>
    <t>15,375,000</t>
  </si>
  <si>
    <t>Non Current Deferred Taxes Assets</t>
  </si>
  <si>
    <t>Other Non Current Assets</t>
  </si>
  <si>
    <t>62,950,000</t>
  </si>
  <si>
    <t>55,335,000</t>
  </si>
  <si>
    <t>46,906,000</t>
  </si>
  <si>
    <t>39,053,000</t>
  </si>
  <si>
    <t>Total Liabilities Net Minority Interest</t>
  </si>
  <si>
    <t>285,508,000</t>
  </si>
  <si>
    <t>308,030,000</t>
  </si>
  <si>
    <t>290,437,000</t>
  </si>
  <si>
    <t>302,083,000</t>
  </si>
  <si>
    <t>Current Liabilities</t>
  </si>
  <si>
    <t>165,631,000</t>
  </si>
  <si>
    <t>176,392,000</t>
  </si>
  <si>
    <t>145,308,000</t>
  </si>
  <si>
    <t>153,982,000</t>
  </si>
  <si>
    <t>Payables And Accrued Expenses</t>
  </si>
  <si>
    <t>91,795,000</t>
  </si>
  <si>
    <t>103,240,000</t>
  </si>
  <si>
    <t>71,430,000</t>
  </si>
  <si>
    <t>70,667,000</t>
  </si>
  <si>
    <t>Payables</t>
  </si>
  <si>
    <t>82,876,000</t>
  </si>
  <si>
    <t>95,561,000</t>
  </si>
  <si>
    <t>Accounts Payable</t>
  </si>
  <si>
    <t>69,860,000</t>
  </si>
  <si>
    <t>68,960,000</t>
  </si>
  <si>
    <t>62,611,000</t>
  </si>
  <si>
    <t>64,115,000</t>
  </si>
  <si>
    <t>Total Tax Payable</t>
  </si>
  <si>
    <t>13,016,000</t>
  </si>
  <si>
    <t>26,601,000</t>
  </si>
  <si>
    <t>8,819,000</t>
  </si>
  <si>
    <t>6,552,000</t>
  </si>
  <si>
    <t>Income Tax Payable</t>
  </si>
  <si>
    <t>Current Accrued Expenses</t>
  </si>
  <si>
    <t>8,919,000</t>
  </si>
  <si>
    <t>Current Debt And Capital Lease Obligation</t>
  </si>
  <si>
    <t>20,329,000</t>
  </si>
  <si>
    <t>20,879,000</t>
  </si>
  <si>
    <t>15,807,000</t>
  </si>
  <si>
    <t>22,773,000</t>
  </si>
  <si>
    <t>Current Debt</t>
  </si>
  <si>
    <t>21,110,000</t>
  </si>
  <si>
    <t>Commercial Paper</t>
  </si>
  <si>
    <t>7,979,000</t>
  </si>
  <si>
    <t>9,967,000</t>
  </si>
  <si>
    <t>5,985,000</t>
  </si>
  <si>
    <t>9,982,000</t>
  </si>
  <si>
    <t>Other Current Borrowings</t>
  </si>
  <si>
    <t>12,350,000</t>
  </si>
  <si>
    <t>10,912,000</t>
  </si>
  <si>
    <t>9,822,000</t>
  </si>
  <si>
    <t>11,128,000</t>
  </si>
  <si>
    <t>Current Capital Lease Obligation</t>
  </si>
  <si>
    <t>1,575,000</t>
  </si>
  <si>
    <t>1,663,000</t>
  </si>
  <si>
    <t>Current Deferred Liabilities</t>
  </si>
  <si>
    <t>9,055,000</t>
  </si>
  <si>
    <t>8,249,000</t>
  </si>
  <si>
    <t>8,061,000</t>
  </si>
  <si>
    <t>7,912,000</t>
  </si>
  <si>
    <t>Current Deferred Revenue</t>
  </si>
  <si>
    <t>Other Current Liabilities</t>
  </si>
  <si>
    <t>44,452,000</t>
  </si>
  <si>
    <t>44,024,000</t>
  </si>
  <si>
    <t>50,010,000</t>
  </si>
  <si>
    <t>52,630,000</t>
  </si>
  <si>
    <t>Total Non Current Liabilities Net Minority Interest</t>
  </si>
  <si>
    <t>119,877,000</t>
  </si>
  <si>
    <t>131,638,000</t>
  </si>
  <si>
    <t>145,129,000</t>
  </si>
  <si>
    <t>148,101,000</t>
  </si>
  <si>
    <t>Long Term Debt And Capital Lease Obligation</t>
  </si>
  <si>
    <t>78,328,000</t>
  </si>
  <si>
    <t>85,750,000</t>
  </si>
  <si>
    <t>95,281,000</t>
  </si>
  <si>
    <t>109,707,000</t>
  </si>
  <si>
    <t>Long Term Debt</t>
  </si>
  <si>
    <t>98,959,000</t>
  </si>
  <si>
    <t>Long Term Capital Lease Obligation</t>
  </si>
  <si>
    <t>11,267,000</t>
  </si>
  <si>
    <t>10,748,000</t>
  </si>
  <si>
    <t>Tradeand Other Payables Non Current</t>
  </si>
  <si>
    <t>9,254,000</t>
  </si>
  <si>
    <t>15,457,000</t>
  </si>
  <si>
    <t>16,657,000</t>
  </si>
  <si>
    <t>Other Non Current Liabilities</t>
  </si>
  <si>
    <t>41,549,000</t>
  </si>
  <si>
    <t>45,888,000</t>
  </si>
  <si>
    <t>34,391,000</t>
  </si>
  <si>
    <t>21,737,000</t>
  </si>
  <si>
    <t>Total Equity Gross Minority Interest</t>
  </si>
  <si>
    <t>73,733,000</t>
  </si>
  <si>
    <t>56,950,000</t>
  </si>
  <si>
    <t>62,146,000</t>
  </si>
  <si>
    <t>50,672,000</t>
  </si>
  <si>
    <t>Stockholders' Equity</t>
  </si>
  <si>
    <t>Capital Stock</t>
  </si>
  <si>
    <t>93,568,000</t>
  </si>
  <si>
    <t>83,276,000</t>
  </si>
  <si>
    <t>73,812,000</t>
  </si>
  <si>
    <t>64,849,000</t>
  </si>
  <si>
    <t>Common Stock</t>
  </si>
  <si>
    <t>Retained Earnings</t>
  </si>
  <si>
    <t>-14,264,000</t>
  </si>
  <si>
    <t>-19,154,000</t>
  </si>
  <si>
    <t>-214,000</t>
  </si>
  <si>
    <t>-3,068,000</t>
  </si>
  <si>
    <t>Gains Losses Not Affecting Retained Earnings</t>
  </si>
  <si>
    <t>-5,571,000</t>
  </si>
  <si>
    <t>-7,172,000</t>
  </si>
  <si>
    <t>-11,452,000</t>
  </si>
  <si>
    <t>-11,109,000</t>
  </si>
  <si>
    <t>Other Equity Adjustments</t>
  </si>
  <si>
    <t>Total Capitalization</t>
  </si>
  <si>
    <t>152,061,000</t>
  </si>
  <si>
    <t>142,700,000</t>
  </si>
  <si>
    <t>157,427,000</t>
  </si>
  <si>
    <t>149,631,000</t>
  </si>
  <si>
    <t>Common Stock Equity</t>
  </si>
  <si>
    <t>Capital Lease Obligations</t>
  </si>
  <si>
    <t>12,842,000</t>
  </si>
  <si>
    <t>12,411,000</t>
  </si>
  <si>
    <t>Net Tangible Assets</t>
  </si>
  <si>
    <t>Working Capital</t>
  </si>
  <si>
    <t>-17,674,000</t>
  </si>
  <si>
    <t>-23,405,000</t>
  </si>
  <si>
    <t>-1,742,000</t>
  </si>
  <si>
    <t>-18,577,000</t>
  </si>
  <si>
    <t>Invested Capital</t>
  </si>
  <si>
    <t>172,390,000</t>
  </si>
  <si>
    <t>163,579,000</t>
  </si>
  <si>
    <t>173,234,000</t>
  </si>
  <si>
    <t>170,741,000</t>
  </si>
  <si>
    <t>Tangible Book Value</t>
  </si>
  <si>
    <t>Total Debt</t>
  </si>
  <si>
    <t>98,657,000</t>
  </si>
  <si>
    <t>106,629,000</t>
  </si>
  <si>
    <t>111,088,000</t>
  </si>
  <si>
    <t>132,480,000</t>
  </si>
  <si>
    <t>Net Debt</t>
  </si>
  <si>
    <t>62,723,000</t>
  </si>
  <si>
    <t>76,686,000</t>
  </si>
  <si>
    <t>81,123,000</t>
  </si>
  <si>
    <t>96,423,000</t>
  </si>
  <si>
    <t>Share Issued</t>
  </si>
  <si>
    <t>14,773,260</t>
  </si>
  <si>
    <t>15,116,786</t>
  </si>
  <si>
    <t>15,550,061</t>
  </si>
  <si>
    <t>15,943,425</t>
  </si>
  <si>
    <t>Ordinary Shares Number</t>
  </si>
  <si>
    <t>Treasury Shares Number</t>
  </si>
  <si>
    <t>date</t>
  </si>
  <si>
    <t>open</t>
  </si>
  <si>
    <t>high</t>
  </si>
  <si>
    <t>low</t>
  </si>
  <si>
    <t>close_close_price_adjusted_for_splits</t>
  </si>
  <si>
    <t>adj_close_adjusted_close_price_adjusted_for_splits_and_dividend_andor_capital_gain_distributions</t>
  </si>
  <si>
    <t>volume</t>
  </si>
  <si>
    <t>Apr 2, 2026</t>
  </si>
  <si>
    <t>254.14</t>
  </si>
  <si>
    <t>256.13</t>
  </si>
  <si>
    <t>250.65</t>
  </si>
  <si>
    <t>255.92</t>
  </si>
  <si>
    <t>26,686,584</t>
  </si>
  <si>
    <t>Apr 1, 2026</t>
  </si>
  <si>
    <t>254.08</t>
  </si>
  <si>
    <t>256.18</t>
  </si>
  <si>
    <t>253.33</t>
  </si>
  <si>
    <t>255.63</t>
  </si>
  <si>
    <t>40,059,400</t>
  </si>
  <si>
    <t>Mar 31, 2026</t>
  </si>
  <si>
    <t>247.91</t>
  </si>
  <si>
    <t>255.48</t>
  </si>
  <si>
    <t>247.10</t>
  </si>
  <si>
    <t>253.79</t>
  </si>
  <si>
    <t>49,598,100</t>
  </si>
  <si>
    <t>Mar 30, 2026</t>
  </si>
  <si>
    <t>250.07</t>
  </si>
  <si>
    <t>250.87</t>
  </si>
  <si>
    <t>245.51</t>
  </si>
  <si>
    <t>246.63</t>
  </si>
  <si>
    <t>39,446,200</t>
  </si>
  <si>
    <t>Mar 27, 2026</t>
  </si>
  <si>
    <t>253.90</t>
  </si>
  <si>
    <t>255.49</t>
  </si>
  <si>
    <t>248.07</t>
  </si>
  <si>
    <t>248.80</t>
  </si>
  <si>
    <t>47,900,000</t>
  </si>
  <si>
    <t>Mar 26, 2026</t>
  </si>
  <si>
    <t>252.12</t>
  </si>
  <si>
    <t>257.00</t>
  </si>
  <si>
    <t>250.77</t>
  </si>
  <si>
    <t>252.89</t>
  </si>
  <si>
    <t>41,796,700</t>
  </si>
  <si>
    <t>Mar 25, 2026</t>
  </si>
  <si>
    <t>254.10</t>
  </si>
  <si>
    <t>255.00</t>
  </si>
  <si>
    <t>251.60</t>
  </si>
  <si>
    <t>252.62</t>
  </si>
  <si>
    <t>28,476,700</t>
  </si>
  <si>
    <t>Mar 24, 2026</t>
  </si>
  <si>
    <t>250.35</t>
  </si>
  <si>
    <t>254.83</t>
  </si>
  <si>
    <t>249.55</t>
  </si>
  <si>
    <t>251.64</t>
  </si>
  <si>
    <t>45,152,300</t>
  </si>
  <si>
    <t>Mar 23, 2026</t>
  </si>
  <si>
    <t>253.97</t>
  </si>
  <si>
    <t>254.60</t>
  </si>
  <si>
    <t>250.28</t>
  </si>
  <si>
    <t>251.49</t>
  </si>
  <si>
    <t>40,546,100</t>
  </si>
  <si>
    <t>Mar 20, 2026</t>
  </si>
  <si>
    <t>247.98</t>
  </si>
  <si>
    <t>249.20</t>
  </si>
  <si>
    <t>246.00</t>
  </si>
  <si>
    <t>247.99</t>
  </si>
  <si>
    <t>88,331,100</t>
  </si>
  <si>
    <t>Mar 19, 2026</t>
  </si>
  <si>
    <t>249.40</t>
  </si>
  <si>
    <t>251.83</t>
  </si>
  <si>
    <t>247.30</t>
  </si>
  <si>
    <t>248.96</t>
  </si>
  <si>
    <t>34,864,100</t>
  </si>
  <si>
    <t>Mar 18, 2026</t>
  </si>
  <si>
    <t>252.63</t>
  </si>
  <si>
    <t>254.94</t>
  </si>
  <si>
    <t>249.00</t>
  </si>
  <si>
    <t>249.94</t>
  </si>
  <si>
    <t>35,757,900</t>
  </si>
  <si>
    <t>Mar 17, 2026</t>
  </si>
  <si>
    <t>252.96</t>
  </si>
  <si>
    <t>255.13</t>
  </si>
  <si>
    <t>252.18</t>
  </si>
  <si>
    <t>254.23</t>
  </si>
  <si>
    <t>32,361,600</t>
  </si>
  <si>
    <t>Mar 16, 2026</t>
  </si>
  <si>
    <t>252.11</t>
  </si>
  <si>
    <t>253.89</t>
  </si>
  <si>
    <t>249.88</t>
  </si>
  <si>
    <t>252.82</t>
  </si>
  <si>
    <t>32,074,200</t>
  </si>
  <si>
    <t>Mar 13, 2026</t>
  </si>
  <si>
    <t>256.33</t>
  </si>
  <si>
    <t>249.52</t>
  </si>
  <si>
    <t>250.12</t>
  </si>
  <si>
    <t>36,930,000</t>
  </si>
  <si>
    <t>Mar 12, 2026</t>
  </si>
  <si>
    <t>258.66</t>
  </si>
  <si>
    <t>258.95</t>
  </si>
  <si>
    <t>254.18</t>
  </si>
  <si>
    <t>255.76</t>
  </si>
  <si>
    <t>40,794,000</t>
  </si>
  <si>
    <t>Mar 11, 2026</t>
  </si>
  <si>
    <t>261.09</t>
  </si>
  <si>
    <t>262.13</t>
  </si>
  <si>
    <t>259.55</t>
  </si>
  <si>
    <t>260.81</t>
  </si>
  <si>
    <t>26,218,900</t>
  </si>
  <si>
    <t>Mar 10, 2026</t>
  </si>
  <si>
    <t>257.65</t>
  </si>
  <si>
    <t>262.48</t>
  </si>
  <si>
    <t>256.95</t>
  </si>
  <si>
    <t>260.83</t>
  </si>
  <si>
    <t>30,590,800</t>
  </si>
  <si>
    <t>Mar 9, 2026</t>
  </si>
  <si>
    <t>255.69</t>
  </si>
  <si>
    <t>261.15</t>
  </si>
  <si>
    <t>253.68</t>
  </si>
  <si>
    <t>259.88</t>
  </si>
  <si>
    <t>38,218,500</t>
  </si>
  <si>
    <t>Mar 6, 2026</t>
  </si>
  <si>
    <t>258.63</t>
  </si>
  <si>
    <t>258.77</t>
  </si>
  <si>
    <t>254.37</t>
  </si>
  <si>
    <t>257.46</t>
  </si>
  <si>
    <t>41,120,000</t>
  </si>
  <si>
    <t>Mar 5, 2026</t>
  </si>
  <si>
    <t>260.79</t>
  </si>
  <si>
    <t>261.56</t>
  </si>
  <si>
    <t>257.25</t>
  </si>
  <si>
    <t>260.29</t>
  </si>
  <si>
    <t>49,658,600</t>
  </si>
  <si>
    <t>Mar 4, 2026</t>
  </si>
  <si>
    <t>264.65</t>
  </si>
  <si>
    <t>266.15</t>
  </si>
  <si>
    <t>261.42</t>
  </si>
  <si>
    <t>262.52</t>
  </si>
  <si>
    <t>39,803,100</t>
  </si>
  <si>
    <t>Mar 3, 2026</t>
  </si>
  <si>
    <t>263.48</t>
  </si>
  <si>
    <t>265.56</t>
  </si>
  <si>
    <t>260.13</t>
  </si>
  <si>
    <t>263.75</t>
  </si>
  <si>
    <t>38,568,900</t>
  </si>
  <si>
    <t>Mar 2, 2026</t>
  </si>
  <si>
    <t>262.41</t>
  </si>
  <si>
    <t>266.53</t>
  </si>
  <si>
    <t>260.20</t>
  </si>
  <si>
    <t>264.72</t>
  </si>
  <si>
    <t>41,827,900</t>
  </si>
  <si>
    <t>Feb 27, 2026</t>
  </si>
  <si>
    <t>272.81</t>
  </si>
  <si>
    <t>262.89</t>
  </si>
  <si>
    <t>264.18</t>
  </si>
  <si>
    <t>72,366,500</t>
  </si>
  <si>
    <t>Feb 26, 2026</t>
  </si>
  <si>
    <t>274.95</t>
  </si>
  <si>
    <t>276.11</t>
  </si>
  <si>
    <t>270.80</t>
  </si>
  <si>
    <t>272.95</t>
  </si>
  <si>
    <t>32,345,100</t>
  </si>
  <si>
    <t>Feb 25, 2026</t>
  </si>
  <si>
    <t>271.78</t>
  </si>
  <si>
    <t>274.94</t>
  </si>
  <si>
    <t>271.05</t>
  </si>
  <si>
    <t>274.23</t>
  </si>
  <si>
    <t>33,714,300</t>
  </si>
  <si>
    <t>Feb 24, 2026</t>
  </si>
  <si>
    <t>267.86</t>
  </si>
  <si>
    <t>274.89</t>
  </si>
  <si>
    <t>267.71</t>
  </si>
  <si>
    <t>272.14</t>
  </si>
  <si>
    <t>47,014,600</t>
  </si>
  <si>
    <t>Feb 23, 2026</t>
  </si>
  <si>
    <t>263.49</t>
  </si>
  <si>
    <t>269.43</t>
  </si>
  <si>
    <t>263.38</t>
  </si>
  <si>
    <t>266.18</t>
  </si>
  <si>
    <t>37,308,200</t>
  </si>
  <si>
    <t>Feb 20, 2026</t>
  </si>
  <si>
    <t>258.97</t>
  </si>
  <si>
    <t>264.75</t>
  </si>
  <si>
    <t>258.16</t>
  </si>
  <si>
    <t>264.58</t>
  </si>
  <si>
    <t>42,070,500</t>
  </si>
  <si>
    <t>Feb 19, 2026</t>
  </si>
  <si>
    <t>262.60</t>
  </si>
  <si>
    <t>264.48</t>
  </si>
  <si>
    <t>260.05</t>
  </si>
  <si>
    <t>260.58</t>
  </si>
  <si>
    <t>30,845,300</t>
  </si>
  <si>
    <t>Feb 18, 2026</t>
  </si>
  <si>
    <t>263.60</t>
  </si>
  <si>
    <t>266.82</t>
  </si>
  <si>
    <t>262.45</t>
  </si>
  <si>
    <t>264.35</t>
  </si>
  <si>
    <t>34,203,300</t>
  </si>
  <si>
    <t>Feb 17, 2026</t>
  </si>
  <si>
    <t>258.05</t>
  </si>
  <si>
    <t>266.29</t>
  </si>
  <si>
    <t>255.54</t>
  </si>
  <si>
    <t>263.88</t>
  </si>
  <si>
    <t>58,469,100</t>
  </si>
  <si>
    <t>Feb 13, 2026</t>
  </si>
  <si>
    <t>262.01</t>
  </si>
  <si>
    <t>262.23</t>
  </si>
  <si>
    <t>255.45</t>
  </si>
  <si>
    <t>255.78</t>
  </si>
  <si>
    <t>56,290,700</t>
  </si>
  <si>
    <t>Feb 12, 2026</t>
  </si>
  <si>
    <t>275.59</t>
  </si>
  <si>
    <t>275.72</t>
  </si>
  <si>
    <t>260.18</t>
  </si>
  <si>
    <t>261.73</t>
  </si>
  <si>
    <t>81,077,200</t>
  </si>
  <si>
    <t>Feb 11, 2026</t>
  </si>
  <si>
    <t>274.70</t>
  </si>
  <si>
    <t>280.18</t>
  </si>
  <si>
    <t>274.45</t>
  </si>
  <si>
    <t>275.50</t>
  </si>
  <si>
    <t>51,931,300</t>
  </si>
  <si>
    <t>Feb 10, 2026</t>
  </si>
  <si>
    <t>275.37</t>
  </si>
  <si>
    <t>272.94</t>
  </si>
  <si>
    <t>273.68</t>
  </si>
  <si>
    <t>34,376,900</t>
  </si>
  <si>
    <t>Feb 9, 2026</t>
  </si>
  <si>
    <t>0.26 Dividend     Dividends on any given ex-date include regular and any special dividends</t>
  </si>
  <si>
    <t/>
  </si>
  <si>
    <t>277.91</t>
  </si>
  <si>
    <t>278.20</t>
  </si>
  <si>
    <t>271.70</t>
  </si>
  <si>
    <t>274.62</t>
  </si>
  <si>
    <t>44,623,400</t>
  </si>
  <si>
    <t>Feb 6, 2026</t>
  </si>
  <si>
    <t>277.12</t>
  </si>
  <si>
    <t>280.91</t>
  </si>
  <si>
    <t>276.93</t>
  </si>
  <si>
    <t>278.12</t>
  </si>
  <si>
    <t>277.86</t>
  </si>
  <si>
    <t>50,453,400</t>
  </si>
  <si>
    <t>Feb 5, 2026</t>
  </si>
  <si>
    <t>278.13</t>
  </si>
  <si>
    <t>279.50</t>
  </si>
  <si>
    <t>273.23</t>
  </si>
  <si>
    <t>275.91</t>
  </si>
  <si>
    <t>275.65</t>
  </si>
  <si>
    <t>52,977,400</t>
  </si>
  <si>
    <t>Feb 4, 2026</t>
  </si>
  <si>
    <t>272.29</t>
  </si>
  <si>
    <t>278.95</t>
  </si>
  <si>
    <t>276.49</t>
  </si>
  <si>
    <t>276.23</t>
  </si>
  <si>
    <t>90,545,700</t>
  </si>
  <si>
    <t>Feb 3, 2026</t>
  </si>
  <si>
    <t>269.20</t>
  </si>
  <si>
    <t>271.88</t>
  </si>
  <si>
    <t>267.61</t>
  </si>
  <si>
    <t>269.48</t>
  </si>
  <si>
    <t>269.23</t>
  </si>
  <si>
    <t>64,394,700</t>
  </si>
  <si>
    <t>Feb 2, 2026</t>
  </si>
  <si>
    <t>260.03</t>
  </si>
  <si>
    <t>270.49</t>
  </si>
  <si>
    <t>259.21</t>
  </si>
  <si>
    <t>270.01</t>
  </si>
  <si>
    <t>269.76</t>
  </si>
  <si>
    <t>73,913,400</t>
  </si>
  <si>
    <t>Jan 30, 2026</t>
  </si>
  <si>
    <t>255.17</t>
  </si>
  <si>
    <t>261.90</t>
  </si>
  <si>
    <t>259.48</t>
  </si>
  <si>
    <t>259.24</t>
  </si>
  <si>
    <t>92,443,400</t>
  </si>
  <si>
    <t>Jan 29, 2026</t>
  </si>
  <si>
    <t>258.00</t>
  </si>
  <si>
    <t>259.65</t>
  </si>
  <si>
    <t>254.41</t>
  </si>
  <si>
    <t>258.28</t>
  </si>
  <si>
    <t>258.04</t>
  </si>
  <si>
    <t>67,253,000</t>
  </si>
  <si>
    <t>Jan 28, 2026</t>
  </si>
  <si>
    <t>258.86</t>
  </si>
  <si>
    <t>254.51</t>
  </si>
  <si>
    <t>256.44</t>
  </si>
  <si>
    <t>256.20</t>
  </si>
  <si>
    <t>41,288,000</t>
  </si>
  <si>
    <t>Jan 27, 2026</t>
  </si>
  <si>
    <t>259.17</t>
  </si>
  <si>
    <t>261.95</t>
  </si>
  <si>
    <t>258.21</t>
  </si>
  <si>
    <t>258.27</t>
  </si>
  <si>
    <t>258.03</t>
  </si>
  <si>
    <t>49,648,300</t>
  </si>
  <si>
    <t>Jan 26, 2026</t>
  </si>
  <si>
    <t>251.48</t>
  </si>
  <si>
    <t>256.56</t>
  </si>
  <si>
    <t>249.80</t>
  </si>
  <si>
    <t>255.41</t>
  </si>
  <si>
    <t>55,969,200</t>
  </si>
  <si>
    <t>Jan 23, 2026</t>
  </si>
  <si>
    <t>247.32</t>
  </si>
  <si>
    <t>249.41</t>
  </si>
  <si>
    <t>244.68</t>
  </si>
  <si>
    <t>248.04</t>
  </si>
  <si>
    <t>247.81</t>
  </si>
  <si>
    <t>41,689,000</t>
  </si>
  <si>
    <t>Jan 22, 2026</t>
  </si>
  <si>
    <t>251.00</t>
  </si>
  <si>
    <t>248.15</t>
  </si>
  <si>
    <t>248.35</t>
  </si>
  <si>
    <t>248.12</t>
  </si>
  <si>
    <t>39,708,300</t>
  </si>
  <si>
    <t>Jan 21, 2026</t>
  </si>
  <si>
    <t>248.70</t>
  </si>
  <si>
    <t>251.56</t>
  </si>
  <si>
    <t>245.18</t>
  </si>
  <si>
    <t>247.65</t>
  </si>
  <si>
    <t>247.42</t>
  </si>
  <si>
    <t>54,641,700</t>
  </si>
  <si>
    <t>Jan 20, 2026</t>
  </si>
  <si>
    <t>252.73</t>
  </si>
  <si>
    <t>254.79</t>
  </si>
  <si>
    <t>243.42</t>
  </si>
  <si>
    <t>246.70</t>
  </si>
  <si>
    <t>246.47</t>
  </si>
  <si>
    <t>80,267,500</t>
  </si>
  <si>
    <t>Jan 16, 2026</t>
  </si>
  <si>
    <t>257.90</t>
  </si>
  <si>
    <t>258.90</t>
  </si>
  <si>
    <t>254.93</t>
  </si>
  <si>
    <t>255.53</t>
  </si>
  <si>
    <t>255.29</t>
  </si>
  <si>
    <t>72,142,800</t>
  </si>
  <si>
    <t>Jan 15, 2026</t>
  </si>
  <si>
    <t>260.65</t>
  </si>
  <si>
    <t>261.04</t>
  </si>
  <si>
    <t>257.05</t>
  </si>
  <si>
    <t>257.97</t>
  </si>
  <si>
    <t>39,388,600</t>
  </si>
  <si>
    <t>Jan 14, 2026</t>
  </si>
  <si>
    <t>259.49</t>
  </si>
  <si>
    <t>261.82</t>
  </si>
  <si>
    <t>256.71</t>
  </si>
  <si>
    <t>259.96</t>
  </si>
  <si>
    <t>259.72</t>
  </si>
  <si>
    <t>40,019,400</t>
  </si>
  <si>
    <t>Jan 13, 2026</t>
  </si>
  <si>
    <t>258.72</t>
  </si>
  <si>
    <t>261.81</t>
  </si>
  <si>
    <t>258.39</t>
  </si>
  <si>
    <t>261.05</t>
  </si>
  <si>
    <t>45,730,800</t>
  </si>
  <si>
    <t>Jan 12, 2026</t>
  </si>
  <si>
    <t>259.16</t>
  </si>
  <si>
    <t>261.30</t>
  </si>
  <si>
    <t>256.80</t>
  </si>
  <si>
    <t>260.25</t>
  </si>
  <si>
    <t>260.01</t>
  </si>
  <si>
    <t>45,263,800</t>
  </si>
  <si>
    <t>Jan 9, 2026</t>
  </si>
  <si>
    <t>259.08</t>
  </si>
  <si>
    <t>260.21</t>
  </si>
  <si>
    <t>256.22</t>
  </si>
  <si>
    <t>259.37</t>
  </si>
  <si>
    <t>259.13</t>
  </si>
  <si>
    <t>39,997,000</t>
  </si>
  <si>
    <t>Jan 8, 2026</t>
  </si>
  <si>
    <t>257.02</t>
  </si>
  <si>
    <t>259.29</t>
  </si>
  <si>
    <t>255.70</t>
  </si>
  <si>
    <t>259.04</t>
  </si>
  <si>
    <t>258.80</t>
  </si>
  <si>
    <t>50,419,300</t>
  </si>
  <si>
    <t>Jan 7, 2026</t>
  </si>
  <si>
    <t>263.20</t>
  </si>
  <si>
    <t>263.68</t>
  </si>
  <si>
    <t>259.81</t>
  </si>
  <si>
    <t>260.33</t>
  </si>
  <si>
    <t>260.09</t>
  </si>
  <si>
    <t>48,309,800</t>
  </si>
  <si>
    <t>Jan 6, 2026</t>
  </si>
  <si>
    <t>267.00</t>
  </si>
  <si>
    <t>267.55</t>
  </si>
  <si>
    <t>262.12</t>
  </si>
  <si>
    <t>262.36</t>
  </si>
  <si>
    <t>262.11</t>
  </si>
  <si>
    <t>52,352,100</t>
  </si>
  <si>
    <t>Jan 5, 2026</t>
  </si>
  <si>
    <t>270.64</t>
  </si>
  <si>
    <t>271.51</t>
  </si>
  <si>
    <t>266.14</t>
  </si>
  <si>
    <t>267.26</t>
  </si>
  <si>
    <t>267.01</t>
  </si>
  <si>
    <t>45,647,200</t>
  </si>
  <si>
    <t>Jan 2, 2026</t>
  </si>
  <si>
    <t>272.26</t>
  </si>
  <si>
    <t>277.84</t>
  </si>
  <si>
    <t>269.00</t>
  </si>
  <si>
    <t>271.01</t>
  </si>
  <si>
    <t>270.76</t>
  </si>
  <si>
    <t>37,838,100</t>
  </si>
  <si>
    <t>Dec 31, 2025</t>
  </si>
  <si>
    <t>273.06</t>
  </si>
  <si>
    <t>271.75</t>
  </si>
  <si>
    <t>271.86</t>
  </si>
  <si>
    <t>271.61</t>
  </si>
  <si>
    <t>27,293,600</t>
  </si>
  <si>
    <t>Dec 30, 2025</t>
  </si>
  <si>
    <t>274.08</t>
  </si>
  <si>
    <t>272.28</t>
  </si>
  <si>
    <t>273.08</t>
  </si>
  <si>
    <t>272.82</t>
  </si>
  <si>
    <t>22,139,600</t>
  </si>
  <si>
    <t>Dec 29, 2025</t>
  </si>
  <si>
    <t>272.69</t>
  </si>
  <si>
    <t>274.36</t>
  </si>
  <si>
    <t>272.35</t>
  </si>
  <si>
    <t>273.76</t>
  </si>
  <si>
    <t>273.50</t>
  </si>
  <si>
    <t>23,715,200</t>
  </si>
  <si>
    <t>Dec 26, 2025</t>
  </si>
  <si>
    <t>274.16</t>
  </si>
  <si>
    <t>272.86</t>
  </si>
  <si>
    <t>273.40</t>
  </si>
  <si>
    <t>273.14</t>
  </si>
  <si>
    <t>21,521,800</t>
  </si>
  <si>
    <t>Dec 24, 2025</t>
  </si>
  <si>
    <t>272.34</t>
  </si>
  <si>
    <t>275.43</t>
  </si>
  <si>
    <t>272.20</t>
  </si>
  <si>
    <t>273.81</t>
  </si>
  <si>
    <t>273.55</t>
  </si>
  <si>
    <t>17,910,600</t>
  </si>
  <si>
    <t>Dec 23, 2025</t>
  </si>
  <si>
    <t>270.84</t>
  </si>
  <si>
    <t>272.50</t>
  </si>
  <si>
    <t>269.56</t>
  </si>
  <si>
    <t>272.36</t>
  </si>
  <si>
    <t>272.11</t>
  </si>
  <si>
    <t>29,642,000</t>
  </si>
  <si>
    <t>Dec 22, 2025</t>
  </si>
  <si>
    <t>273.88</t>
  </si>
  <si>
    <t>270.51</t>
  </si>
  <si>
    <t>270.97</t>
  </si>
  <si>
    <t>270.72</t>
  </si>
  <si>
    <t>36,571,800</t>
  </si>
  <si>
    <t>Dec 19, 2025</t>
  </si>
  <si>
    <t>272.15</t>
  </si>
  <si>
    <t>274.60</t>
  </si>
  <si>
    <t>269.90</t>
  </si>
  <si>
    <t>273.67</t>
  </si>
  <si>
    <t>273.41</t>
  </si>
  <si>
    <t>144,632,000</t>
  </si>
  <si>
    <t>Dec 18, 2025</t>
  </si>
  <si>
    <t>273.61</t>
  </si>
  <si>
    <t>273.63</t>
  </si>
  <si>
    <t>266.95</t>
  </si>
  <si>
    <t>272.19</t>
  </si>
  <si>
    <t>271.94</t>
  </si>
  <si>
    <t>51,630,700</t>
  </si>
  <si>
    <t>Dec 17, 2025</t>
  </si>
  <si>
    <t>275.01</t>
  </si>
  <si>
    <t>276.16</t>
  </si>
  <si>
    <t>271.64</t>
  </si>
  <si>
    <t>271.84</t>
  </si>
  <si>
    <t>271.59</t>
  </si>
  <si>
    <t>50,138,700</t>
  </si>
  <si>
    <t>Dec 16, 2025</t>
  </si>
  <si>
    <t>271.79</t>
  </si>
  <si>
    <t>274.61</t>
  </si>
  <si>
    <t>274.35</t>
  </si>
  <si>
    <t>37,648,600</t>
  </si>
  <si>
    <t>Dec 15, 2025</t>
  </si>
  <si>
    <t>280.15</t>
  </si>
  <si>
    <t>272.84</t>
  </si>
  <si>
    <t>274.11</t>
  </si>
  <si>
    <t>273.85</t>
  </si>
  <si>
    <t>50,409,100</t>
  </si>
  <si>
    <t>Dec 12, 2025</t>
  </si>
  <si>
    <t>277.90</t>
  </si>
  <si>
    <t>279.22</t>
  </si>
  <si>
    <t>276.82</t>
  </si>
  <si>
    <t>278.28</t>
  </si>
  <si>
    <t>278.02</t>
  </si>
  <si>
    <t>39,532,900</t>
  </si>
  <si>
    <t>Dec 11, 2025</t>
  </si>
  <si>
    <t>279.10</t>
  </si>
  <si>
    <t>279.59</t>
  </si>
  <si>
    <t>278.03</t>
  </si>
  <si>
    <t>277.77</t>
  </si>
  <si>
    <t>33,248,000</t>
  </si>
  <si>
    <t>Dec 10, 2025</t>
  </si>
  <si>
    <t>277.75</t>
  </si>
  <si>
    <t>279.75</t>
  </si>
  <si>
    <t>276.44</t>
  </si>
  <si>
    <t>278.78</t>
  </si>
  <si>
    <t>278.52</t>
  </si>
  <si>
    <t>33,038,300</t>
  </si>
  <si>
    <t>Dec 9, 2025</t>
  </si>
  <si>
    <t>278.16</t>
  </si>
  <si>
    <t>280.03</t>
  </si>
  <si>
    <t>276.92</t>
  </si>
  <si>
    <t>277.18</t>
  </si>
  <si>
    <t>32,193,300</t>
  </si>
  <si>
    <t>Dec 8, 2025</t>
  </si>
  <si>
    <t>279.67</t>
  </si>
  <si>
    <t>276.15</t>
  </si>
  <si>
    <t>277.89</t>
  </si>
  <si>
    <t>277.63</t>
  </si>
  <si>
    <t>38,211,800</t>
  </si>
  <si>
    <t>Dec 5, 2025</t>
  </si>
  <si>
    <t>280.54</t>
  </si>
  <si>
    <t>281.14</t>
  </si>
  <si>
    <t>278.05</t>
  </si>
  <si>
    <t>47,265,800</t>
  </si>
  <si>
    <t>Dec 4, 2025</t>
  </si>
  <si>
    <t>284.10</t>
  </si>
  <si>
    <t>284.73</t>
  </si>
  <si>
    <t>278.59</t>
  </si>
  <si>
    <t>280.70</t>
  </si>
  <si>
    <t>280.44</t>
  </si>
  <si>
    <t>43,989,100</t>
  </si>
  <si>
    <t>Dec 3, 2025</t>
  </si>
  <si>
    <t>286.20</t>
  </si>
  <si>
    <t>288.62</t>
  </si>
  <si>
    <t>283.30</t>
  </si>
  <si>
    <t>284.15</t>
  </si>
  <si>
    <t>283.88</t>
  </si>
  <si>
    <t>43,538,700</t>
  </si>
  <si>
    <t>Dec 2, 2025</t>
  </si>
  <si>
    <t>283.00</t>
  </si>
  <si>
    <t>287.40</t>
  </si>
  <si>
    <t>282.63</t>
  </si>
  <si>
    <t>286.19</t>
  </si>
  <si>
    <t>285.92</t>
  </si>
  <si>
    <t>53,669,500</t>
  </si>
  <si>
    <t>Dec 1, 2025</t>
  </si>
  <si>
    <t>278.01</t>
  </si>
  <si>
    <t>283.42</t>
  </si>
  <si>
    <t>276.14</t>
  </si>
  <si>
    <t>283.10</t>
  </si>
  <si>
    <t>282.84</t>
  </si>
  <si>
    <t>46,587,700</t>
  </si>
  <si>
    <t>Nov 28, 2025</t>
  </si>
  <si>
    <t>277.26</t>
  </si>
  <si>
    <t>279.00</t>
  </si>
  <si>
    <t>275.99</t>
  </si>
  <si>
    <t>278.85</t>
  </si>
  <si>
    <t>20,135,600</t>
  </si>
  <si>
    <t>Nov 26, 2025</t>
  </si>
  <si>
    <t>276.96</t>
  </si>
  <si>
    <t>279.53</t>
  </si>
  <si>
    <t>276.63</t>
  </si>
  <si>
    <t>277.55</t>
  </si>
  <si>
    <t>277.29</t>
  </si>
  <si>
    <t>33,431,400</t>
  </si>
  <si>
    <t>Nov 25, 2025</t>
  </si>
  <si>
    <t>275.27</t>
  </si>
  <si>
    <t>280.38</t>
  </si>
  <si>
    <t>275.25</t>
  </si>
  <si>
    <t>276.97</t>
  </si>
  <si>
    <t>276.71</t>
  </si>
  <si>
    <t>46,914,200</t>
  </si>
  <si>
    <t>Nov 24, 2025</t>
  </si>
  <si>
    <t>270.90</t>
  </si>
  <si>
    <t>277.00</t>
  </si>
  <si>
    <t>275.92</t>
  </si>
  <si>
    <t>275.66</t>
  </si>
  <si>
    <t>65,585,800</t>
  </si>
  <si>
    <t>Nov 21, 2025</t>
  </si>
  <si>
    <t>265.95</t>
  </si>
  <si>
    <t>273.33</t>
  </si>
  <si>
    <t>265.67</t>
  </si>
  <si>
    <t>271.49</t>
  </si>
  <si>
    <t>271.24</t>
  </si>
  <si>
    <t>59,030,800</t>
  </si>
  <si>
    <t>Nov 20, 2025</t>
  </si>
  <si>
    <t>270.83</t>
  </si>
  <si>
    <t>265.92</t>
  </si>
  <si>
    <t>266.25</t>
  </si>
  <si>
    <t>266.00</t>
  </si>
  <si>
    <t>45,823,600</t>
  </si>
  <si>
    <t>Nov 19, 2025</t>
  </si>
  <si>
    <t>265.53</t>
  </si>
  <si>
    <t>272.21</t>
  </si>
  <si>
    <t>265.50</t>
  </si>
  <si>
    <t>268.56</t>
  </si>
  <si>
    <t>268.31</t>
  </si>
  <si>
    <t>40,424,500</t>
  </si>
  <si>
    <t>Nov 18, 2025</t>
  </si>
  <si>
    <t>269.99</t>
  </si>
  <si>
    <t>270.71</t>
  </si>
  <si>
    <t>265.32</t>
  </si>
  <si>
    <t>267.44</t>
  </si>
  <si>
    <t>267.19</t>
  </si>
  <si>
    <t>45,677,300</t>
  </si>
  <si>
    <t>Nov 17, 2025</t>
  </si>
  <si>
    <t>268.82</t>
  </si>
  <si>
    <t>265.73</t>
  </si>
  <si>
    <t>267.46</t>
  </si>
  <si>
    <t>267.21</t>
  </si>
  <si>
    <t>45,018,300</t>
  </si>
  <si>
    <t>Nov 14, 2025</t>
  </si>
  <si>
    <t>275.96</t>
  </si>
  <si>
    <t>269.60</t>
  </si>
  <si>
    <t>272.41</t>
  </si>
  <si>
    <t>272.16</t>
  </si>
  <si>
    <t>47,431,300</t>
  </si>
  <si>
    <t>Nov 13, 2025</t>
  </si>
  <si>
    <t>276.70</t>
  </si>
  <si>
    <t>272.09</t>
  </si>
  <si>
    <t>49,602,800</t>
  </si>
  <si>
    <t>Nov 12, 2025</t>
  </si>
  <si>
    <t>275.00</t>
  </si>
  <si>
    <t>275.73</t>
  </si>
  <si>
    <t>273.47</t>
  </si>
  <si>
    <t>273.21</t>
  </si>
  <si>
    <t>48,398,000</t>
  </si>
  <si>
    <t>Nov 11, 2025</t>
  </si>
  <si>
    <t>269.81</t>
  </si>
  <si>
    <t>269.80</t>
  </si>
  <si>
    <t>274.99</t>
  </si>
  <si>
    <t>46,208,300</t>
  </si>
  <si>
    <t>Nov 10, 2025</t>
  </si>
  <si>
    <t>268.96</t>
  </si>
  <si>
    <t>273.73</t>
  </si>
  <si>
    <t>269.18</t>
  </si>
  <si>
    <t>41,312,400</t>
  </si>
  <si>
    <t>Nov 7, 2025</t>
  </si>
  <si>
    <t>266.77</t>
  </si>
  <si>
    <t>268.47</t>
  </si>
  <si>
    <t>267.96</t>
  </si>
  <si>
    <t>48,227,400</t>
  </si>
  <si>
    <t>Nov 6, 2025</t>
  </si>
  <si>
    <t>267.89</t>
  </si>
  <si>
    <t>269.77</t>
  </si>
  <si>
    <t>269.26</t>
  </si>
  <si>
    <t>51,204,000</t>
  </si>
  <si>
    <t>Nov 5, 2025</t>
  </si>
  <si>
    <t>268.61</t>
  </si>
  <si>
    <t>266.93</t>
  </si>
  <si>
    <t>270.14</t>
  </si>
  <si>
    <t>269.63</t>
  </si>
  <si>
    <t>43,683,100</t>
  </si>
  <si>
    <t>Nov 4, 2025</t>
  </si>
  <si>
    <t>268.33</t>
  </si>
  <si>
    <t>267.62</t>
  </si>
  <si>
    <t>270.04</t>
  </si>
  <si>
    <t>269.53</t>
  </si>
  <si>
    <t>49,274,800</t>
  </si>
  <si>
    <t>Nov 3, 2025</t>
  </si>
  <si>
    <t>270.42</t>
  </si>
  <si>
    <t>270.85</t>
  </si>
  <si>
    <t>269.05</t>
  </si>
  <si>
    <t>268.54</t>
  </si>
  <si>
    <t>50,194,600</t>
  </si>
  <si>
    <t>Oct 31, 2025</t>
  </si>
  <si>
    <t>276.99</t>
  </si>
  <si>
    <t>277.32</t>
  </si>
  <si>
    <t>269.16</t>
  </si>
  <si>
    <t>270.37</t>
  </si>
  <si>
    <t>269.86</t>
  </si>
  <si>
    <t>86,167,100</t>
  </si>
  <si>
    <t>Oct 30, 2025</t>
  </si>
  <si>
    <t>271.99</t>
  </si>
  <si>
    <t>274.14</t>
  </si>
  <si>
    <t>268.48</t>
  </si>
  <si>
    <t>271.40</t>
  </si>
  <si>
    <t>270.88</t>
  </si>
  <si>
    <t>69,886,500</t>
  </si>
  <si>
    <t>Oct 29, 2025</t>
  </si>
  <si>
    <t>269.28</t>
  </si>
  <si>
    <t>271.41</t>
  </si>
  <si>
    <t>267.11</t>
  </si>
  <si>
    <t>269.70</t>
  </si>
  <si>
    <t>269.19</t>
  </si>
  <si>
    <t>51,086,700</t>
  </si>
  <si>
    <t>Oct 28, 2025</t>
  </si>
  <si>
    <t>268.99</t>
  </si>
  <si>
    <t>269.89</t>
  </si>
  <si>
    <t>268.15</t>
  </si>
  <si>
    <t>268.49</t>
  </si>
  <si>
    <t>41,534,800</t>
  </si>
  <si>
    <t>Oct 27, 2025</t>
  </si>
  <si>
    <t>264.88</t>
  </si>
  <si>
    <t>269.12</t>
  </si>
  <si>
    <t>268.81</t>
  </si>
  <si>
    <t>268.30</t>
  </si>
  <si>
    <t>44,888,200</t>
  </si>
  <si>
    <t>Oct 24, 2025</t>
  </si>
  <si>
    <t>261.19</t>
  </si>
  <si>
    <t>264.13</t>
  </si>
  <si>
    <t>259.18</t>
  </si>
  <si>
    <t>262.82</t>
  </si>
  <si>
    <t>262.32</t>
  </si>
  <si>
    <t>38,253,700</t>
  </si>
  <si>
    <t>Oct 23, 2025</t>
  </si>
  <si>
    <t>259.94</t>
  </si>
  <si>
    <t>260.62</t>
  </si>
  <si>
    <t>258.01</t>
  </si>
  <si>
    <t>259.58</t>
  </si>
  <si>
    <t>259.09</t>
  </si>
  <si>
    <t>32,754,900</t>
  </si>
  <si>
    <t>Oct 22, 2025</t>
  </si>
  <si>
    <t>262.65</t>
  </si>
  <si>
    <t>262.85</t>
  </si>
  <si>
    <t>255.43</t>
  </si>
  <si>
    <t>258.45</t>
  </si>
  <si>
    <t>257.96</t>
  </si>
  <si>
    <t>45,015,300</t>
  </si>
  <si>
    <t>Oct 21, 2025</t>
  </si>
  <si>
    <t>261.88</t>
  </si>
  <si>
    <t>265.29</t>
  </si>
  <si>
    <t>261.83</t>
  </si>
  <si>
    <t>262.77</t>
  </si>
  <si>
    <t>262.27</t>
  </si>
  <si>
    <t>46,695,900</t>
  </si>
  <si>
    <t>Oct 20, 2025</t>
  </si>
  <si>
    <t>255.89</t>
  </si>
  <si>
    <t>264.38</t>
  </si>
  <si>
    <t>262.24</t>
  </si>
  <si>
    <t>261.74</t>
  </si>
  <si>
    <t>90,483,000</t>
  </si>
  <si>
    <t>Oct 17, 2025</t>
  </si>
  <si>
    <t>248.02</t>
  </si>
  <si>
    <t>253.38</t>
  </si>
  <si>
    <t>247.27</t>
  </si>
  <si>
    <t>252.29</t>
  </si>
  <si>
    <t>251.81</t>
  </si>
  <si>
    <t>49,147,000</t>
  </si>
  <si>
    <t>Oct 16, 2025</t>
  </si>
  <si>
    <t>248.25</t>
  </si>
  <si>
    <t>249.04</t>
  </si>
  <si>
    <t>245.13</t>
  </si>
  <si>
    <t>247.45</t>
  </si>
  <si>
    <t>246.98</t>
  </si>
  <si>
    <t>Oct 15, 2025</t>
  </si>
  <si>
    <t>249.49</t>
  </si>
  <si>
    <t>251.82</t>
  </si>
  <si>
    <t>247.47</t>
  </si>
  <si>
    <t>249.34</t>
  </si>
  <si>
    <t>248.87</t>
  </si>
  <si>
    <t>33,893,600</t>
  </si>
  <si>
    <t>Oct 14, 2025</t>
  </si>
  <si>
    <t>246.60</t>
  </si>
  <si>
    <t>248.85</t>
  </si>
  <si>
    <t>244.70</t>
  </si>
  <si>
    <t>247.77</t>
  </si>
  <si>
    <t>35,478,000</t>
  </si>
  <si>
    <t>Oct 13, 2025</t>
  </si>
  <si>
    <t>249.38</t>
  </si>
  <si>
    <t>249.69</t>
  </si>
  <si>
    <t>245.56</t>
  </si>
  <si>
    <t>247.66</t>
  </si>
  <si>
    <t>247.19</t>
  </si>
  <si>
    <t>38,142,900</t>
  </si>
  <si>
    <t>Oct 10, 2025</t>
  </si>
  <si>
    <t>256.38</t>
  </si>
  <si>
    <t>244.00</t>
  </si>
  <si>
    <t>245.27</t>
  </si>
  <si>
    <t>244.80</t>
  </si>
  <si>
    <t>61,999,100</t>
  </si>
  <si>
    <t>Oct 9, 2025</t>
  </si>
  <si>
    <t>257.81</t>
  </si>
  <si>
    <t>253.14</t>
  </si>
  <si>
    <t>254.04</t>
  </si>
  <si>
    <t>253.56</t>
  </si>
  <si>
    <t>38,322,000</t>
  </si>
  <si>
    <t>Oct 8, 2025</t>
  </si>
  <si>
    <t>256.52</t>
  </si>
  <si>
    <t>258.52</t>
  </si>
  <si>
    <t>256.11</t>
  </si>
  <si>
    <t>258.06</t>
  </si>
  <si>
    <t>257.57</t>
  </si>
  <si>
    <t>36,496,900</t>
  </si>
  <si>
    <t>Oct 7, 2025</t>
  </si>
  <si>
    <t>256.81</t>
  </si>
  <si>
    <t>257.40</t>
  </si>
  <si>
    <t>256.48</t>
  </si>
  <si>
    <t>255.99</t>
  </si>
  <si>
    <t>31,955,800</t>
  </si>
  <si>
    <t>Oct 6, 2025</t>
  </si>
  <si>
    <t>257.99</t>
  </si>
  <si>
    <t>259.07</t>
  </si>
  <si>
    <t>255.05</t>
  </si>
  <si>
    <t>256.69</t>
  </si>
  <si>
    <t>44,664,100</t>
  </si>
  <si>
    <t>Oct 3, 2025</t>
  </si>
  <si>
    <t>254.67</t>
  </si>
  <si>
    <t>253.95</t>
  </si>
  <si>
    <t>258.02</t>
  </si>
  <si>
    <t>257.53</t>
  </si>
  <si>
    <t>49,155,600</t>
  </si>
  <si>
    <t>Oct 2, 2025</t>
  </si>
  <si>
    <t>256.58</t>
  </si>
  <si>
    <t>258.18</t>
  </si>
  <si>
    <t>254.15</t>
  </si>
  <si>
    <t>257.13</t>
  </si>
  <si>
    <t>256.64</t>
  </si>
  <si>
    <t>42,630,200</t>
  </si>
  <si>
    <t>Oct 1, 2025</t>
  </si>
  <si>
    <t>255.04</t>
  </si>
  <si>
    <t>258.79</t>
  </si>
  <si>
    <t>254.96</t>
  </si>
  <si>
    <t>48,713,900</t>
  </si>
  <si>
    <t>Sep 30, 2025</t>
  </si>
  <si>
    <t>254.86</t>
  </si>
  <si>
    <t>253.11</t>
  </si>
  <si>
    <t>254.63</t>
  </si>
  <si>
    <t>37,704,300</t>
  </si>
  <si>
    <t>Sep 29, 2025</t>
  </si>
  <si>
    <t>254.56</t>
  </si>
  <si>
    <t>253.01</t>
  </si>
  <si>
    <t>254.43</t>
  </si>
  <si>
    <t>40,127,700</t>
  </si>
  <si>
    <t>Sep 26, 2025</t>
  </si>
  <si>
    <t>257.60</t>
  </si>
  <si>
    <t>253.78</t>
  </si>
  <si>
    <t>255.46</t>
  </si>
  <si>
    <t>254.97</t>
  </si>
  <si>
    <t>46,076,300</t>
  </si>
  <si>
    <t>Sep 25, 2025</t>
  </si>
  <si>
    <t>253.21</t>
  </si>
  <si>
    <t>257.17</t>
  </si>
  <si>
    <t>251.71</t>
  </si>
  <si>
    <t>256.87</t>
  </si>
  <si>
    <t>55,202,100</t>
  </si>
  <si>
    <t>Sep 24, 2025</t>
  </si>
  <si>
    <t>255.22</t>
  </si>
  <si>
    <t>255.74</t>
  </si>
  <si>
    <t>251.04</t>
  </si>
  <si>
    <t>252.31</t>
  </si>
  <si>
    <t>42,303,700</t>
  </si>
  <si>
    <t>Sep 23, 2025</t>
  </si>
  <si>
    <t>255.88</t>
  </si>
  <si>
    <t>257.34</t>
  </si>
  <si>
    <t>253.58</t>
  </si>
  <si>
    <t>60,275,200</t>
  </si>
  <si>
    <t>Sep 22, 2025</t>
  </si>
  <si>
    <t>248.30</t>
  </si>
  <si>
    <t>256.08</t>
  </si>
  <si>
    <t>255.59</t>
  </si>
  <si>
    <t>105,517,400</t>
  </si>
  <si>
    <t>Sep 19, 2025</t>
  </si>
  <si>
    <t>241.23</t>
  </si>
  <si>
    <t>246.30</t>
  </si>
  <si>
    <t>240.21</t>
  </si>
  <si>
    <t>245.50</t>
  </si>
  <si>
    <t>245.03</t>
  </si>
  <si>
    <t>163,741,300</t>
  </si>
  <si>
    <t>Sep 18, 2025</t>
  </si>
  <si>
    <t>239.97</t>
  </si>
  <si>
    <t>241.20</t>
  </si>
  <si>
    <t>236.65</t>
  </si>
  <si>
    <t>237.88</t>
  </si>
  <si>
    <t>237.43</t>
  </si>
  <si>
    <t>44,249,600</t>
  </si>
  <si>
    <t>Sep 17, 2025</t>
  </si>
  <si>
    <t>238.97</t>
  </si>
  <si>
    <t>240.10</t>
  </si>
  <si>
    <t>237.73</t>
  </si>
  <si>
    <t>238.99</t>
  </si>
  <si>
    <t>238.54</t>
  </si>
  <si>
    <t>46,508,000</t>
  </si>
  <si>
    <t>Sep 16, 2025</t>
  </si>
  <si>
    <t>237.18</t>
  </si>
  <si>
    <t>241.22</t>
  </si>
  <si>
    <t>236.32</t>
  </si>
  <si>
    <t>238.15</t>
  </si>
  <si>
    <t>237.70</t>
  </si>
  <si>
    <t>63,421,100</t>
  </si>
  <si>
    <t>Sep 15, 2025</t>
  </si>
  <si>
    <t>237.00</t>
  </si>
  <si>
    <t>238.19</t>
  </si>
  <si>
    <t>235.03</t>
  </si>
  <si>
    <t>236.70</t>
  </si>
  <si>
    <t>236.25</t>
  </si>
  <si>
    <t>42,699,500</t>
  </si>
  <si>
    <t>Sep 12, 2025</t>
  </si>
  <si>
    <t>229.22</t>
  </si>
  <si>
    <t>234.51</t>
  </si>
  <si>
    <t>229.02</t>
  </si>
  <si>
    <t>234.07</t>
  </si>
  <si>
    <t>233.62</t>
  </si>
  <si>
    <t>55,824,200</t>
  </si>
  <si>
    <t>Sep 11, 2025</t>
  </si>
  <si>
    <t>226.88</t>
  </si>
  <si>
    <t>230.45</t>
  </si>
  <si>
    <t>226.65</t>
  </si>
  <si>
    <t>230.03</t>
  </si>
  <si>
    <t>229.59</t>
  </si>
  <si>
    <t>50,208,600</t>
  </si>
  <si>
    <t>Sep 10, 2025</t>
  </si>
  <si>
    <t>232.19</t>
  </si>
  <si>
    <t>232.42</t>
  </si>
  <si>
    <t>225.95</t>
  </si>
  <si>
    <t>226.79</t>
  </si>
  <si>
    <t>226.36</t>
  </si>
  <si>
    <t>83,440,800</t>
  </si>
  <si>
    <t>Sep 9, 2025</t>
  </si>
  <si>
    <t>238.78</t>
  </si>
  <si>
    <t>233.36</t>
  </si>
  <si>
    <t>234.35</t>
  </si>
  <si>
    <t>233.90</t>
  </si>
  <si>
    <t>66,313,900</t>
  </si>
  <si>
    <t>Sep 8, 2025</t>
  </si>
  <si>
    <t>239.30</t>
  </si>
  <si>
    <t>240.15</t>
  </si>
  <si>
    <t>236.34</t>
  </si>
  <si>
    <t>48,999,500</t>
  </si>
  <si>
    <t>Sep 5, 2025</t>
  </si>
  <si>
    <t>240.00</t>
  </si>
  <si>
    <t>241.32</t>
  </si>
  <si>
    <t>238.49</t>
  </si>
  <si>
    <t>239.69</t>
  </si>
  <si>
    <t>239.23</t>
  </si>
  <si>
    <t>54,870,400</t>
  </si>
  <si>
    <t>Sep 4, 2025</t>
  </si>
  <si>
    <t>238.45</t>
  </si>
  <si>
    <t>239.90</t>
  </si>
  <si>
    <t>236.74</t>
  </si>
  <si>
    <t>239.78</t>
  </si>
  <si>
    <t>239.32</t>
  </si>
  <si>
    <t>47,549,400</t>
  </si>
  <si>
    <t>Sep 3, 2025</t>
  </si>
  <si>
    <t>237.21</t>
  </si>
  <si>
    <t>238.85</t>
  </si>
  <si>
    <t>234.36</t>
  </si>
  <si>
    <t>238.47</t>
  </si>
  <si>
    <t>238.02</t>
  </si>
  <si>
    <t>66,427,800</t>
  </si>
  <si>
    <t>Sep 2, 2025</t>
  </si>
  <si>
    <t>229.25</t>
  </si>
  <si>
    <t>230.85</t>
  </si>
  <si>
    <t>226.97</t>
  </si>
  <si>
    <t>229.72</t>
  </si>
  <si>
    <t>229.28</t>
  </si>
  <si>
    <t>44,075,600</t>
  </si>
  <si>
    <t>Aug 29, 2025</t>
  </si>
  <si>
    <t>232.51</t>
  </si>
  <si>
    <t>233.38</t>
  </si>
  <si>
    <t>231.37</t>
  </si>
  <si>
    <t>232.14</t>
  </si>
  <si>
    <t>231.70</t>
  </si>
  <si>
    <t>39,418,400</t>
  </si>
  <si>
    <t>Aug 28, 2025</t>
  </si>
  <si>
    <t>230.82</t>
  </si>
  <si>
    <t>233.41</t>
  </si>
  <si>
    <t>229.34</t>
  </si>
  <si>
    <t>232.56</t>
  </si>
  <si>
    <t>232.12</t>
  </si>
  <si>
    <t>38,074,700</t>
  </si>
  <si>
    <t>Aug 27, 2025</t>
  </si>
  <si>
    <t>228.61</t>
  </si>
  <si>
    <t>230.90</t>
  </si>
  <si>
    <t>228.26</t>
  </si>
  <si>
    <t>230.49</t>
  </si>
  <si>
    <t>230.05</t>
  </si>
  <si>
    <t>31,259,500</t>
  </si>
  <si>
    <t>Aug 26, 2025</t>
  </si>
  <si>
    <t>226.87</t>
  </si>
  <si>
    <t>229.49</t>
  </si>
  <si>
    <t>224.69</t>
  </si>
  <si>
    <t>229.31</t>
  </si>
  <si>
    <t>228.87</t>
  </si>
  <si>
    <t>54,575,100</t>
  </si>
  <si>
    <t>Aug 25, 2025</t>
  </si>
  <si>
    <t>226.48</t>
  </si>
  <si>
    <t>229.30</t>
  </si>
  <si>
    <t>226.23</t>
  </si>
  <si>
    <t>227.16</t>
  </si>
  <si>
    <t>226.73</t>
  </si>
  <si>
    <t>30,983,100</t>
  </si>
  <si>
    <t>Aug 22, 2025</t>
  </si>
  <si>
    <t>226.17</t>
  </si>
  <si>
    <t>229.09</t>
  </si>
  <si>
    <t>225.41</t>
  </si>
  <si>
    <t>227.76</t>
  </si>
  <si>
    <t>227.33</t>
  </si>
  <si>
    <t>42,477,800</t>
  </si>
  <si>
    <t>Aug 21, 2025</t>
  </si>
  <si>
    <t>226.27</t>
  </si>
  <si>
    <t>226.52</t>
  </si>
  <si>
    <t>223.78</t>
  </si>
  <si>
    <t>224.90</t>
  </si>
  <si>
    <t>224.47</t>
  </si>
  <si>
    <t>30,621,200</t>
  </si>
  <si>
    <t>Aug 20, 2025</t>
  </si>
  <si>
    <t>229.98</t>
  </si>
  <si>
    <t>230.47</t>
  </si>
  <si>
    <t>225.77</t>
  </si>
  <si>
    <t>226.01</t>
  </si>
  <si>
    <t>225.58</t>
  </si>
  <si>
    <t>42,263,900</t>
  </si>
  <si>
    <t>Aug 19, 2025</t>
  </si>
  <si>
    <t>231.28</t>
  </si>
  <si>
    <t>232.87</t>
  </si>
  <si>
    <t>229.35</t>
  </si>
  <si>
    <t>230.56</t>
  </si>
  <si>
    <t>230.12</t>
  </si>
  <si>
    <t>39,402,600</t>
  </si>
  <si>
    <t>Aug 18, 2025</t>
  </si>
  <si>
    <t>233.12</t>
  </si>
  <si>
    <t>230.11</t>
  </si>
  <si>
    <t>230.89</t>
  </si>
  <si>
    <t>37,476,200</t>
  </si>
  <si>
    <t>Aug 15, 2025</t>
  </si>
  <si>
    <t>234.00</t>
  </si>
  <si>
    <t>234.28</t>
  </si>
  <si>
    <t>231.59</t>
  </si>
  <si>
    <t>231.15</t>
  </si>
  <si>
    <t>56,038,700</t>
  </si>
  <si>
    <t>Aug 14, 2025</t>
  </si>
  <si>
    <t>234.06</t>
  </si>
  <si>
    <t>235.12</t>
  </si>
  <si>
    <t>232.78</t>
  </si>
  <si>
    <t>232.34</t>
  </si>
  <si>
    <t>51,916,300</t>
  </si>
  <si>
    <t>Aug 13, 2025</t>
  </si>
  <si>
    <t>231.07</t>
  </si>
  <si>
    <t>235.00</t>
  </si>
  <si>
    <t>230.43</t>
  </si>
  <si>
    <t>233.33</t>
  </si>
  <si>
    <t>232.89</t>
  </si>
  <si>
    <t>69,878,500</t>
  </si>
  <si>
    <t>Aug 12, 2025</t>
  </si>
  <si>
    <t>228.01</t>
  </si>
  <si>
    <t>230.80</t>
  </si>
  <si>
    <t>227.07</t>
  </si>
  <si>
    <t>229.65</t>
  </si>
  <si>
    <t>229.21</t>
  </si>
  <si>
    <t>55,626,200</t>
  </si>
  <si>
    <t>Aug 11, 2025</t>
  </si>
  <si>
    <t>227.92</t>
  </si>
  <si>
    <t>229.56</t>
  </si>
  <si>
    <t>224.76</t>
  </si>
  <si>
    <t>227.18</t>
  </si>
  <si>
    <t>226.75</t>
  </si>
  <si>
    <t>61,806,100</t>
  </si>
  <si>
    <t>Aug 8, 2025</t>
  </si>
  <si>
    <t>220.83</t>
  </si>
  <si>
    <t>231.00</t>
  </si>
  <si>
    <t>219.25</t>
  </si>
  <si>
    <t>228.65</t>
  </si>
  <si>
    <t>113,854,000</t>
  </si>
  <si>
    <t>Aug 7, 2025</t>
  </si>
  <si>
    <t>218.88</t>
  </si>
  <si>
    <t>220.85</t>
  </si>
  <si>
    <t>216.58</t>
  </si>
  <si>
    <t>220.03</t>
  </si>
  <si>
    <t>219.36</t>
  </si>
  <si>
    <t>90,224,800</t>
  </si>
  <si>
    <t>Aug 6, 2025</t>
  </si>
  <si>
    <t>205.63</t>
  </si>
  <si>
    <t>215.38</t>
  </si>
  <si>
    <t>205.59</t>
  </si>
  <si>
    <t>213.25</t>
  </si>
  <si>
    <t>212.60</t>
  </si>
  <si>
    <t>108,483,100</t>
  </si>
  <si>
    <t>Aug 5, 2025</t>
  </si>
  <si>
    <t>203.40</t>
  </si>
  <si>
    <t>205.34</t>
  </si>
  <si>
    <t>202.16</t>
  </si>
  <si>
    <t>202.92</t>
  </si>
  <si>
    <t>202.30</t>
  </si>
  <si>
    <t>44,155,100</t>
  </si>
  <si>
    <t>Aug 4, 2025</t>
  </si>
  <si>
    <t>204.51</t>
  </si>
  <si>
    <t>207.88</t>
  </si>
  <si>
    <t>201.68</t>
  </si>
  <si>
    <t>203.35</t>
  </si>
  <si>
    <t>202.73</t>
  </si>
  <si>
    <t>75,109,300</t>
  </si>
  <si>
    <t>Aug 1, 2025</t>
  </si>
  <si>
    <t>210.87</t>
  </si>
  <si>
    <t>213.58</t>
  </si>
  <si>
    <t>201.50</t>
  </si>
  <si>
    <t>202.38</t>
  </si>
  <si>
    <t>201.77</t>
  </si>
  <si>
    <t>104,434,500</t>
  </si>
  <si>
    <t>Jul 31, 2025</t>
  </si>
  <si>
    <t>208.49</t>
  </si>
  <si>
    <t>209.84</t>
  </si>
  <si>
    <t>207.16</t>
  </si>
  <si>
    <t>207.57</t>
  </si>
  <si>
    <t>206.94</t>
  </si>
  <si>
    <t>80,698,400</t>
  </si>
  <si>
    <t>Jul 30, 2025</t>
  </si>
  <si>
    <t>211.90</t>
  </si>
  <si>
    <t>212.39</t>
  </si>
  <si>
    <t>207.72</t>
  </si>
  <si>
    <t>209.05</t>
  </si>
  <si>
    <t>208.42</t>
  </si>
  <si>
    <t>45,512,500</t>
  </si>
  <si>
    <t>Jul 29, 2025</t>
  </si>
  <si>
    <t>214.18</t>
  </si>
  <si>
    <t>214.81</t>
  </si>
  <si>
    <t>210.82</t>
  </si>
  <si>
    <t>211.27</t>
  </si>
  <si>
    <t>210.63</t>
  </si>
  <si>
    <t>51,411,700</t>
  </si>
  <si>
    <t>Jul 28, 2025</t>
  </si>
  <si>
    <t>214.03</t>
  </si>
  <si>
    <t>214.85</t>
  </si>
  <si>
    <t>213.06</t>
  </si>
  <si>
    <t>214.05</t>
  </si>
  <si>
    <t>213.40</t>
  </si>
  <si>
    <t>37,858,000</t>
  </si>
  <si>
    <t>Jul 25, 2025</t>
  </si>
  <si>
    <t>214.70</t>
  </si>
  <si>
    <t>215.24</t>
  </si>
  <si>
    <t>213.88</t>
  </si>
  <si>
    <t>213.23</t>
  </si>
  <si>
    <t>40,268,800</t>
  </si>
  <si>
    <t>Jul 24, 2025</t>
  </si>
  <si>
    <t>213.90</t>
  </si>
  <si>
    <t>215.69</t>
  </si>
  <si>
    <t>213.53</t>
  </si>
  <si>
    <t>213.76</t>
  </si>
  <si>
    <t>213.11</t>
  </si>
  <si>
    <t>46,022,600</t>
  </si>
  <si>
    <t>Jul 23, 2025</t>
  </si>
  <si>
    <t>215.00</t>
  </si>
  <si>
    <t>215.15</t>
  </si>
  <si>
    <t>212.41</t>
  </si>
  <si>
    <t>214.15</t>
  </si>
  <si>
    <t>213.50</t>
  </si>
  <si>
    <t>46,989,300</t>
  </si>
  <si>
    <t>Jul 22, 2025</t>
  </si>
  <si>
    <t>213.14</t>
  </si>
  <si>
    <t>214.95</t>
  </si>
  <si>
    <t>212.23</t>
  </si>
  <si>
    <t>214.40</t>
  </si>
  <si>
    <t>213.75</t>
  </si>
  <si>
    <t>46,404,100</t>
  </si>
  <si>
    <t>Jul 21, 2025</t>
  </si>
  <si>
    <t>212.10</t>
  </si>
  <si>
    <t>215.78</t>
  </si>
  <si>
    <t>211.63</t>
  </si>
  <si>
    <t>212.48</t>
  </si>
  <si>
    <t>211.84</t>
  </si>
  <si>
    <t>51,377,400</t>
  </si>
  <si>
    <t>Jul 18, 2025</t>
  </si>
  <si>
    <t>211.79</t>
  </si>
  <si>
    <t>209.70</t>
  </si>
  <si>
    <t>211.18</t>
  </si>
  <si>
    <t>210.54</t>
  </si>
  <si>
    <t>48,974,600</t>
  </si>
  <si>
    <t>Jul 17, 2025</t>
  </si>
  <si>
    <t>210.57</t>
  </si>
  <si>
    <t>211.80</t>
  </si>
  <si>
    <t>209.59</t>
  </si>
  <si>
    <t>210.02</t>
  </si>
  <si>
    <t>209.38</t>
  </si>
  <si>
    <t>48,068,100</t>
  </si>
  <si>
    <t>Jul 16, 2025</t>
  </si>
  <si>
    <t>210.30</t>
  </si>
  <si>
    <t>212.40</t>
  </si>
  <si>
    <t>208.64</t>
  </si>
  <si>
    <t>210.16</t>
  </si>
  <si>
    <t>209.52</t>
  </si>
  <si>
    <t>47,490,500</t>
  </si>
  <si>
    <t>Jul 15, 2025</t>
  </si>
  <si>
    <t>209.22</t>
  </si>
  <si>
    <t>211.89</t>
  </si>
  <si>
    <t>208.92</t>
  </si>
  <si>
    <t>209.11</t>
  </si>
  <si>
    <t>208.48</t>
  </si>
  <si>
    <t>42,296,300</t>
  </si>
  <si>
    <t>Jul 14, 2025</t>
  </si>
  <si>
    <t>209.93</t>
  </si>
  <si>
    <t>210.91</t>
  </si>
  <si>
    <t>207.54</t>
  </si>
  <si>
    <t>208.62</t>
  </si>
  <si>
    <t>207.99</t>
  </si>
  <si>
    <t>38,840,100</t>
  </si>
  <si>
    <t>Jul 11, 2025</t>
  </si>
  <si>
    <t>212.13</t>
  </si>
  <si>
    <t>209.86</t>
  </si>
  <si>
    <t>211.16</t>
  </si>
  <si>
    <t>210.52</t>
  </si>
  <si>
    <t>39,765,800</t>
  </si>
  <si>
    <t>Jul 10, 2025</t>
  </si>
  <si>
    <t>210.51</t>
  </si>
  <si>
    <t>213.48</t>
  </si>
  <si>
    <t>210.03</t>
  </si>
  <si>
    <t>211.77</t>
  </si>
  <si>
    <t>44,443,600</t>
  </si>
  <si>
    <t>Jul 9, 2025</t>
  </si>
  <si>
    <t>209.53</t>
  </si>
  <si>
    <t>211.33</t>
  </si>
  <si>
    <t>207.22</t>
  </si>
  <si>
    <t>211.14</t>
  </si>
  <si>
    <t>210.50</t>
  </si>
  <si>
    <t>48,749,400</t>
  </si>
  <si>
    <t>Jul 8, 2025</t>
  </si>
  <si>
    <t>210.10</t>
  </si>
  <si>
    <t>211.43</t>
  </si>
  <si>
    <t>208.45</t>
  </si>
  <si>
    <t>210.01</t>
  </si>
  <si>
    <t>209.37</t>
  </si>
  <si>
    <t>42,848,900</t>
  </si>
  <si>
    <t>Jul 7, 2025</t>
  </si>
  <si>
    <t>212.68</t>
  </si>
  <si>
    <t>216.23</t>
  </si>
  <si>
    <t>208.80</t>
  </si>
  <si>
    <t>209.95</t>
  </si>
  <si>
    <t>209.31</t>
  </si>
  <si>
    <t>50,229,000</t>
  </si>
  <si>
    <t>Jul 3, 2025</t>
  </si>
  <si>
    <t>212.15</t>
  </si>
  <si>
    <t>214.65</t>
  </si>
  <si>
    <t>211.81</t>
  </si>
  <si>
    <t>213.55</t>
  </si>
  <si>
    <t>212.90</t>
  </si>
  <si>
    <t>34,955,800</t>
  </si>
  <si>
    <t>Jul 2, 2025</t>
  </si>
  <si>
    <t>208.91</t>
  </si>
  <si>
    <t>213.34</t>
  </si>
  <si>
    <t>208.14</t>
  </si>
  <si>
    <t>212.44</t>
  </si>
  <si>
    <t>67,941,800</t>
  </si>
  <si>
    <t>Jul 1, 2025</t>
  </si>
  <si>
    <t>206.67</t>
  </si>
  <si>
    <t>210.19</t>
  </si>
  <si>
    <t>206.14</t>
  </si>
  <si>
    <t>207.82</t>
  </si>
  <si>
    <t>207.19</t>
  </si>
  <si>
    <t>78,788,900</t>
  </si>
  <si>
    <t>Jun 30, 2025</t>
  </si>
  <si>
    <t>202.01</t>
  </si>
  <si>
    <t>207.39</t>
  </si>
  <si>
    <t>199.26</t>
  </si>
  <si>
    <t>205.17</t>
  </si>
  <si>
    <t>204.55</t>
  </si>
  <si>
    <t>91,912,800</t>
  </si>
  <si>
    <t>Jun 27, 2025</t>
  </si>
  <si>
    <t>201.89</t>
  </si>
  <si>
    <t>203.22</t>
  </si>
  <si>
    <t>200.00</t>
  </si>
  <si>
    <t>201.08</t>
  </si>
  <si>
    <t>200.47</t>
  </si>
  <si>
    <t>73,188,600</t>
  </si>
  <si>
    <t>Jun 26, 2025</t>
  </si>
  <si>
    <t>201.43</t>
  </si>
  <si>
    <t>202.64</t>
  </si>
  <si>
    <t>199.46</t>
  </si>
  <si>
    <t>201.00</t>
  </si>
  <si>
    <t>200.39</t>
  </si>
  <si>
    <t>50,799,100</t>
  </si>
  <si>
    <t>Jun 25, 2025</t>
  </si>
  <si>
    <t>201.45</t>
  </si>
  <si>
    <t>203.67</t>
  </si>
  <si>
    <t>200.62</t>
  </si>
  <si>
    <t>201.56</t>
  </si>
  <si>
    <t>200.95</t>
  </si>
  <si>
    <t>39,525,700</t>
  </si>
  <si>
    <t>Jun 24, 2025</t>
  </si>
  <si>
    <t>202.59</t>
  </si>
  <si>
    <t>203.44</t>
  </si>
  <si>
    <t>200.20</t>
  </si>
  <si>
    <t>200.30</t>
  </si>
  <si>
    <t>199.69</t>
  </si>
  <si>
    <t>54,064,000</t>
  </si>
  <si>
    <t>Jun 23, 2025</t>
  </si>
  <si>
    <t>201.63</t>
  </si>
  <si>
    <t>198.96</t>
  </si>
  <si>
    <t>200.89</t>
  </si>
  <si>
    <t>55,814,300</t>
  </si>
  <si>
    <t>Jun 20, 2025</t>
  </si>
  <si>
    <t>198.24</t>
  </si>
  <si>
    <t>201.70</t>
  </si>
  <si>
    <t>196.86</t>
  </si>
  <si>
    <t>96,813,500</t>
  </si>
  <si>
    <t>Jun 18, 2025</t>
  </si>
  <si>
    <t>195.94</t>
  </si>
  <si>
    <t>197.57</t>
  </si>
  <si>
    <t>195.07</t>
  </si>
  <si>
    <t>196.58</t>
  </si>
  <si>
    <t>195.98</t>
  </si>
  <si>
    <t>45,394,700</t>
  </si>
  <si>
    <t>Jun 17, 2025</t>
  </si>
  <si>
    <t>197.20</t>
  </si>
  <si>
    <t>198.39</t>
  </si>
  <si>
    <t>195.21</t>
  </si>
  <si>
    <t>195.64</t>
  </si>
  <si>
    <t>195.05</t>
  </si>
  <si>
    <t>38,856,200</t>
  </si>
  <si>
    <t>Jun 16, 2025</t>
  </si>
  <si>
    <t>197.30</t>
  </si>
  <si>
    <t>198.69</t>
  </si>
  <si>
    <t>196.56</t>
  </si>
  <si>
    <t>198.42</t>
  </si>
  <si>
    <t>197.82</t>
  </si>
  <si>
    <t>43,020,700</t>
  </si>
  <si>
    <t>Jun 13, 2025</t>
  </si>
  <si>
    <t>199.73</t>
  </si>
  <si>
    <t>200.37</t>
  </si>
  <si>
    <t>195.70</t>
  </si>
  <si>
    <t>196.45</t>
  </si>
  <si>
    <t>195.85</t>
  </si>
  <si>
    <t>51,447,300</t>
  </si>
  <si>
    <t>Jun 12, 2025</t>
  </si>
  <si>
    <t>199.08</t>
  </si>
  <si>
    <t>199.68</t>
  </si>
  <si>
    <t>197.36</t>
  </si>
  <si>
    <t>199.20</t>
  </si>
  <si>
    <t>198.60</t>
  </si>
  <si>
    <t>43,904,600</t>
  </si>
  <si>
    <t>Jun 11, 2025</t>
  </si>
  <si>
    <t>203.50</t>
  </si>
  <si>
    <t>204.50</t>
  </si>
  <si>
    <t>198.41</t>
  </si>
  <si>
    <t>198.78</t>
  </si>
  <si>
    <t>198.18</t>
  </si>
  <si>
    <t>60,989,900</t>
  </si>
  <si>
    <t>Jun 10, 2025</t>
  </si>
  <si>
    <t>200.60</t>
  </si>
  <si>
    <t>204.35</t>
  </si>
  <si>
    <t>200.57</t>
  </si>
  <si>
    <t>202.67</t>
  </si>
  <si>
    <t>202.06</t>
  </si>
  <si>
    <t>54,672,600</t>
  </si>
  <si>
    <t>Jun 9, 2025</t>
  </si>
  <si>
    <t>204.39</t>
  </si>
  <si>
    <t>206.00</t>
  </si>
  <si>
    <t>200.02</t>
  </si>
  <si>
    <t>200.84</t>
  </si>
  <si>
    <t>72,862,600</t>
  </si>
  <si>
    <t>Jun 6, 2025</t>
  </si>
  <si>
    <t>203.00</t>
  </si>
  <si>
    <t>205.70</t>
  </si>
  <si>
    <t>202.05</t>
  </si>
  <si>
    <t>203.92</t>
  </si>
  <si>
    <t>203.30</t>
  </si>
  <si>
    <t>46,607,700</t>
  </si>
  <si>
    <t>Jun 5, 2025</t>
  </si>
  <si>
    <t>204.75</t>
  </si>
  <si>
    <t>200.15</t>
  </si>
  <si>
    <t>200.63</t>
  </si>
  <si>
    <t>55,126,100</t>
  </si>
  <si>
    <t>Jun 4, 2025</t>
  </si>
  <si>
    <t>202.91</t>
  </si>
  <si>
    <t>206.24</t>
  </si>
  <si>
    <t>202.10</t>
  </si>
  <si>
    <t>202.82</t>
  </si>
  <si>
    <t>202.20</t>
  </si>
  <si>
    <t>43,604,000</t>
  </si>
  <si>
    <t>Jun 3, 2025</t>
  </si>
  <si>
    <t>201.35</t>
  </si>
  <si>
    <t>203.77</t>
  </si>
  <si>
    <t>200.96</t>
  </si>
  <si>
    <t>203.27</t>
  </si>
  <si>
    <t>202.65</t>
  </si>
  <si>
    <t>46,381,600</t>
  </si>
  <si>
    <t>Jun 2, 2025</t>
  </si>
  <si>
    <t>200.28</t>
  </si>
  <si>
    <t>202.13</t>
  </si>
  <si>
    <t>200.12</t>
  </si>
  <si>
    <t>201.09</t>
  </si>
  <si>
    <t>35,423,300</t>
  </si>
  <si>
    <t>May 30, 2025</t>
  </si>
  <si>
    <t>199.37</t>
  </si>
  <si>
    <t>201.96</t>
  </si>
  <si>
    <t>196.78</t>
  </si>
  <si>
    <t>200.85</t>
  </si>
  <si>
    <t>200.24</t>
  </si>
  <si>
    <t>70,819,900</t>
  </si>
  <si>
    <t>May 29, 2025</t>
  </si>
  <si>
    <t>203.58</t>
  </si>
  <si>
    <t>203.81</t>
  </si>
  <si>
    <t>198.51</t>
  </si>
  <si>
    <t>199.95</t>
  </si>
  <si>
    <t>199.34</t>
  </si>
  <si>
    <t>51,396,800</t>
  </si>
  <si>
    <t>May 28, 2025</t>
  </si>
  <si>
    <t>200.59</t>
  </si>
  <si>
    <t>199.90</t>
  </si>
  <si>
    <t>200.42</t>
  </si>
  <si>
    <t>199.81</t>
  </si>
  <si>
    <t>45,339,700</t>
  </si>
  <si>
    <t>May 27, 2025</t>
  </si>
  <si>
    <t>198.30</t>
  </si>
  <si>
    <t>200.74</t>
  </si>
  <si>
    <t>197.43</t>
  </si>
  <si>
    <t>200.21</t>
  </si>
  <si>
    <t>199.60</t>
  </si>
  <si>
    <t>56,288,500</t>
  </si>
  <si>
    <t>May 23, 2025</t>
  </si>
  <si>
    <t>193.67</t>
  </si>
  <si>
    <t>197.70</t>
  </si>
  <si>
    <t>193.46</t>
  </si>
  <si>
    <t>195.27</t>
  </si>
  <si>
    <t>194.68</t>
  </si>
  <si>
    <t>78,432,900</t>
  </si>
  <si>
    <t>May 22, 2025</t>
  </si>
  <si>
    <t>200.71</t>
  </si>
  <si>
    <t>202.75</t>
  </si>
  <si>
    <t>199.70</t>
  </si>
  <si>
    <t>201.36</t>
  </si>
  <si>
    <t>200.75</t>
  </si>
  <si>
    <t>46,742,400</t>
  </si>
  <si>
    <t>May 21, 2025</t>
  </si>
  <si>
    <t>207.04</t>
  </si>
  <si>
    <t>202.09</t>
  </si>
  <si>
    <t>201.48</t>
  </si>
  <si>
    <t>59,211,800</t>
  </si>
  <si>
    <t>May 20, 2025</t>
  </si>
  <si>
    <t>207.67</t>
  </si>
  <si>
    <t>208.47</t>
  </si>
  <si>
    <t>205.03</t>
  </si>
  <si>
    <t>206.86</t>
  </si>
  <si>
    <t>206.23</t>
  </si>
  <si>
    <t>42,496,600</t>
  </si>
  <si>
    <t>May 19, 2025</t>
  </si>
  <si>
    <t>207.91</t>
  </si>
  <si>
    <t>209.48</t>
  </si>
  <si>
    <t>204.26</t>
  </si>
  <si>
    <t>208.78</t>
  </si>
  <si>
    <t>208.15</t>
  </si>
  <si>
    <t>46,140,500</t>
  </si>
  <si>
    <t>May 16, 2025</t>
  </si>
  <si>
    <t>212.36</t>
  </si>
  <si>
    <t>212.57</t>
  </si>
  <si>
    <t>209.77</t>
  </si>
  <si>
    <t>211.26</t>
  </si>
  <si>
    <t>210.62</t>
  </si>
  <si>
    <t>54,737,900</t>
  </si>
  <si>
    <t>May 15, 2025</t>
  </si>
  <si>
    <t>210.95</t>
  </si>
  <si>
    <t>212.96</t>
  </si>
  <si>
    <t>209.54</t>
  </si>
  <si>
    <t>211.45</t>
  </si>
  <si>
    <t>210.81</t>
  </si>
  <si>
    <t>45,029,500</t>
  </si>
  <si>
    <t>May 14, 2025</t>
  </si>
  <si>
    <t>212.43</t>
  </si>
  <si>
    <t>213.94</t>
  </si>
  <si>
    <t>210.58</t>
  </si>
  <si>
    <t>212.33</t>
  </si>
  <si>
    <t>211.69</t>
  </si>
  <si>
    <t>49,325,800</t>
  </si>
  <si>
    <t>May 13, 2025</t>
  </si>
  <si>
    <t>210.43</t>
  </si>
  <si>
    <t>209.00</t>
  </si>
  <si>
    <t>212.93</t>
  </si>
  <si>
    <t>212.28</t>
  </si>
  <si>
    <t>51,909,300</t>
  </si>
  <si>
    <t>May 12, 2025</t>
  </si>
  <si>
    <t>210.97</t>
  </si>
  <si>
    <t>206.75</t>
  </si>
  <si>
    <t>210.79</t>
  </si>
  <si>
    <t>210.15</t>
  </si>
  <si>
    <t>63,775,800</t>
  </si>
  <si>
    <t>May 9, 2025</t>
  </si>
  <si>
    <t>199.00</t>
  </si>
  <si>
    <t>200.54</t>
  </si>
  <si>
    <t>197.54</t>
  </si>
  <si>
    <t>198.53</t>
  </si>
  <si>
    <t>197.67</t>
  </si>
  <si>
    <t>36,453,900</t>
  </si>
  <si>
    <t>May 8, 2025</t>
  </si>
  <si>
    <t>197.72</t>
  </si>
  <si>
    <t>200.05</t>
  </si>
  <si>
    <t>197.49</t>
  </si>
  <si>
    <t>196.63</t>
  </si>
  <si>
    <t>50,478,900</t>
  </si>
  <si>
    <t>May 7, 2025</t>
  </si>
  <si>
    <t>199.17</t>
  </si>
  <si>
    <t>199.44</t>
  </si>
  <si>
    <t>193.25</t>
  </si>
  <si>
    <t>196.25</t>
  </si>
  <si>
    <t>195.40</t>
  </si>
  <si>
    <t>68,536,700</t>
  </si>
  <si>
    <t>May 6, 2025</t>
  </si>
  <si>
    <t>198.21</t>
  </si>
  <si>
    <t>200.65</t>
  </si>
  <si>
    <t>197.02</t>
  </si>
  <si>
    <t>197.65</t>
  </si>
  <si>
    <t>51,216,500</t>
  </si>
  <si>
    <t>May 5, 2025</t>
  </si>
  <si>
    <t>203.10</t>
  </si>
  <si>
    <t>204.10</t>
  </si>
  <si>
    <t>198.89</t>
  </si>
  <si>
    <t>198.03</t>
  </si>
  <si>
    <t>69,018,500</t>
  </si>
  <si>
    <t>May 2, 2025</t>
  </si>
  <si>
    <t>206.09</t>
  </si>
  <si>
    <t>206.99</t>
  </si>
  <si>
    <t>205.35</t>
  </si>
  <si>
    <t>204.46</t>
  </si>
  <si>
    <t>101,010,600</t>
  </si>
  <si>
    <t>May 1, 2025</t>
  </si>
  <si>
    <t>209.08</t>
  </si>
  <si>
    <t>214.56</t>
  </si>
  <si>
    <t>208.90</t>
  </si>
  <si>
    <t>213.32</t>
  </si>
  <si>
    <t>57,365,700</t>
  </si>
  <si>
    <t>Apr 30, 2025</t>
  </si>
  <si>
    <t>209.30</t>
  </si>
  <si>
    <t>212.50</t>
  </si>
  <si>
    <t>211.58</t>
  </si>
  <si>
    <t>52,286,500</t>
  </si>
  <si>
    <t>Apr 29, 2025</t>
  </si>
  <si>
    <t>208.69</t>
  </si>
  <si>
    <t>212.24</t>
  </si>
  <si>
    <t>208.37</t>
  </si>
  <si>
    <t>211.21</t>
  </si>
  <si>
    <t>210.29</t>
  </si>
  <si>
    <t>36,827,600</t>
  </si>
  <si>
    <t>Apr 28, 2025</t>
  </si>
  <si>
    <t>210.00</t>
  </si>
  <si>
    <t>211.50</t>
  </si>
  <si>
    <t>207.46</t>
  </si>
  <si>
    <t>210.14</t>
  </si>
  <si>
    <t>209.23</t>
  </si>
  <si>
    <t>38,743,100</t>
  </si>
  <si>
    <t>Apr 25, 2025</t>
  </si>
  <si>
    <t>206.37</t>
  </si>
  <si>
    <t>209.75</t>
  </si>
  <si>
    <t>206.20</t>
  </si>
  <si>
    <t>209.28</t>
  </si>
  <si>
    <t>38,222,300</t>
  </si>
  <si>
    <t>Apr 24, 2025</t>
  </si>
  <si>
    <t>204.89</t>
  </si>
  <si>
    <t>208.83</t>
  </si>
  <si>
    <t>202.94</t>
  </si>
  <si>
    <t>207.47</t>
  </si>
  <si>
    <t>47,311,000</t>
  </si>
  <si>
    <t>Apr 23, 2025</t>
  </si>
  <si>
    <t>208.00</t>
  </si>
  <si>
    <t>202.80</t>
  </si>
  <si>
    <t>204.60</t>
  </si>
  <si>
    <t>203.71</t>
  </si>
  <si>
    <t>52,929,200</t>
  </si>
  <si>
    <t>Apr 22, 2025</t>
  </si>
  <si>
    <t>196.12</t>
  </si>
  <si>
    <t>201.59</t>
  </si>
  <si>
    <t>195.97</t>
  </si>
  <si>
    <t>199.74</t>
  </si>
  <si>
    <t>198.87</t>
  </si>
  <si>
    <t>52,976,400</t>
  </si>
  <si>
    <t>Apr 21, 2025</t>
  </si>
  <si>
    <t>193.27</t>
  </si>
  <si>
    <t>193.80</t>
  </si>
  <si>
    <t>189.81</t>
  </si>
  <si>
    <t>193.16</t>
  </si>
  <si>
    <t>192.32</t>
  </si>
  <si>
    <t>46,742,500</t>
  </si>
  <si>
    <t>Apr 17, 2025</t>
  </si>
  <si>
    <t>198.83</t>
  </si>
  <si>
    <t>194.42</t>
  </si>
  <si>
    <t>196.98</t>
  </si>
  <si>
    <t>196.13</t>
  </si>
  <si>
    <t>52,164,700</t>
  </si>
  <si>
    <t>Apr 16, 2025</t>
  </si>
  <si>
    <t>198.36</t>
  </si>
  <si>
    <t>200.70</t>
  </si>
  <si>
    <t>192.37</t>
  </si>
  <si>
    <t>194.27</t>
  </si>
  <si>
    <t>193.43</t>
  </si>
  <si>
    <t>59,732,400</t>
  </si>
  <si>
    <t>Apr 15, 2025</t>
  </si>
  <si>
    <t>201.86</t>
  </si>
  <si>
    <t>203.51</t>
  </si>
  <si>
    <t>199.80</t>
  </si>
  <si>
    <t>202.14</t>
  </si>
  <si>
    <t>201.26</t>
  </si>
  <si>
    <t>51,343,900</t>
  </si>
  <si>
    <t>Apr 14, 2025</t>
  </si>
  <si>
    <t>211.44</t>
  </si>
  <si>
    <t>212.94</t>
  </si>
  <si>
    <t>201.16</t>
  </si>
  <si>
    <t>202.52</t>
  </si>
  <si>
    <t>201.64</t>
  </si>
  <si>
    <t>101,352,900</t>
  </si>
  <si>
    <t>Apr 11, 2025</t>
  </si>
  <si>
    <t>186.10</t>
  </si>
  <si>
    <t>199.54</t>
  </si>
  <si>
    <t>186.06</t>
  </si>
  <si>
    <t>198.15</t>
  </si>
  <si>
    <t>197.29</t>
  </si>
  <si>
    <t>87,435,900</t>
  </si>
  <si>
    <t>Apr 10, 2025</t>
  </si>
  <si>
    <t>189.07</t>
  </si>
  <si>
    <t>194.78</t>
  </si>
  <si>
    <t>183.00</t>
  </si>
  <si>
    <t>190.42</t>
  </si>
  <si>
    <t>189.59</t>
  </si>
  <si>
    <t>121,880,000</t>
  </si>
  <si>
    <t>Apr 9, 2025</t>
  </si>
  <si>
    <t>171.95</t>
  </si>
  <si>
    <t>200.61</t>
  </si>
  <si>
    <t>171.89</t>
  </si>
  <si>
    <t>198.85</t>
  </si>
  <si>
    <t>197.99</t>
  </si>
  <si>
    <t>184,395,900</t>
  </si>
  <si>
    <t>Apr 8, 2025</t>
  </si>
  <si>
    <t>186.70</t>
  </si>
  <si>
    <t>190.34</t>
  </si>
  <si>
    <t>169.21</t>
  </si>
  <si>
    <t>172.42</t>
  </si>
  <si>
    <t>171.67</t>
  </si>
  <si>
    <t>120,859,500</t>
  </si>
  <si>
    <t>Apr 7, 2025</t>
  </si>
  <si>
    <t>177.20</t>
  </si>
  <si>
    <t>194.15</t>
  </si>
  <si>
    <t>174.62</t>
  </si>
  <si>
    <t>181.46</t>
  </si>
  <si>
    <t>180.67</t>
  </si>
  <si>
    <t>160,466,300</t>
  </si>
  <si>
    <t>Apr 4, 2025</t>
  </si>
  <si>
    <t>193.89</t>
  </si>
  <si>
    <t>199.88</t>
  </si>
  <si>
    <t>187.34</t>
  </si>
  <si>
    <t>188.38</t>
  </si>
  <si>
    <t>187.56</t>
  </si>
  <si>
    <t>125,910,900</t>
  </si>
  <si>
    <t>Apr 3, 2025</t>
  </si>
  <si>
    <t>205.54</t>
  </si>
  <si>
    <t>207.49</t>
  </si>
  <si>
    <t>201.25</t>
  </si>
  <si>
    <t>203.19</t>
  </si>
  <si>
    <t>202.31</t>
  </si>
  <si>
    <t>103,419,000</t>
  </si>
  <si>
    <t>AAPL Return</t>
  </si>
  <si>
    <t>Market Return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</si>
  <si>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</si>
  <si>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</si>
  <si>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</si>
  <si>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</si>
  <si>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</si>
  <si>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</si>
  <si>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</si>
  <si>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</si>
  <si>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</si>
  <si>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</si>
  <si>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</si>
  <si>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</si>
  <si>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</si>
  <si>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</si>
  <si>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</si>
  <si>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</si>
  <si>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</si>
  <si>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</si>
  <si>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</si>
  <si>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</si>
  <si>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</si>
  <si>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</si>
  <si>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</si>
  <si>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</si>
  <si>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X Variable 1</t>
  </si>
  <si>
    <t>AAPL_Close</t>
  </si>
  <si>
    <t>SP500_Close</t>
  </si>
  <si>
    <t>Rd = Interest Expense / Total Debt</t>
  </si>
  <si>
    <t>Calculate Cost of Debt</t>
  </si>
  <si>
    <t>Total debts</t>
  </si>
  <si>
    <t>Rd</t>
  </si>
  <si>
    <t>Tax Rate</t>
  </si>
  <si>
    <t xml:space="preserve">WACC </t>
  </si>
  <si>
    <t>WACC = (E/V × Re) + (D/V × Rd × (1 − T))</t>
  </si>
  <si>
    <t>E(Market Cap)</t>
  </si>
  <si>
    <t>Total Value of the firm V</t>
  </si>
  <si>
    <t>RE</t>
  </si>
  <si>
    <t>Calculate Weighted Average Cost of Capital</t>
  </si>
  <si>
    <t>Forecast</t>
  </si>
  <si>
    <t>Year 1 FCF = Base FCF × (1 + Growth Rate)</t>
  </si>
  <si>
    <t>year 2 =Year1 × (1 + Growth Rate)</t>
  </si>
  <si>
    <t>Discount Factor</t>
  </si>
  <si>
    <t>Present Value of FCF</t>
  </si>
  <si>
    <t>Terminal Value =Year5_FCF*(1+TerminalGrowthRate)/(WACC-TerminalGrowthRate)</t>
  </si>
  <si>
    <t>Terminal Value</t>
  </si>
  <si>
    <t>SUM(PV_FCF_Year1:PV_FCF_Year5)+PV_Terminal_Value</t>
  </si>
  <si>
    <t>Firm Value</t>
  </si>
  <si>
    <t>Intristic Stock Price</t>
  </si>
  <si>
    <t>Share Outstanding</t>
  </si>
  <si>
    <t>Current Stock Preice</t>
  </si>
  <si>
    <t>Item</t>
  </si>
  <si>
    <t>FY 2022</t>
  </si>
  <si>
    <t>FY 2023</t>
  </si>
  <si>
    <t>FY 2024</t>
  </si>
  <si>
    <t>FY 2025</t>
  </si>
  <si>
    <t>Revenue</t>
  </si>
  <si>
    <t>Total Equity</t>
  </si>
  <si>
    <t>Dividends Paid</t>
  </si>
  <si>
    <t>Total Liabilities</t>
  </si>
  <si>
    <t>Ratio</t>
  </si>
  <si>
    <t>Formula</t>
  </si>
  <si>
    <t>Interpretation</t>
  </si>
  <si>
    <t>Gross Profit Margin</t>
  </si>
  <si>
    <t>Gross Profit / Revenue</t>
  </si>
  <si>
    <t>Profitability improving steadily</t>
  </si>
  <si>
    <t>Operating Profit Margin</t>
  </si>
  <si>
    <t>Operating Income / Revenue</t>
  </si>
  <si>
    <t>Stable operating performance</t>
  </si>
  <si>
    <t>Net Profit Margin</t>
  </si>
  <si>
    <t>Net Income / Revenue</t>
  </si>
  <si>
    <t>Strong earnings performance</t>
  </si>
  <si>
    <t>Return on Assets (ROA)</t>
  </si>
  <si>
    <t>Net Income / Total Assets</t>
  </si>
  <si>
    <t>Efficient asset utilization</t>
  </si>
  <si>
    <t>Return on Equity (ROE)</t>
  </si>
  <si>
    <t>Net Income / Total Equity</t>
  </si>
  <si>
    <t>High shareholder returns</t>
  </si>
  <si>
    <t>Earnings Per Share (EPS)</t>
  </si>
  <si>
    <t>Net Income / Shares Outstanding</t>
  </si>
  <si>
    <t>Increasing shareholder value</t>
  </si>
  <si>
    <t>Current Ratio</t>
  </si>
  <si>
    <t>Current Assets / Current Liabilities</t>
  </si>
  <si>
    <t>Quick Ratio</t>
  </si>
  <si>
    <t>(Current Assets − Inventory) / Current Liabilities</t>
  </si>
  <si>
    <t>Limited short-term liquidity</t>
  </si>
  <si>
    <t>Cash Ratio</t>
  </si>
  <si>
    <t>Cash / Current Liabilities</t>
  </si>
  <si>
    <t>Low immediate liquidity</t>
  </si>
  <si>
    <t>Price-to-Earnings (P/E)</t>
  </si>
  <si>
    <t>Market Price / EPS</t>
  </si>
  <si>
    <t>N/A</t>
  </si>
  <si>
    <t>Cannot calculate (price missing)</t>
  </si>
  <si>
    <t>Dividend Payout Ratio</t>
  </si>
  <si>
    <t>Dividends / Net Income</t>
  </si>
  <si>
    <t>Low payout, retains earnings</t>
  </si>
  <si>
    <t>Debt-to-Equity Ratio</t>
  </si>
  <si>
    <t>Total Liabilities / Total Equity</t>
  </si>
  <si>
    <t>High leverage but improving</t>
  </si>
  <si>
    <t>Sustainable Growth Rate</t>
  </si>
  <si>
    <t>ROE × (1 − Dividend Payout)</t>
  </si>
  <si>
    <t>Strong internal growth capacity</t>
  </si>
  <si>
    <t>Below 1 - liquidity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</si>
</sst>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0.00;[Red]0.00"/>
    <numFmt numFmtId="166" formatCode="&quot;$&quot;#,##0.00;[Red]&quot;$&quot;#,##0.00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/>
    <xf numFmtId="0" fontId="3" fillId="0" borderId="0" xfId="0" applyFont="1"/>
    <xf numFmtId="165" fontId="0" fillId="0" borderId="0" xfId="0" applyNumberFormat="1"/>
    <xf numFmtId="10" fontId="0" fillId="0" borderId="0" xfId="0" applyNumberFormat="1"/>
    <xf numFmtId="49" fontId="0" fillId="0" borderId="0" xfId="0" applyNumberFormat="1"/>
    <xf numFmtId="3" fontId="0" fillId="0" borderId="0" xfId="0" applyNumberFormat="1"/>
    <xf numFmtId="0" fontId="1" fillId="2" borderId="2" xfId="0" applyFont="1" applyFill="1" applyBorder="1" applyAlignment="1">
      <alignment horizontal="center" vertical="top"/>
    </xf>
    <xf numFmtId="0" fontId="0" fillId="2" borderId="0" xfId="0" applyFill="1"/>
    <xf numFmtId="165" fontId="0" fillId="2" borderId="0" xfId="0" applyNumberFormat="1" applyFill="1"/>
    <xf numFmtId="10" fontId="0" fillId="2" borderId="0" xfId="0" applyNumberFormat="1" applyFill="1"/>
    <xf numFmtId="49" fontId="0" fillId="2" borderId="0" xfId="0" applyNumberFormat="1" applyFill="1"/>
    <xf numFmtId="0" fontId="0" fillId="0" borderId="3" xfId="0" applyBorder="1"/>
    <xf numFmtId="0" fontId="4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  <xf numFmtId="49" fontId="3" fillId="0" borderId="0" xfId="0" applyNumberFormat="1" applyFont="1"/>
    <xf numFmtId="166" fontId="0" fillId="2" borderId="0" xfId="0" applyNumberFormat="1" applyFill="1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'Free Cash Flow'!$B$1</c:f>
              <c:strCache>
                <c:ptCount val="1"/>
                <c:pt idx="0">
                  <c:v>FCF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'Free Cash Flow'!$A$2:$A$5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'Free Cash Flow'!$B$2:$B$5</c:f>
              <c:numCache>
                <c:formatCode>@</c:formatCode>
                <c:ptCount val="4"/>
                <c:pt idx="0">
                  <c:v>111443000</c:v>
                </c:pt>
                <c:pt idx="1">
                  <c:v>99584000</c:v>
                </c:pt>
                <c:pt idx="2">
                  <c:v>108807000</c:v>
                </c:pt>
                <c:pt idx="3">
                  <c:v>98767000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13C-8F4F-8B2A-3AB75DE66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1457839"/>
        <c:axId val="159020815"/>
      </c:lineChart>
      <c:catAx>
        <c:axId val="24145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020815"/>
        <c:crosses val="autoZero"/>
        <c:auto val="1"/>
        <c:lblAlgn val="ctr"/>
        <c:lblOffset val="100"/>
        <c:noMultiLvlLbl val="0"/>
      </c:catAx>
      <c:valAx>
        <c:axId val="15902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4578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241300</xdr:colOff>
      <xdr:row>14</xdr:row>
      <xdr:rowOff>38100</xdr:rowOff>
    </xdr:from>
    <xdr:to>
      <xdr:col>8</xdr:col>
      <xdr:colOff>647700</xdr:colOff>
      <xdr:row>17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1DDFC17-BA5B-F95C-7B4E-D008C2B32EDA}"/>
            </a:ext>
          </a:extLst>
        </xdr:cNvPr>
        <xdr:cNvSpPr txBox="1"/>
      </xdr:nvSpPr>
      <xdr:spPr>
        <a:xfrm>
          <a:off x="6870700" y="2705100"/>
          <a:ext cx="3949700" cy="584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/>
            <a:t>Apple demonstrates </a:t>
          </a:r>
          <a:r>
            <a:rPr lang="en-CA" b="1"/>
            <a:t>strong dividend growth (11.68%) with low yield, indicating a stable, growth-oriented investment.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582930</xdr:colOff>
      <xdr:row>17</xdr:row>
      <xdr:rowOff>255270</xdr:rowOff>
    </xdr:from>
    <xdr:to>
      <xdr:col>11</xdr:col>
      <xdr:colOff>156210</xdr:colOff>
      <xdr:row>18</xdr:row>
      <xdr:rowOff>773430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2CD95CE-AB54-344F-996A-31B74260B158}"/>
            </a:ext>
          </a:extLst>
        </xdr:cNvPr>
        <xdr:cNvSpPr txBox="1"/>
      </xdr:nvSpPr>
      <xdr:spPr>
        <a:xfrm>
          <a:off x="6640830" y="3430270"/>
          <a:ext cx="919480" cy="187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CA" sz="1100"/>
        </a:p>
      </xdr:txBody>
    </xdr:sp>
    <xdr:clientData/>
  </xdr:twoCellAnchor>
  <xdr:twoCellAnchor>
    <xdr:from>
      <xdr:col>0</xdr:col>
      <xdr:colOff>647700</xdr:colOff>
      <xdr:row>16</xdr:row>
      <xdr:rowOff>0</xdr:rowOff>
    </xdr:from>
    <xdr:to>
      <xdr:col>3</xdr:col>
      <xdr:colOff>487680</xdr:colOff>
      <xdr:row>17</xdr:row>
      <xdr:rowOff>7620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BB9F9A-0CD6-C24C-A3D3-52CB16654E7C}"/>
            </a:ext>
          </a:extLst>
        </xdr:cNvPr>
        <xdr:cNvSpPr txBox="1"/>
      </xdr:nvSpPr>
      <xdr:spPr>
        <a:xfrm>
          <a:off x="647700" y="3048000"/>
          <a:ext cx="1859280" cy="198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PROFITABILITY RATIOS</a:t>
          </a:r>
        </a:p>
      </xdr:txBody>
    </xdr:sp>
    <xdr:clientData/>
  </xdr:twoCellAnchor>
  <xdr:twoCellAnchor>
    <xdr:from>
      <xdr:col>1</xdr:col>
      <xdr:colOff>7620</xdr:colOff>
      <xdr:row>25</xdr:row>
      <xdr:rowOff>15240</xdr:rowOff>
    </xdr:from>
    <xdr:to>
      <xdr:col>3</xdr:col>
      <xdr:colOff>7620</xdr:colOff>
      <xdr:row>26</xdr:row>
      <xdr:rowOff>15240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31E3B35-EAAB-024F-9D1D-0A7B83FC74C7}"/>
            </a:ext>
          </a:extLst>
        </xdr:cNvPr>
        <xdr:cNvSpPr txBox="1"/>
      </xdr:nvSpPr>
      <xdr:spPr>
        <a:xfrm>
          <a:off x="680720" y="4777740"/>
          <a:ext cx="1346200" cy="19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sz="1100"/>
            <a:t>LIQUIDITY RATIOS</a:t>
          </a:r>
        </a:p>
      </xdr:txBody>
    </xdr:sp>
    <xdr:clientData/>
  </xdr:twoCellAnchor>
  <xdr:oneCellAnchor>
    <xdr:from>
      <xdr:col>1</xdr:col>
      <xdr:colOff>22860</xdr:colOff>
      <xdr:row>32</xdr:row>
      <xdr:rowOff>182880</xdr:rowOff>
    </xdr:from>
    <xdr:ext cx="1851660" cy="19598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EE2321-B5C1-234E-AD03-FCDCDF5B6C7C}"/>
            </a:ext>
          </a:extLst>
        </xdr:cNvPr>
        <xdr:cNvSpPr txBox="1"/>
      </xdr:nvSpPr>
      <xdr:spPr>
        <a:xfrm>
          <a:off x="695960" y="6278880"/>
          <a:ext cx="1851660" cy="19598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CA" sz="1100"/>
            <a:t>ADDITIONAL</a:t>
          </a:r>
          <a:r>
            <a:rPr lang="en-CA" sz="1100" baseline="0"/>
            <a:t> RATIOS</a:t>
          </a:r>
        </a:p>
        <a:p>
          <a:endParaRPr lang="en-CA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232997</xdr:colOff>
      <xdr:row>14</xdr:row>
      <xdr:rowOff>63011</xdr:rowOff>
    </xdr:from>
    <xdr:to>
      <xdr:col>26</xdr:col>
      <xdr:colOff>817197</xdr:colOff>
      <xdr:row>17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F1CF71-F6C3-AA3A-23E0-E1F7CF90B3C6}"/>
            </a:ext>
          </a:extLst>
        </xdr:cNvPr>
        <xdr:cNvSpPr txBox="1"/>
      </xdr:nvSpPr>
      <xdr:spPr>
        <a:xfrm>
          <a:off x="13824439" y="2798396"/>
          <a:ext cx="8888046" cy="5607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/>
            <a:t>With </a:t>
          </a:r>
          <a:r>
            <a:rPr lang="en-CA" b="1"/>
            <a:t>Beta = 1.28</a:t>
          </a:r>
          <a:r>
            <a:rPr lang="en-CA"/>
            <a:t>, Apple Inc. is </a:t>
          </a:r>
          <a:r>
            <a:rPr lang="en-CA" b="1"/>
            <a:t>more volatile than the market</a:t>
          </a:r>
          <a:r>
            <a:rPr lang="en-CA"/>
            <a:t>,</a:t>
          </a:r>
          <a:r>
            <a:rPr lang="en-CA" baseline="0"/>
            <a:t> which means </a:t>
          </a:r>
          <a:r>
            <a:rPr lang="en-CA"/>
            <a:t>it carries </a:t>
          </a:r>
          <a:r>
            <a:rPr lang="en-CA" b="1"/>
            <a:t>higher risk and higher return potential</a:t>
          </a:r>
          <a:r>
            <a:rPr lang="en-CA" b="0"/>
            <a:t>.</a:t>
          </a:r>
          <a:endParaRPr lang="en-US" sz="1100"/>
        </a:p>
      </xdr:txBody>
    </xdr:sp>
    <xdr:clientData/>
  </xdr:twoCellAnchor>
  <xdr:twoCellAnchor>
    <xdr:from>
      <xdr:col>16</xdr:col>
      <xdr:colOff>0</xdr:colOff>
      <xdr:row>2</xdr:row>
      <xdr:rowOff>0</xdr:rowOff>
    </xdr:from>
    <xdr:to>
      <xdr:col>22</xdr:col>
      <xdr:colOff>406400</xdr:colOff>
      <xdr:row>8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D8325B-9A0F-B242-87F0-5DE25BB92507}"/>
            </a:ext>
          </a:extLst>
        </xdr:cNvPr>
        <xdr:cNvSpPr txBox="1"/>
      </xdr:nvSpPr>
      <xdr:spPr>
        <a:xfrm>
          <a:off x="13538200" y="381000"/>
          <a:ext cx="5359400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/>
            <a:t>The </a:t>
          </a:r>
          <a:r>
            <a:rPr lang="en-CA" b="1"/>
            <a:t>Capital Asset Pricing Model (CAPM)</a:t>
          </a:r>
          <a:r>
            <a:rPr lang="en-CA"/>
            <a:t> is a financial model used to calculate the expected return of a stock based on its risk relative to the market, using the formula: expected return equals risk-free rate plus beta multiplied by market risk premium, and its importance in valuation is that it provides the </a:t>
          </a:r>
          <a:r>
            <a:rPr lang="en-CA" b="1"/>
            <a:t>cost of equity (Re)</a:t>
          </a:r>
          <a:r>
            <a:rPr lang="en-CA"/>
            <a:t> used in WACC and DCF analysis, helping investors determine whether a stock like Apple Inc. is fairly valued, undervalued, or overvalued based on its required return.</a:t>
          </a:r>
          <a:endParaRPr lang="en-US" sz="1100"/>
        </a:p>
      </xdr:txBody>
    </xdr:sp>
    <xdr:clientData/>
  </xdr:twoCellAnchor>
  <xdr:twoCellAnchor>
    <xdr:from>
      <xdr:col>10</xdr:col>
      <xdr:colOff>431800</xdr:colOff>
      <xdr:row>4</xdr:row>
      <xdr:rowOff>50800</xdr:rowOff>
    </xdr:from>
    <xdr:to>
      <xdr:col>14</xdr:col>
      <xdr:colOff>558800</xdr:colOff>
      <xdr:row>13</xdr:row>
      <xdr:rowOff>50800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CEE42C0-08CD-4B4B-8E44-9064E62AF5DB}"/>
            </a:ext>
          </a:extLst>
        </xdr:cNvPr>
        <xdr:cNvSpPr txBox="1"/>
      </xdr:nvSpPr>
      <xdr:spPr>
        <a:xfrm>
          <a:off x="9017000" y="812800"/>
          <a:ext cx="3429000" cy="171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/>
            <a:t>Investors expect </a:t>
          </a:r>
          <a:r>
            <a:rPr lang="en-CA" b="1"/>
            <a:t>17.08% return</a:t>
          </a:r>
          <a:r>
            <a:rPr lang="en-CA"/>
            <a:t> from Apple Inc. Apple carries </a:t>
          </a:r>
          <a:r>
            <a:rPr lang="en-CA" b="1"/>
            <a:t>moderate market risk (Beta &gt; 1)</a:t>
          </a:r>
          <a:r>
            <a:rPr lang="en-CA"/>
            <a:t> Return is </a:t>
          </a:r>
          <a:r>
            <a:rPr lang="en-CA" b="1"/>
            <a:t>higher than risk-free rate → compensation for risk.</a:t>
          </a:r>
        </a:p>
        <a:p>
          <a:endParaRPr lang="en-US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CA"/>
            <a:t>CAPM of </a:t>
          </a:r>
          <a:r>
            <a:rPr lang="en-CA" b="1"/>
            <a:t>17.08% indicates Apple offers a relatively high expected return, reflecting its market risk and strong growth potential.</a:t>
          </a:r>
          <a:endParaRPr lang="en-CA"/>
        </a:p>
        <a:p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12</xdr:row>
      <xdr:rowOff>0</xdr:rowOff>
    </xdr:from>
    <xdr:to>
      <xdr:col>9</xdr:col>
      <xdr:colOff>444500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D2028F-6E67-6C48-B794-2A2A52160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7</xdr:row>
      <xdr:rowOff>0</xdr:rowOff>
    </xdr:from>
    <xdr:to>
      <xdr:col>15</xdr:col>
      <xdr:colOff>203200</xdr:colOff>
      <xdr:row>17</xdr:row>
      <xdr:rowOff>12700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FDAB516-9908-1144-9E55-D40962C8E1F1}"/>
            </a:ext>
          </a:extLst>
        </xdr:cNvPr>
        <xdr:cNvSpPr txBox="1"/>
      </xdr:nvSpPr>
      <xdr:spPr>
        <a:xfrm>
          <a:off x="8255000" y="1333500"/>
          <a:ext cx="4330700" cy="191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b="0"/>
            <a:t>Apple is still making a lot of cash every year </a:t>
          </a:r>
        </a:p>
        <a:p>
          <a:r>
            <a:rPr lang="en-CA" b="0"/>
            <a:t>Cash flow is going up and down, but not falling badly </a:t>
          </a:r>
        </a:p>
        <a:p>
          <a:r>
            <a:rPr lang="en-CA" b="0"/>
            <a:t>Small drops are normal company is investing and growing </a:t>
          </a:r>
        </a:p>
        <a:p>
          <a:r>
            <a:rPr lang="en-CA" b="0"/>
            <a:t>Even in bad years, Apple is financially strong </a:t>
          </a:r>
        </a:p>
        <a:p>
          <a:r>
            <a:rPr lang="en-CA" b="0"/>
            <a:t>Company can still pay dividends and buy back shares</a:t>
          </a:r>
        </a:p>
        <a:p>
          <a:r>
            <a:rPr lang="en-CA" b="0"/>
            <a:t> Investors don’t need to worry much - low risk overall </a:t>
          </a:r>
        </a:p>
        <a:p>
          <a:r>
            <a:rPr lang="en-CA" b="0"/>
            <a:t>Shows a stable business with long-term growth potential</a:t>
          </a:r>
          <a:endParaRPr lang="en-US" sz="1100" b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30</xdr:row>
      <xdr:rowOff>127000</xdr:rowOff>
    </xdr:from>
    <xdr:to>
      <xdr:col>11</xdr:col>
      <xdr:colOff>762000</xdr:colOff>
      <xdr:row>36</xdr:row>
      <xdr:rowOff>38100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3D3408-FA0F-0D93-B76D-FB5322A984E1}"/>
            </a:ext>
          </a:extLst>
        </xdr:cNvPr>
        <xdr:cNvSpPr txBox="1"/>
      </xdr:nvSpPr>
      <xdr:spPr>
        <a:xfrm>
          <a:off x="10401300" y="5842000"/>
          <a:ext cx="4533900" cy="105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CA" b="1"/>
            <a:t>0.07901186&lt;253.5</a:t>
          </a:r>
          <a:r>
            <a:rPr lang="en-CA" b="1" baseline="0"/>
            <a:t> </a:t>
          </a:r>
          <a:r>
            <a:rPr lang="en-CA" b="1"/>
            <a:t>Intrinsic Price &lt; Market Price</a:t>
          </a:r>
          <a:r>
            <a:rPr lang="en-CA"/>
            <a:t> it looks </a:t>
          </a:r>
          <a:r>
            <a:rPr lang="en-CA" b="1"/>
            <a:t>overvalued. </a:t>
          </a:r>
          <a:r>
            <a:rPr lang="en-CA"/>
            <a:t>The stock appears overvalued, suggesting limited upside and higher risk. Then overvalued means </a:t>
          </a:r>
          <a:r>
            <a:rPr lang="en-CA" baseline="0"/>
            <a:t> </a:t>
          </a:r>
          <a:r>
            <a:rPr lang="en-CA"/>
            <a:t>SELL</a:t>
          </a: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14"/>
  <sheetViews>
    <sheetView workbookViewId="0">
      <selection activeCell="N28" sqref="N28"/>
    </sheetView>
  </sheetViews>
  <sheetFormatPr baseColWidth="10" defaultColWidth="8.83203125" defaultRowHeight="15" x14ac:dyDescent="0.2"/>
  <cols>
    <col min="1" max="1" width="18.1640625" bestFit="1" customWidth="1"/>
    <col min="11" max="11" width="8.83203125" style="11"/>
    <col min="13" max="13" width="26.5" customWidth="1"/>
    <col min="14" max="14" width="21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10" t="s">
        <v>19</v>
      </c>
      <c r="M1" s="3" t="s">
        <v>20</v>
      </c>
      <c r="N1" s="4" t="s">
        <v>21</v>
      </c>
    </row>
    <row r="2" spans="1:14" x14ac:dyDescent="0.2">
      <c r="A2" s="2">
        <v>42467</v>
      </c>
      <c r="B2">
        <v>2063.010009765625</v>
      </c>
      <c r="C2">
        <v>2063.010009765625</v>
      </c>
      <c r="D2">
        <v>2033.800048828125</v>
      </c>
      <c r="E2">
        <v>2041.910034179688</v>
      </c>
      <c r="F2">
        <v>2041.910034179688</v>
      </c>
      <c r="G2">
        <v>3801250000</v>
      </c>
      <c r="H2">
        <v>0</v>
      </c>
      <c r="I2">
        <v>0</v>
      </c>
    </row>
    <row r="3" spans="1:14" x14ac:dyDescent="0.2">
      <c r="A3" s="2">
        <v>42468</v>
      </c>
      <c r="B3">
        <v>2045.5400390625</v>
      </c>
      <c r="C3">
        <v>2060.6298828125</v>
      </c>
      <c r="D3">
        <v>2041.68994140625</v>
      </c>
      <c r="E3">
        <v>2047.599975585938</v>
      </c>
      <c r="F3">
        <v>2047.599975585938</v>
      </c>
      <c r="G3">
        <v>3359530000</v>
      </c>
      <c r="H3">
        <v>0</v>
      </c>
      <c r="I3">
        <v>0</v>
      </c>
      <c r="K3" s="11">
        <f>(E3/E2)-1</f>
        <v>2.7865779152880243E-3</v>
      </c>
      <c r="M3" s="11">
        <f>AVERAGE(K3:K2514)</f>
        <v>5.326470625436916E-4</v>
      </c>
      <c r="N3" s="12">
        <f>(1+M3)^252-1</f>
        <v>0.14361159977587934</v>
      </c>
    </row>
    <row r="4" spans="1:14" x14ac:dyDescent="0.2">
      <c r="A4" s="2">
        <v>42471</v>
      </c>
      <c r="B4">
        <v>2050.22998046875</v>
      </c>
      <c r="C4">
        <v>2062.929931640625</v>
      </c>
      <c r="D4">
        <v>2041.880004882812</v>
      </c>
      <c r="E4">
        <v>2041.989990234375</v>
      </c>
      <c r="F4">
        <v>2041.989990234375</v>
      </c>
      <c r="G4">
        <v>3567840000</v>
      </c>
      <c r="H4">
        <v>0</v>
      </c>
      <c r="I4">
        <v>0</v>
      </c>
      <c r="K4" s="11">
        <f t="shared" ref="K4:K67" si="0">(E4/E3)-1</f>
        <v>-2.7397858070190573E-3</v>
      </c>
    </row>
    <row r="5" spans="1:14" x14ac:dyDescent="0.2">
      <c r="A5" s="2">
        <v>42472</v>
      </c>
      <c r="B5">
        <v>2043.719970703125</v>
      </c>
      <c r="C5">
        <v>2065.050048828125</v>
      </c>
      <c r="D5">
        <v>2039.739990234375</v>
      </c>
      <c r="E5">
        <v>2061.719970703125</v>
      </c>
      <c r="F5">
        <v>2061.719970703125</v>
      </c>
      <c r="G5">
        <v>4239740000</v>
      </c>
      <c r="H5">
        <v>0</v>
      </c>
      <c r="I5">
        <v>0</v>
      </c>
      <c r="K5" s="11">
        <f t="shared" si="0"/>
        <v>9.6621337827837994E-3</v>
      </c>
    </row>
    <row r="6" spans="1:14" x14ac:dyDescent="0.2">
      <c r="A6" s="2">
        <v>42473</v>
      </c>
      <c r="B6">
        <v>2065.919921875</v>
      </c>
      <c r="C6">
        <v>2083.179931640625</v>
      </c>
      <c r="D6">
        <v>2065.919921875</v>
      </c>
      <c r="E6">
        <v>2082.419921875</v>
      </c>
      <c r="F6">
        <v>2082.419921875</v>
      </c>
      <c r="G6">
        <v>4191830000</v>
      </c>
      <c r="H6">
        <v>0</v>
      </c>
      <c r="I6">
        <v>0</v>
      </c>
      <c r="K6" s="11">
        <f t="shared" si="0"/>
        <v>1.004013710204088E-2</v>
      </c>
    </row>
    <row r="7" spans="1:14" x14ac:dyDescent="0.2">
      <c r="A7" s="2">
        <v>42474</v>
      </c>
      <c r="B7">
        <v>2082.889892578125</v>
      </c>
      <c r="C7">
        <v>2087.840087890625</v>
      </c>
      <c r="D7">
        <v>2078.1298828125</v>
      </c>
      <c r="E7">
        <v>2082.780029296875</v>
      </c>
      <c r="F7">
        <v>2082.780029296875</v>
      </c>
      <c r="G7">
        <v>3765870000</v>
      </c>
      <c r="H7">
        <v>0</v>
      </c>
      <c r="I7">
        <v>0</v>
      </c>
      <c r="K7" s="11">
        <f t="shared" si="0"/>
        <v>1.7292738034835331E-4</v>
      </c>
    </row>
    <row r="8" spans="1:14" x14ac:dyDescent="0.2">
      <c r="A8" s="2">
        <v>42475</v>
      </c>
      <c r="B8">
        <v>2083.10009765625</v>
      </c>
      <c r="C8">
        <v>2083.219970703125</v>
      </c>
      <c r="D8">
        <v>2076.31005859375</v>
      </c>
      <c r="E8">
        <v>2080.72998046875</v>
      </c>
      <c r="F8">
        <v>2080.72998046875</v>
      </c>
      <c r="G8">
        <v>3701450000</v>
      </c>
      <c r="H8">
        <v>0</v>
      </c>
      <c r="I8">
        <v>0</v>
      </c>
      <c r="K8" s="11">
        <f t="shared" si="0"/>
        <v>-9.8428484971457841E-4</v>
      </c>
    </row>
    <row r="9" spans="1:14" x14ac:dyDescent="0.2">
      <c r="A9" s="2">
        <v>42478</v>
      </c>
      <c r="B9">
        <v>2078.830078125</v>
      </c>
      <c r="C9">
        <v>2094.659912109375</v>
      </c>
      <c r="D9">
        <v>2073.64990234375</v>
      </c>
      <c r="E9">
        <v>2094.340087890625</v>
      </c>
      <c r="F9">
        <v>2094.340087890625</v>
      </c>
      <c r="G9">
        <v>3316880000</v>
      </c>
      <c r="H9">
        <v>0</v>
      </c>
      <c r="I9">
        <v>0</v>
      </c>
      <c r="K9" s="11">
        <f t="shared" si="0"/>
        <v>6.5410252890232279E-3</v>
      </c>
    </row>
    <row r="10" spans="1:14" x14ac:dyDescent="0.2">
      <c r="A10" s="2">
        <v>42479</v>
      </c>
      <c r="B10">
        <v>2096.050048828125</v>
      </c>
      <c r="C10">
        <v>2104.050048828125</v>
      </c>
      <c r="D10">
        <v>2091.679931640625</v>
      </c>
      <c r="E10">
        <v>2100.800048828125</v>
      </c>
      <c r="F10">
        <v>2100.800048828125</v>
      </c>
      <c r="G10">
        <v>3896830000</v>
      </c>
      <c r="H10">
        <v>0</v>
      </c>
      <c r="I10">
        <v>0</v>
      </c>
      <c r="K10" s="11">
        <f t="shared" si="0"/>
        <v>3.0844851678346608E-3</v>
      </c>
    </row>
    <row r="11" spans="1:14" x14ac:dyDescent="0.2">
      <c r="A11" s="2">
        <v>42480</v>
      </c>
      <c r="B11">
        <v>2101.52001953125</v>
      </c>
      <c r="C11">
        <v>2111.050048828125</v>
      </c>
      <c r="D11">
        <v>2096.320068359375</v>
      </c>
      <c r="E11">
        <v>2102.39990234375</v>
      </c>
      <c r="F11">
        <v>2102.39990234375</v>
      </c>
      <c r="G11">
        <v>4184880000</v>
      </c>
      <c r="H11">
        <v>0</v>
      </c>
      <c r="I11">
        <v>0</v>
      </c>
      <c r="K11" s="11">
        <f t="shared" si="0"/>
        <v>7.6154487739921173E-4</v>
      </c>
    </row>
    <row r="12" spans="1:14" x14ac:dyDescent="0.2">
      <c r="A12" s="2">
        <v>42481</v>
      </c>
      <c r="B12">
        <v>2102.090087890625</v>
      </c>
      <c r="C12">
        <v>2103.780029296875</v>
      </c>
      <c r="D12">
        <v>2088.52001953125</v>
      </c>
      <c r="E12">
        <v>2091.47998046875</v>
      </c>
      <c r="F12">
        <v>2091.47998046875</v>
      </c>
      <c r="G12">
        <v>4175290000</v>
      </c>
      <c r="H12">
        <v>0</v>
      </c>
      <c r="I12">
        <v>0</v>
      </c>
      <c r="K12" s="11">
        <f t="shared" si="0"/>
        <v>-5.1940270082901918E-3</v>
      </c>
    </row>
    <row r="13" spans="1:14" x14ac:dyDescent="0.2">
      <c r="A13" s="2">
        <v>42482</v>
      </c>
      <c r="B13">
        <v>2091.489990234375</v>
      </c>
      <c r="C13">
        <v>2094.320068359375</v>
      </c>
      <c r="D13">
        <v>2081.199951171875</v>
      </c>
      <c r="E13">
        <v>2091.580078125</v>
      </c>
      <c r="F13">
        <v>2091.580078125</v>
      </c>
      <c r="G13">
        <v>3790580000</v>
      </c>
      <c r="H13">
        <v>0</v>
      </c>
      <c r="I13">
        <v>0</v>
      </c>
      <c r="K13" s="11">
        <f t="shared" si="0"/>
        <v>4.7859724780829893E-5</v>
      </c>
    </row>
    <row r="14" spans="1:14" x14ac:dyDescent="0.2">
      <c r="A14" s="2">
        <v>42485</v>
      </c>
      <c r="B14">
        <v>2089.3701171875</v>
      </c>
      <c r="C14">
        <v>2089.3701171875</v>
      </c>
      <c r="D14">
        <v>2077.52001953125</v>
      </c>
      <c r="E14">
        <v>2087.7900390625</v>
      </c>
      <c r="F14">
        <v>2087.7900390625</v>
      </c>
      <c r="G14">
        <v>3319740000</v>
      </c>
      <c r="H14">
        <v>0</v>
      </c>
      <c r="I14">
        <v>0</v>
      </c>
      <c r="K14" s="11">
        <f t="shared" si="0"/>
        <v>-1.8120458796383465E-3</v>
      </c>
    </row>
    <row r="15" spans="1:14" x14ac:dyDescent="0.2">
      <c r="A15" s="2">
        <v>42486</v>
      </c>
      <c r="B15">
        <v>2089.840087890625</v>
      </c>
      <c r="C15">
        <v>2096.8701171875</v>
      </c>
      <c r="D15">
        <v>2085.800048828125</v>
      </c>
      <c r="E15">
        <v>2091.699951171875</v>
      </c>
      <c r="F15">
        <v>2091.699951171875</v>
      </c>
      <c r="G15">
        <v>3557190000</v>
      </c>
      <c r="H15">
        <v>0</v>
      </c>
      <c r="I15">
        <v>0</v>
      </c>
      <c r="K15" s="11">
        <f>(E15/E14)-1</f>
        <v>1.8727515871905798E-3</v>
      </c>
    </row>
    <row r="16" spans="1:14" x14ac:dyDescent="0.2">
      <c r="A16" s="2">
        <v>42487</v>
      </c>
      <c r="B16">
        <v>2092.330078125</v>
      </c>
      <c r="C16">
        <v>2099.889892578125</v>
      </c>
      <c r="D16">
        <v>2082.31005859375</v>
      </c>
      <c r="E16">
        <v>2095.14990234375</v>
      </c>
      <c r="F16">
        <v>2095.14990234375</v>
      </c>
      <c r="G16">
        <v>4100110000</v>
      </c>
      <c r="H16">
        <v>0</v>
      </c>
      <c r="I16">
        <v>0</v>
      </c>
      <c r="K16" s="11">
        <f t="shared" si="0"/>
        <v>1.6493528003107549E-3</v>
      </c>
    </row>
    <row r="17" spans="1:11" x14ac:dyDescent="0.2">
      <c r="A17" s="2">
        <v>42488</v>
      </c>
      <c r="B17">
        <v>2090.929931640625</v>
      </c>
      <c r="C17">
        <v>2099.300048828125</v>
      </c>
      <c r="D17">
        <v>2071.6201171875</v>
      </c>
      <c r="E17">
        <v>2075.81005859375</v>
      </c>
      <c r="F17">
        <v>2075.81005859375</v>
      </c>
      <c r="G17">
        <v>4309840000</v>
      </c>
      <c r="H17">
        <v>0</v>
      </c>
      <c r="I17">
        <v>0</v>
      </c>
      <c r="K17" s="11">
        <f t="shared" si="0"/>
        <v>-9.2307685136826523E-3</v>
      </c>
    </row>
    <row r="18" spans="1:11" x14ac:dyDescent="0.2">
      <c r="A18" s="2">
        <v>42489</v>
      </c>
      <c r="B18">
        <v>2071.820068359375</v>
      </c>
      <c r="C18">
        <v>2073.85009765625</v>
      </c>
      <c r="D18">
        <v>2052.280029296875</v>
      </c>
      <c r="E18">
        <v>2065.300048828125</v>
      </c>
      <c r="F18">
        <v>2065.300048828125</v>
      </c>
      <c r="G18">
        <v>4704720000</v>
      </c>
      <c r="H18">
        <v>0</v>
      </c>
      <c r="I18">
        <v>0</v>
      </c>
      <c r="K18" s="11">
        <f t="shared" si="0"/>
        <v>-5.0630883698217222E-3</v>
      </c>
    </row>
    <row r="19" spans="1:11" x14ac:dyDescent="0.2">
      <c r="A19" s="2">
        <v>42492</v>
      </c>
      <c r="B19">
        <v>2067.169921875</v>
      </c>
      <c r="C19">
        <v>2083.419921875</v>
      </c>
      <c r="D19">
        <v>2066.110107421875</v>
      </c>
      <c r="E19">
        <v>2081.429931640625</v>
      </c>
      <c r="F19">
        <v>2081.429931640625</v>
      </c>
      <c r="G19">
        <v>3841110000</v>
      </c>
      <c r="H19">
        <v>0</v>
      </c>
      <c r="I19">
        <v>0</v>
      </c>
      <c r="K19" s="11">
        <f t="shared" si="0"/>
        <v>7.8099464635428273E-3</v>
      </c>
    </row>
    <row r="20" spans="1:11" x14ac:dyDescent="0.2">
      <c r="A20" s="2">
        <v>42493</v>
      </c>
      <c r="B20">
        <v>2077.179931640625</v>
      </c>
      <c r="C20">
        <v>2077.179931640625</v>
      </c>
      <c r="D20">
        <v>2054.889892578125</v>
      </c>
      <c r="E20">
        <v>2063.3701171875</v>
      </c>
      <c r="F20">
        <v>2063.3701171875</v>
      </c>
      <c r="G20">
        <v>4173390000</v>
      </c>
      <c r="H20">
        <v>0</v>
      </c>
      <c r="I20">
        <v>0</v>
      </c>
      <c r="K20" s="11">
        <f t="shared" si="0"/>
        <v>-8.6766381988606645E-3</v>
      </c>
    </row>
    <row r="21" spans="1:11" x14ac:dyDescent="0.2">
      <c r="A21" s="2">
        <v>42494</v>
      </c>
      <c r="B21">
        <v>2060.300048828125</v>
      </c>
      <c r="C21">
        <v>2060.300048828125</v>
      </c>
      <c r="D21">
        <v>2045.550048828125</v>
      </c>
      <c r="E21">
        <v>2051.1201171875</v>
      </c>
      <c r="F21">
        <v>2051.1201171875</v>
      </c>
      <c r="G21">
        <v>4058560000</v>
      </c>
      <c r="H21">
        <v>0</v>
      </c>
      <c r="I21">
        <v>0</v>
      </c>
      <c r="K21" s="11">
        <f t="shared" si="0"/>
        <v>-5.936889314214544E-3</v>
      </c>
    </row>
    <row r="22" spans="1:11" x14ac:dyDescent="0.2">
      <c r="A22" s="2">
        <v>42495</v>
      </c>
      <c r="B22">
        <v>2052.949951171875</v>
      </c>
      <c r="C22">
        <v>2060.22998046875</v>
      </c>
      <c r="D22">
        <v>2045.77001953125</v>
      </c>
      <c r="E22">
        <v>2050.6298828125</v>
      </c>
      <c r="F22">
        <v>2050.6298828125</v>
      </c>
      <c r="G22">
        <v>4008530000</v>
      </c>
      <c r="H22">
        <v>0</v>
      </c>
      <c r="I22">
        <v>0</v>
      </c>
      <c r="K22" s="11">
        <f t="shared" si="0"/>
        <v>-2.3900812580013309E-4</v>
      </c>
    </row>
    <row r="23" spans="1:11" x14ac:dyDescent="0.2">
      <c r="A23" s="2">
        <v>42496</v>
      </c>
      <c r="B23">
        <v>2047.77001953125</v>
      </c>
      <c r="C23">
        <v>2057.719970703125</v>
      </c>
      <c r="D23">
        <v>2039.449951171875</v>
      </c>
      <c r="E23">
        <v>2057.139892578125</v>
      </c>
      <c r="F23">
        <v>2057.139892578125</v>
      </c>
      <c r="G23">
        <v>3796350000</v>
      </c>
      <c r="H23">
        <v>0</v>
      </c>
      <c r="I23">
        <v>0</v>
      </c>
      <c r="K23" s="11">
        <f t="shared" si="0"/>
        <v>3.1746390805036384E-3</v>
      </c>
    </row>
    <row r="24" spans="1:11" x14ac:dyDescent="0.2">
      <c r="A24" s="2">
        <v>42499</v>
      </c>
      <c r="B24">
        <v>2057.550048828125</v>
      </c>
      <c r="C24">
        <v>2064.14990234375</v>
      </c>
      <c r="D24">
        <v>2054.31005859375</v>
      </c>
      <c r="E24">
        <v>2058.68994140625</v>
      </c>
      <c r="F24">
        <v>2058.68994140625</v>
      </c>
      <c r="G24">
        <v>3788620000</v>
      </c>
      <c r="H24">
        <v>0</v>
      </c>
      <c r="I24">
        <v>0</v>
      </c>
      <c r="K24" s="11">
        <f t="shared" si="0"/>
        <v>7.5349704398686157E-4</v>
      </c>
    </row>
    <row r="25" spans="1:11" x14ac:dyDescent="0.2">
      <c r="A25" s="2">
        <v>42500</v>
      </c>
      <c r="B25">
        <v>2062.6298828125</v>
      </c>
      <c r="C25">
        <v>2084.8701171875</v>
      </c>
      <c r="D25">
        <v>2062.6298828125</v>
      </c>
      <c r="E25">
        <v>2084.389892578125</v>
      </c>
      <c r="F25">
        <v>2084.389892578125</v>
      </c>
      <c r="G25">
        <v>3600200000</v>
      </c>
      <c r="H25">
        <v>0</v>
      </c>
      <c r="I25">
        <v>0</v>
      </c>
      <c r="K25" s="11">
        <f t="shared" si="0"/>
        <v>1.2483643435067249E-2</v>
      </c>
    </row>
    <row r="26" spans="1:11" x14ac:dyDescent="0.2">
      <c r="A26" s="2">
        <v>42501</v>
      </c>
      <c r="B26">
        <v>2083.2900390625</v>
      </c>
      <c r="C26">
        <v>2083.2900390625</v>
      </c>
      <c r="D26">
        <v>2064.4599609375</v>
      </c>
      <c r="E26">
        <v>2064.4599609375</v>
      </c>
      <c r="F26">
        <v>2064.4599609375</v>
      </c>
      <c r="G26">
        <v>3821980000</v>
      </c>
      <c r="H26">
        <v>0</v>
      </c>
      <c r="I26">
        <v>0</v>
      </c>
      <c r="K26" s="11">
        <f t="shared" si="0"/>
        <v>-9.5615180785463272E-3</v>
      </c>
    </row>
    <row r="27" spans="1:11" x14ac:dyDescent="0.2">
      <c r="A27" s="2">
        <v>42502</v>
      </c>
      <c r="B27">
        <v>2067.169921875</v>
      </c>
      <c r="C27">
        <v>2073.989990234375</v>
      </c>
      <c r="D27">
        <v>2053.1298828125</v>
      </c>
      <c r="E27">
        <v>2064.110107421875</v>
      </c>
      <c r="F27">
        <v>2064.110107421875</v>
      </c>
      <c r="G27">
        <v>3782390000</v>
      </c>
      <c r="H27">
        <v>0</v>
      </c>
      <c r="I27">
        <v>0</v>
      </c>
      <c r="K27" s="11">
        <f t="shared" si="0"/>
        <v>-1.6946490716440721E-4</v>
      </c>
    </row>
    <row r="28" spans="1:11" x14ac:dyDescent="0.2">
      <c r="A28" s="2">
        <v>42503</v>
      </c>
      <c r="B28">
        <v>2062.5</v>
      </c>
      <c r="C28">
        <v>2066.7900390625</v>
      </c>
      <c r="D28">
        <v>2043.130004882812</v>
      </c>
      <c r="E28">
        <v>2046.609985351562</v>
      </c>
      <c r="F28">
        <v>2046.609985351562</v>
      </c>
      <c r="G28">
        <v>3579880000</v>
      </c>
      <c r="H28">
        <v>0</v>
      </c>
      <c r="I28">
        <v>0</v>
      </c>
      <c r="K28" s="11">
        <f t="shared" si="0"/>
        <v>-8.478289025080632E-3</v>
      </c>
    </row>
    <row r="29" spans="1:11" x14ac:dyDescent="0.2">
      <c r="A29" s="2">
        <v>42506</v>
      </c>
      <c r="B29">
        <v>2046.530029296875</v>
      </c>
      <c r="C29">
        <v>2071.8798828125</v>
      </c>
      <c r="D29">
        <v>2046.530029296875</v>
      </c>
      <c r="E29">
        <v>2066.659912109375</v>
      </c>
      <c r="F29">
        <v>2066.659912109375</v>
      </c>
      <c r="G29">
        <v>3501360000</v>
      </c>
      <c r="H29">
        <v>0</v>
      </c>
      <c r="I29">
        <v>0</v>
      </c>
      <c r="K29" s="11">
        <f t="shared" si="0"/>
        <v>9.7966524649633069E-3</v>
      </c>
    </row>
    <row r="30" spans="1:11" x14ac:dyDescent="0.2">
      <c r="A30" s="2">
        <v>42507</v>
      </c>
      <c r="B30">
        <v>2065.0400390625</v>
      </c>
      <c r="C30">
        <v>2065.68994140625</v>
      </c>
      <c r="D30">
        <v>2040.819946289062</v>
      </c>
      <c r="E30">
        <v>2047.2099609375</v>
      </c>
      <c r="F30">
        <v>2047.2099609375</v>
      </c>
      <c r="G30">
        <v>4108960000</v>
      </c>
      <c r="H30">
        <v>0</v>
      </c>
      <c r="I30">
        <v>0</v>
      </c>
      <c r="K30" s="11">
        <f t="shared" si="0"/>
        <v>-9.4112974553336448E-3</v>
      </c>
    </row>
    <row r="31" spans="1:11" x14ac:dyDescent="0.2">
      <c r="A31" s="2">
        <v>42508</v>
      </c>
      <c r="B31">
        <v>2044.380004882812</v>
      </c>
      <c r="C31">
        <v>2060.610107421875</v>
      </c>
      <c r="D31">
        <v>2034.489990234375</v>
      </c>
      <c r="E31">
        <v>2047.630004882812</v>
      </c>
      <c r="F31">
        <v>2047.630004882812</v>
      </c>
      <c r="G31">
        <v>4101320000</v>
      </c>
      <c r="H31">
        <v>0</v>
      </c>
      <c r="I31">
        <v>0</v>
      </c>
      <c r="K31" s="11">
        <f t="shared" si="0"/>
        <v>2.05178732678446E-4</v>
      </c>
    </row>
    <row r="32" spans="1:11" x14ac:dyDescent="0.2">
      <c r="A32" s="2">
        <v>42509</v>
      </c>
      <c r="B32">
        <v>2044.2099609375</v>
      </c>
      <c r="C32">
        <v>2044.2099609375</v>
      </c>
      <c r="D32">
        <v>2025.910034179688</v>
      </c>
      <c r="E32">
        <v>2040.0400390625</v>
      </c>
      <c r="F32">
        <v>2040.0400390625</v>
      </c>
      <c r="G32">
        <v>3846770000</v>
      </c>
      <c r="H32">
        <v>0</v>
      </c>
      <c r="I32">
        <v>0</v>
      </c>
      <c r="K32" s="11">
        <f t="shared" si="0"/>
        <v>-3.706707658225783E-3</v>
      </c>
    </row>
    <row r="33" spans="1:11" x14ac:dyDescent="0.2">
      <c r="A33" s="2">
        <v>42510</v>
      </c>
      <c r="B33">
        <v>2041.880004882812</v>
      </c>
      <c r="C33">
        <v>2058.35009765625</v>
      </c>
      <c r="D33">
        <v>2041.880004882812</v>
      </c>
      <c r="E33">
        <v>2052.320068359375</v>
      </c>
      <c r="F33">
        <v>2052.320068359375</v>
      </c>
      <c r="G33">
        <v>3507650000</v>
      </c>
      <c r="H33">
        <v>0</v>
      </c>
      <c r="I33">
        <v>0</v>
      </c>
      <c r="K33" s="11">
        <f t="shared" si="0"/>
        <v>6.0195040595960592E-3</v>
      </c>
    </row>
    <row r="34" spans="1:11" x14ac:dyDescent="0.2">
      <c r="A34" s="2">
        <v>42513</v>
      </c>
      <c r="B34">
        <v>2052.22998046875</v>
      </c>
      <c r="C34">
        <v>2055.580078125</v>
      </c>
      <c r="D34">
        <v>2047.260009765625</v>
      </c>
      <c r="E34">
        <v>2048.0400390625</v>
      </c>
      <c r="F34">
        <v>2048.0400390625</v>
      </c>
      <c r="G34">
        <v>3055480000</v>
      </c>
      <c r="H34">
        <v>0</v>
      </c>
      <c r="I34">
        <v>0</v>
      </c>
      <c r="K34" s="11">
        <f t="shared" si="0"/>
        <v>-2.0854589704891735E-3</v>
      </c>
    </row>
    <row r="35" spans="1:11" x14ac:dyDescent="0.2">
      <c r="A35" s="2">
        <v>42514</v>
      </c>
      <c r="B35">
        <v>2052.64990234375</v>
      </c>
      <c r="C35">
        <v>2079.669921875</v>
      </c>
      <c r="D35">
        <v>2052.64990234375</v>
      </c>
      <c r="E35">
        <v>2076.06005859375</v>
      </c>
      <c r="F35">
        <v>2076.06005859375</v>
      </c>
      <c r="G35">
        <v>3627340000</v>
      </c>
      <c r="H35">
        <v>0</v>
      </c>
      <c r="I35">
        <v>0</v>
      </c>
      <c r="K35" s="11">
        <f t="shared" si="0"/>
        <v>1.3681382686285826E-2</v>
      </c>
    </row>
    <row r="36" spans="1:11" x14ac:dyDescent="0.2">
      <c r="A36" s="2">
        <v>42515</v>
      </c>
      <c r="B36">
        <v>2078.929931640625</v>
      </c>
      <c r="C36">
        <v>2094.72998046875</v>
      </c>
      <c r="D36">
        <v>2078.929931640625</v>
      </c>
      <c r="E36">
        <v>2090.5400390625</v>
      </c>
      <c r="F36">
        <v>2090.5400390625</v>
      </c>
      <c r="G36">
        <v>3859160000</v>
      </c>
      <c r="H36">
        <v>0</v>
      </c>
      <c r="I36">
        <v>0</v>
      </c>
      <c r="K36" s="11">
        <f t="shared" si="0"/>
        <v>6.9747406433695591E-3</v>
      </c>
    </row>
    <row r="37" spans="1:11" x14ac:dyDescent="0.2">
      <c r="A37" s="2">
        <v>42516</v>
      </c>
      <c r="B37">
        <v>2091.43994140625</v>
      </c>
      <c r="C37">
        <v>2094.300048828125</v>
      </c>
      <c r="D37">
        <v>2087.080078125</v>
      </c>
      <c r="E37">
        <v>2090.10009765625</v>
      </c>
      <c r="F37">
        <v>2090.10009765625</v>
      </c>
      <c r="G37">
        <v>3230990000</v>
      </c>
      <c r="H37">
        <v>0</v>
      </c>
      <c r="I37">
        <v>0</v>
      </c>
      <c r="K37" s="11">
        <f t="shared" si="0"/>
        <v>-2.1044390350322129E-4</v>
      </c>
    </row>
    <row r="38" spans="1:11" x14ac:dyDescent="0.2">
      <c r="A38" s="2">
        <v>42517</v>
      </c>
      <c r="B38">
        <v>2090.06005859375</v>
      </c>
      <c r="C38">
        <v>2099.06005859375</v>
      </c>
      <c r="D38">
        <v>2090.06005859375</v>
      </c>
      <c r="E38">
        <v>2099.06005859375</v>
      </c>
      <c r="F38">
        <v>2099.06005859375</v>
      </c>
      <c r="G38">
        <v>3079150000</v>
      </c>
      <c r="H38">
        <v>0</v>
      </c>
      <c r="I38">
        <v>0</v>
      </c>
      <c r="K38" s="11">
        <f t="shared" si="0"/>
        <v>4.2868573364247542E-3</v>
      </c>
    </row>
    <row r="39" spans="1:11" x14ac:dyDescent="0.2">
      <c r="A39" s="2">
        <v>42521</v>
      </c>
      <c r="B39">
        <v>2100.1298828125</v>
      </c>
      <c r="C39">
        <v>2103.47998046875</v>
      </c>
      <c r="D39">
        <v>2088.659912109375</v>
      </c>
      <c r="E39">
        <v>2096.949951171875</v>
      </c>
      <c r="F39">
        <v>2096.949951171875</v>
      </c>
      <c r="G39">
        <v>4514410000</v>
      </c>
      <c r="H39">
        <v>0</v>
      </c>
      <c r="I39">
        <v>0</v>
      </c>
      <c r="K39" s="11">
        <f t="shared" si="0"/>
        <v>-1.0052630048559275E-3</v>
      </c>
    </row>
    <row r="40" spans="1:11" x14ac:dyDescent="0.2">
      <c r="A40" s="2">
        <v>42522</v>
      </c>
      <c r="B40">
        <v>2093.93994140625</v>
      </c>
      <c r="C40">
        <v>2100.969970703125</v>
      </c>
      <c r="D40">
        <v>2085.10009765625</v>
      </c>
      <c r="E40">
        <v>2099.330078125</v>
      </c>
      <c r="F40">
        <v>2099.330078125</v>
      </c>
      <c r="G40">
        <v>3525170000</v>
      </c>
      <c r="H40">
        <v>0</v>
      </c>
      <c r="I40">
        <v>0</v>
      </c>
      <c r="K40" s="11">
        <f t="shared" si="0"/>
        <v>1.1350423274503196E-3</v>
      </c>
    </row>
    <row r="41" spans="1:11" x14ac:dyDescent="0.2">
      <c r="A41" s="2">
        <v>42523</v>
      </c>
      <c r="B41">
        <v>2097.7099609375</v>
      </c>
      <c r="C41">
        <v>2105.260009765625</v>
      </c>
      <c r="D41">
        <v>2088.590087890625</v>
      </c>
      <c r="E41">
        <v>2105.260009765625</v>
      </c>
      <c r="F41">
        <v>2105.260009765625</v>
      </c>
      <c r="G41">
        <v>3632720000</v>
      </c>
      <c r="H41">
        <v>0</v>
      </c>
      <c r="I41">
        <v>0</v>
      </c>
      <c r="K41" s="11">
        <f t="shared" si="0"/>
        <v>2.8246780734553223E-3</v>
      </c>
    </row>
    <row r="42" spans="1:11" x14ac:dyDescent="0.2">
      <c r="A42" s="2">
        <v>42524</v>
      </c>
      <c r="B42">
        <v>2104.070068359375</v>
      </c>
      <c r="C42">
        <v>2104.070068359375</v>
      </c>
      <c r="D42">
        <v>2085.360107421875</v>
      </c>
      <c r="E42">
        <v>2099.1298828125</v>
      </c>
      <c r="F42">
        <v>2099.1298828125</v>
      </c>
      <c r="G42">
        <v>3627780000</v>
      </c>
      <c r="H42">
        <v>0</v>
      </c>
      <c r="I42">
        <v>0</v>
      </c>
      <c r="K42" s="11">
        <f t="shared" si="0"/>
        <v>-2.9118146569494519E-3</v>
      </c>
    </row>
    <row r="43" spans="1:11" x14ac:dyDescent="0.2">
      <c r="A43" s="2">
        <v>42527</v>
      </c>
      <c r="B43">
        <v>2100.830078125</v>
      </c>
      <c r="C43">
        <v>2113.360107421875</v>
      </c>
      <c r="D43">
        <v>2100.830078125</v>
      </c>
      <c r="E43">
        <v>2109.409912109375</v>
      </c>
      <c r="F43">
        <v>2109.409912109375</v>
      </c>
      <c r="G43">
        <v>3442020000</v>
      </c>
      <c r="H43">
        <v>0</v>
      </c>
      <c r="I43">
        <v>0</v>
      </c>
      <c r="K43" s="11">
        <f t="shared" si="0"/>
        <v>4.8972811930538818E-3</v>
      </c>
    </row>
    <row r="44" spans="1:11" x14ac:dyDescent="0.2">
      <c r="A44" s="2">
        <v>42528</v>
      </c>
      <c r="B44">
        <v>2110.179931640625</v>
      </c>
      <c r="C44">
        <v>2119.219970703125</v>
      </c>
      <c r="D44">
        <v>2110.179931640625</v>
      </c>
      <c r="E44">
        <v>2112.1298828125</v>
      </c>
      <c r="F44">
        <v>2112.1298828125</v>
      </c>
      <c r="G44">
        <v>3534730000</v>
      </c>
      <c r="H44">
        <v>0</v>
      </c>
      <c r="I44">
        <v>0</v>
      </c>
      <c r="K44" s="11">
        <f t="shared" si="0"/>
        <v>1.2894462510633087E-3</v>
      </c>
    </row>
    <row r="45" spans="1:11" x14ac:dyDescent="0.2">
      <c r="A45" s="2">
        <v>42529</v>
      </c>
      <c r="B45">
        <v>2112.7099609375</v>
      </c>
      <c r="C45">
        <v>2120.550048828125</v>
      </c>
      <c r="D45">
        <v>2112.7099609375</v>
      </c>
      <c r="E45">
        <v>2119.1201171875</v>
      </c>
      <c r="F45">
        <v>2119.1201171875</v>
      </c>
      <c r="G45">
        <v>3562060000</v>
      </c>
      <c r="H45">
        <v>0</v>
      </c>
      <c r="I45">
        <v>0</v>
      </c>
      <c r="K45" s="11">
        <f t="shared" si="0"/>
        <v>3.3095665337075086E-3</v>
      </c>
    </row>
    <row r="46" spans="1:11" x14ac:dyDescent="0.2">
      <c r="A46" s="2">
        <v>42530</v>
      </c>
      <c r="B46">
        <v>2115.64990234375</v>
      </c>
      <c r="C46">
        <v>2117.639892578125</v>
      </c>
      <c r="D46">
        <v>2107.72998046875</v>
      </c>
      <c r="E46">
        <v>2115.47998046875</v>
      </c>
      <c r="F46">
        <v>2115.47998046875</v>
      </c>
      <c r="G46">
        <v>3290320000</v>
      </c>
      <c r="H46">
        <v>0</v>
      </c>
      <c r="I46">
        <v>0</v>
      </c>
      <c r="K46" s="11">
        <f t="shared" si="0"/>
        <v>-1.7177585589538413E-3</v>
      </c>
    </row>
    <row r="47" spans="1:11" x14ac:dyDescent="0.2">
      <c r="A47" s="2">
        <v>42531</v>
      </c>
      <c r="B47">
        <v>2109.570068359375</v>
      </c>
      <c r="C47">
        <v>2109.570068359375</v>
      </c>
      <c r="D47">
        <v>2089.9599609375</v>
      </c>
      <c r="E47">
        <v>2096.070068359375</v>
      </c>
      <c r="F47">
        <v>2096.070068359375</v>
      </c>
      <c r="G47">
        <v>3515010000</v>
      </c>
      <c r="H47">
        <v>0</v>
      </c>
      <c r="I47">
        <v>0</v>
      </c>
      <c r="K47" s="11">
        <f t="shared" si="0"/>
        <v>-9.1751811827943675E-3</v>
      </c>
    </row>
    <row r="48" spans="1:11" x14ac:dyDescent="0.2">
      <c r="A48" s="2">
        <v>42534</v>
      </c>
      <c r="B48">
        <v>2091.75</v>
      </c>
      <c r="C48">
        <v>2098.1201171875</v>
      </c>
      <c r="D48">
        <v>2078.4599609375</v>
      </c>
      <c r="E48">
        <v>2079.06005859375</v>
      </c>
      <c r="F48">
        <v>2079.06005859375</v>
      </c>
      <c r="G48">
        <v>3392030000</v>
      </c>
      <c r="H48">
        <v>0</v>
      </c>
      <c r="I48">
        <v>0</v>
      </c>
      <c r="K48" s="11">
        <f t="shared" si="0"/>
        <v>-8.1151913871557735E-3</v>
      </c>
    </row>
    <row r="49" spans="1:11" x14ac:dyDescent="0.2">
      <c r="A49" s="2">
        <v>42535</v>
      </c>
      <c r="B49">
        <v>2076.64990234375</v>
      </c>
      <c r="C49">
        <v>2081.300048828125</v>
      </c>
      <c r="D49">
        <v>2064.10009765625</v>
      </c>
      <c r="E49">
        <v>2075.320068359375</v>
      </c>
      <c r="F49">
        <v>2075.320068359375</v>
      </c>
      <c r="G49">
        <v>3759770000</v>
      </c>
      <c r="H49">
        <v>0</v>
      </c>
      <c r="I49">
        <v>0</v>
      </c>
      <c r="K49" s="11">
        <f t="shared" si="0"/>
        <v>-1.7988851350955182E-3</v>
      </c>
    </row>
    <row r="50" spans="1:11" x14ac:dyDescent="0.2">
      <c r="A50" s="2">
        <v>42536</v>
      </c>
      <c r="B50">
        <v>2077.60009765625</v>
      </c>
      <c r="C50">
        <v>2085.64990234375</v>
      </c>
      <c r="D50">
        <v>2069.800048828125</v>
      </c>
      <c r="E50">
        <v>2071.5</v>
      </c>
      <c r="F50">
        <v>2071.5</v>
      </c>
      <c r="G50">
        <v>3544720000</v>
      </c>
      <c r="H50">
        <v>0</v>
      </c>
      <c r="I50">
        <v>0</v>
      </c>
      <c r="K50" s="11">
        <f t="shared" si="0"/>
        <v>-1.8407128700851372E-3</v>
      </c>
    </row>
    <row r="51" spans="1:11" x14ac:dyDescent="0.2">
      <c r="A51" s="2">
        <v>42537</v>
      </c>
      <c r="B51">
        <v>2066.360107421875</v>
      </c>
      <c r="C51">
        <v>2079.6201171875</v>
      </c>
      <c r="D51">
        <v>2050.3701171875</v>
      </c>
      <c r="E51">
        <v>2077.989990234375</v>
      </c>
      <c r="F51">
        <v>2077.989990234375</v>
      </c>
      <c r="G51">
        <v>3628280000</v>
      </c>
      <c r="H51">
        <v>0</v>
      </c>
      <c r="I51">
        <v>0</v>
      </c>
      <c r="K51" s="11">
        <f t="shared" si="0"/>
        <v>3.1329906996742096E-3</v>
      </c>
    </row>
    <row r="52" spans="1:11" x14ac:dyDescent="0.2">
      <c r="A52" s="2">
        <v>42538</v>
      </c>
      <c r="B52">
        <v>2078.199951171875</v>
      </c>
      <c r="C52">
        <v>2078.199951171875</v>
      </c>
      <c r="D52">
        <v>2062.840087890625</v>
      </c>
      <c r="E52">
        <v>2071.219970703125</v>
      </c>
      <c r="F52">
        <v>2071.219970703125</v>
      </c>
      <c r="G52">
        <v>4952630000</v>
      </c>
      <c r="H52">
        <v>0</v>
      </c>
      <c r="I52">
        <v>0</v>
      </c>
      <c r="K52" s="11">
        <f t="shared" si="0"/>
        <v>-3.2579654199809127E-3</v>
      </c>
    </row>
    <row r="53" spans="1:11" x14ac:dyDescent="0.2">
      <c r="A53" s="2">
        <v>42541</v>
      </c>
      <c r="B53">
        <v>2075.580078125</v>
      </c>
      <c r="C53">
        <v>2100.659912109375</v>
      </c>
      <c r="D53">
        <v>2075.580078125</v>
      </c>
      <c r="E53">
        <v>2083.25</v>
      </c>
      <c r="F53">
        <v>2083.25</v>
      </c>
      <c r="G53">
        <v>3467440000</v>
      </c>
      <c r="H53">
        <v>0</v>
      </c>
      <c r="I53">
        <v>0</v>
      </c>
      <c r="K53" s="11">
        <f t="shared" si="0"/>
        <v>5.8081852565332603E-3</v>
      </c>
    </row>
    <row r="54" spans="1:11" x14ac:dyDescent="0.2">
      <c r="A54" s="2">
        <v>42542</v>
      </c>
      <c r="B54">
        <v>2085.18994140625</v>
      </c>
      <c r="C54">
        <v>2093.659912109375</v>
      </c>
      <c r="D54">
        <v>2083.02001953125</v>
      </c>
      <c r="E54">
        <v>2088.89990234375</v>
      </c>
      <c r="F54">
        <v>2088.89990234375</v>
      </c>
      <c r="G54">
        <v>3232880000</v>
      </c>
      <c r="H54">
        <v>0</v>
      </c>
      <c r="I54">
        <v>0</v>
      </c>
      <c r="K54" s="11">
        <f t="shared" si="0"/>
        <v>2.7120616074642889E-3</v>
      </c>
    </row>
    <row r="55" spans="1:11" x14ac:dyDescent="0.2">
      <c r="A55" s="2">
        <v>42543</v>
      </c>
      <c r="B55">
        <v>2089.75</v>
      </c>
      <c r="C55">
        <v>2099.7099609375</v>
      </c>
      <c r="D55">
        <v>2084.360107421875</v>
      </c>
      <c r="E55">
        <v>2085.449951171875</v>
      </c>
      <c r="F55">
        <v>2085.449951171875</v>
      </c>
      <c r="G55">
        <v>3168160000</v>
      </c>
      <c r="H55">
        <v>0</v>
      </c>
      <c r="I55">
        <v>0</v>
      </c>
      <c r="K55" s="11">
        <f t="shared" si="0"/>
        <v>-1.6515636618127383E-3</v>
      </c>
    </row>
    <row r="56" spans="1:11" x14ac:dyDescent="0.2">
      <c r="A56" s="2">
        <v>42544</v>
      </c>
      <c r="B56">
        <v>2092.800048828125</v>
      </c>
      <c r="C56">
        <v>2113.320068359375</v>
      </c>
      <c r="D56">
        <v>2092.800048828125</v>
      </c>
      <c r="E56">
        <v>2113.320068359375</v>
      </c>
      <c r="F56">
        <v>2113.320068359375</v>
      </c>
      <c r="G56">
        <v>3297940000</v>
      </c>
      <c r="H56">
        <v>0</v>
      </c>
      <c r="I56">
        <v>0</v>
      </c>
      <c r="K56" s="11">
        <f t="shared" si="0"/>
        <v>1.336407865930278E-2</v>
      </c>
    </row>
    <row r="57" spans="1:11" x14ac:dyDescent="0.2">
      <c r="A57" s="2">
        <v>42545</v>
      </c>
      <c r="B57">
        <v>2103.81005859375</v>
      </c>
      <c r="C57">
        <v>2103.81005859375</v>
      </c>
      <c r="D57">
        <v>2032.569946289062</v>
      </c>
      <c r="E57">
        <v>2037.410034179688</v>
      </c>
      <c r="F57">
        <v>2037.410034179688</v>
      </c>
      <c r="G57">
        <v>7597450000</v>
      </c>
      <c r="H57">
        <v>0</v>
      </c>
      <c r="I57">
        <v>0</v>
      </c>
      <c r="K57" s="11">
        <f t="shared" si="0"/>
        <v>-3.5919799994431512E-2</v>
      </c>
    </row>
    <row r="58" spans="1:11" x14ac:dyDescent="0.2">
      <c r="A58" s="2">
        <v>42548</v>
      </c>
      <c r="B58">
        <v>2031.449951171875</v>
      </c>
      <c r="C58">
        <v>2031.449951171875</v>
      </c>
      <c r="D58">
        <v>1991.680053710938</v>
      </c>
      <c r="E58">
        <v>2000.5400390625</v>
      </c>
      <c r="F58">
        <v>2000.5400390625</v>
      </c>
      <c r="G58">
        <v>5431220000</v>
      </c>
      <c r="H58">
        <v>0</v>
      </c>
      <c r="I58">
        <v>0</v>
      </c>
      <c r="K58" s="11">
        <f t="shared" si="0"/>
        <v>-1.8096502176123241E-2</v>
      </c>
    </row>
    <row r="59" spans="1:11" x14ac:dyDescent="0.2">
      <c r="A59" s="2">
        <v>42549</v>
      </c>
      <c r="B59">
        <v>2006.670043945312</v>
      </c>
      <c r="C59">
        <v>2036.089965820312</v>
      </c>
      <c r="D59">
        <v>2006.670043945312</v>
      </c>
      <c r="E59">
        <v>2036.089965820312</v>
      </c>
      <c r="F59">
        <v>2036.089965820312</v>
      </c>
      <c r="G59">
        <v>4385810000</v>
      </c>
      <c r="H59">
        <v>0</v>
      </c>
      <c r="I59">
        <v>0</v>
      </c>
      <c r="K59" s="11">
        <f t="shared" si="0"/>
        <v>1.7770165087258816E-2</v>
      </c>
    </row>
    <row r="60" spans="1:11" x14ac:dyDescent="0.2">
      <c r="A60" s="2">
        <v>42550</v>
      </c>
      <c r="B60">
        <v>2042.68994140625</v>
      </c>
      <c r="C60">
        <v>2073.1298828125</v>
      </c>
      <c r="D60">
        <v>2042.68994140625</v>
      </c>
      <c r="E60">
        <v>2070.77001953125</v>
      </c>
      <c r="F60">
        <v>2070.77001953125</v>
      </c>
      <c r="G60">
        <v>4241740000</v>
      </c>
      <c r="H60">
        <v>0</v>
      </c>
      <c r="I60">
        <v>0</v>
      </c>
      <c r="K60" s="11">
        <f t="shared" si="0"/>
        <v>1.7032672570028495E-2</v>
      </c>
    </row>
    <row r="61" spans="1:11" x14ac:dyDescent="0.2">
      <c r="A61" s="2">
        <v>42551</v>
      </c>
      <c r="B61">
        <v>2073.169921875</v>
      </c>
      <c r="C61">
        <v>2098.93994140625</v>
      </c>
      <c r="D61">
        <v>2070</v>
      </c>
      <c r="E61">
        <v>2098.860107421875</v>
      </c>
      <c r="F61">
        <v>2098.860107421875</v>
      </c>
      <c r="G61">
        <v>4622820000</v>
      </c>
      <c r="H61">
        <v>0</v>
      </c>
      <c r="I61">
        <v>0</v>
      </c>
      <c r="K61" s="11">
        <f t="shared" si="0"/>
        <v>1.3565044705922347E-2</v>
      </c>
    </row>
    <row r="62" spans="1:11" x14ac:dyDescent="0.2">
      <c r="A62" s="2">
        <v>42552</v>
      </c>
      <c r="B62">
        <v>2099.340087890625</v>
      </c>
      <c r="C62">
        <v>2108.7099609375</v>
      </c>
      <c r="D62">
        <v>2097.89990234375</v>
      </c>
      <c r="E62">
        <v>2102.949951171875</v>
      </c>
      <c r="F62">
        <v>2102.949951171875</v>
      </c>
      <c r="G62">
        <v>3458890000</v>
      </c>
      <c r="H62">
        <v>0</v>
      </c>
      <c r="I62">
        <v>0</v>
      </c>
      <c r="K62" s="11">
        <f t="shared" si="0"/>
        <v>1.9486023558872301E-3</v>
      </c>
    </row>
    <row r="63" spans="1:11" x14ac:dyDescent="0.2">
      <c r="A63" s="2">
        <v>42556</v>
      </c>
      <c r="B63">
        <v>2095.050048828125</v>
      </c>
      <c r="C63">
        <v>2095.050048828125</v>
      </c>
      <c r="D63">
        <v>2080.860107421875</v>
      </c>
      <c r="E63">
        <v>2088.550048828125</v>
      </c>
      <c r="F63">
        <v>2088.550048828125</v>
      </c>
      <c r="G63">
        <v>3658380000</v>
      </c>
      <c r="H63">
        <v>0</v>
      </c>
      <c r="I63">
        <v>0</v>
      </c>
      <c r="K63" s="11">
        <f t="shared" si="0"/>
        <v>-6.8474774379322367E-3</v>
      </c>
    </row>
    <row r="64" spans="1:11" x14ac:dyDescent="0.2">
      <c r="A64" s="2">
        <v>42557</v>
      </c>
      <c r="B64">
        <v>2084.429931640625</v>
      </c>
      <c r="C64">
        <v>2100.719970703125</v>
      </c>
      <c r="D64">
        <v>2074.02001953125</v>
      </c>
      <c r="E64">
        <v>2099.72998046875</v>
      </c>
      <c r="F64">
        <v>2099.72998046875</v>
      </c>
      <c r="G64">
        <v>3909380000</v>
      </c>
      <c r="H64">
        <v>0</v>
      </c>
      <c r="I64">
        <v>0</v>
      </c>
      <c r="K64" s="11">
        <f t="shared" si="0"/>
        <v>5.3529632420816764E-3</v>
      </c>
    </row>
    <row r="65" spans="1:11" x14ac:dyDescent="0.2">
      <c r="A65" s="2">
        <v>42558</v>
      </c>
      <c r="B65">
        <v>2100.419921875</v>
      </c>
      <c r="C65">
        <v>2109.080078125</v>
      </c>
      <c r="D65">
        <v>2089.389892578125</v>
      </c>
      <c r="E65">
        <v>2097.89990234375</v>
      </c>
      <c r="F65">
        <v>2097.89990234375</v>
      </c>
      <c r="G65">
        <v>3604550000</v>
      </c>
      <c r="H65">
        <v>0</v>
      </c>
      <c r="I65">
        <v>0</v>
      </c>
      <c r="K65" s="11">
        <f t="shared" si="0"/>
        <v>-8.7157784192393173E-4</v>
      </c>
    </row>
    <row r="66" spans="1:11" x14ac:dyDescent="0.2">
      <c r="A66" s="2">
        <v>42559</v>
      </c>
      <c r="B66">
        <v>2106.969970703125</v>
      </c>
      <c r="C66">
        <v>2131.7099609375</v>
      </c>
      <c r="D66">
        <v>2106.969970703125</v>
      </c>
      <c r="E66">
        <v>2129.89990234375</v>
      </c>
      <c r="F66">
        <v>2129.89990234375</v>
      </c>
      <c r="G66">
        <v>3607500000</v>
      </c>
      <c r="H66">
        <v>0</v>
      </c>
      <c r="I66">
        <v>0</v>
      </c>
      <c r="K66" s="11">
        <f t="shared" si="0"/>
        <v>1.5253349296718177E-2</v>
      </c>
    </row>
    <row r="67" spans="1:11" x14ac:dyDescent="0.2">
      <c r="A67" s="2">
        <v>42562</v>
      </c>
      <c r="B67">
        <v>2131.719970703125</v>
      </c>
      <c r="C67">
        <v>2143.159912109375</v>
      </c>
      <c r="D67">
        <v>2131.719970703125</v>
      </c>
      <c r="E67">
        <v>2137.159912109375</v>
      </c>
      <c r="F67">
        <v>2137.159912109375</v>
      </c>
      <c r="G67">
        <v>3253340000</v>
      </c>
      <c r="H67">
        <v>0</v>
      </c>
      <c r="I67">
        <v>0</v>
      </c>
      <c r="K67" s="11">
        <f t="shared" si="0"/>
        <v>3.4086154741994612E-3</v>
      </c>
    </row>
    <row r="68" spans="1:11" x14ac:dyDescent="0.2">
      <c r="A68" s="2">
        <v>42563</v>
      </c>
      <c r="B68">
        <v>2139.5</v>
      </c>
      <c r="C68">
        <v>2155.39990234375</v>
      </c>
      <c r="D68">
        <v>2139.5</v>
      </c>
      <c r="E68">
        <v>2152.139892578125</v>
      </c>
      <c r="F68">
        <v>2152.139892578125</v>
      </c>
      <c r="G68">
        <v>4097820000</v>
      </c>
      <c r="H68">
        <v>0</v>
      </c>
      <c r="I68">
        <v>0</v>
      </c>
      <c r="K68" s="11">
        <f t="shared" ref="K68:K131" si="1">(E68/E67)-1</f>
        <v>7.0092932137983954E-3</v>
      </c>
    </row>
    <row r="69" spans="1:11" x14ac:dyDescent="0.2">
      <c r="A69" s="2">
        <v>42564</v>
      </c>
      <c r="B69">
        <v>2153.81005859375</v>
      </c>
      <c r="C69">
        <v>2156.449951171875</v>
      </c>
      <c r="D69">
        <v>2146.2099609375</v>
      </c>
      <c r="E69">
        <v>2152.429931640625</v>
      </c>
      <c r="F69">
        <v>2152.429931640625</v>
      </c>
      <c r="G69">
        <v>3502320000</v>
      </c>
      <c r="H69">
        <v>0</v>
      </c>
      <c r="I69">
        <v>0</v>
      </c>
      <c r="K69" s="11">
        <f t="shared" si="1"/>
        <v>1.3476775533982632E-4</v>
      </c>
    </row>
    <row r="70" spans="1:11" x14ac:dyDescent="0.2">
      <c r="A70" s="2">
        <v>42565</v>
      </c>
      <c r="B70">
        <v>2157.8798828125</v>
      </c>
      <c r="C70">
        <v>2168.989990234375</v>
      </c>
      <c r="D70">
        <v>2157.8798828125</v>
      </c>
      <c r="E70">
        <v>2163.75</v>
      </c>
      <c r="F70">
        <v>2163.75</v>
      </c>
      <c r="G70">
        <v>3465610000</v>
      </c>
      <c r="H70">
        <v>0</v>
      </c>
      <c r="I70">
        <v>0</v>
      </c>
      <c r="K70" s="11">
        <f t="shared" si="1"/>
        <v>5.2592041176209303E-3</v>
      </c>
    </row>
    <row r="71" spans="1:11" x14ac:dyDescent="0.2">
      <c r="A71" s="2">
        <v>42566</v>
      </c>
      <c r="B71">
        <v>2165.1298828125</v>
      </c>
      <c r="C71">
        <v>2169.050048828125</v>
      </c>
      <c r="D71">
        <v>2155.7900390625</v>
      </c>
      <c r="E71">
        <v>2161.739990234375</v>
      </c>
      <c r="F71">
        <v>2161.739990234375</v>
      </c>
      <c r="G71">
        <v>3122600000</v>
      </c>
      <c r="H71">
        <v>0</v>
      </c>
      <c r="I71">
        <v>0</v>
      </c>
      <c r="K71" s="11">
        <f t="shared" si="1"/>
        <v>-9.2894732091275412E-4</v>
      </c>
    </row>
    <row r="72" spans="1:11" x14ac:dyDescent="0.2">
      <c r="A72" s="2">
        <v>42569</v>
      </c>
      <c r="B72">
        <v>2162.0400390625</v>
      </c>
      <c r="C72">
        <v>2168.35009765625</v>
      </c>
      <c r="D72">
        <v>2159.6298828125</v>
      </c>
      <c r="E72">
        <v>2166.889892578125</v>
      </c>
      <c r="F72">
        <v>2166.889892578125</v>
      </c>
      <c r="G72">
        <v>3009310000</v>
      </c>
      <c r="H72">
        <v>0</v>
      </c>
      <c r="I72">
        <v>0</v>
      </c>
      <c r="K72" s="11">
        <f t="shared" si="1"/>
        <v>2.3822949878407051E-3</v>
      </c>
    </row>
    <row r="73" spans="1:11" x14ac:dyDescent="0.2">
      <c r="A73" s="2">
        <v>42570</v>
      </c>
      <c r="B73">
        <v>2163.7900390625</v>
      </c>
      <c r="C73">
        <v>2164.6298828125</v>
      </c>
      <c r="D73">
        <v>2159.010009765625</v>
      </c>
      <c r="E73">
        <v>2163.780029296875</v>
      </c>
      <c r="F73">
        <v>2163.780029296875</v>
      </c>
      <c r="G73">
        <v>2968340000</v>
      </c>
      <c r="H73">
        <v>0</v>
      </c>
      <c r="I73">
        <v>0</v>
      </c>
      <c r="K73" s="11">
        <f t="shared" si="1"/>
        <v>-1.4351736522938419E-3</v>
      </c>
    </row>
    <row r="74" spans="1:11" x14ac:dyDescent="0.2">
      <c r="A74" s="2">
        <v>42571</v>
      </c>
      <c r="B74">
        <v>2166.10009765625</v>
      </c>
      <c r="C74">
        <v>2175.6298828125</v>
      </c>
      <c r="D74">
        <v>2164.889892578125</v>
      </c>
      <c r="E74">
        <v>2173.02001953125</v>
      </c>
      <c r="F74">
        <v>2173.02001953125</v>
      </c>
      <c r="G74">
        <v>3211860000</v>
      </c>
      <c r="H74">
        <v>0</v>
      </c>
      <c r="I74">
        <v>0</v>
      </c>
      <c r="K74" s="11">
        <f t="shared" si="1"/>
        <v>4.2703001734318846E-3</v>
      </c>
    </row>
    <row r="75" spans="1:11" x14ac:dyDescent="0.2">
      <c r="A75" s="2">
        <v>42572</v>
      </c>
      <c r="B75">
        <v>2172.909912109375</v>
      </c>
      <c r="C75">
        <v>2174.56005859375</v>
      </c>
      <c r="D75">
        <v>2159.75</v>
      </c>
      <c r="E75">
        <v>2165.169921875</v>
      </c>
      <c r="F75">
        <v>2165.169921875</v>
      </c>
      <c r="G75">
        <v>3438900000</v>
      </c>
      <c r="H75">
        <v>0</v>
      </c>
      <c r="I75">
        <v>0</v>
      </c>
      <c r="K75" s="11">
        <f t="shared" si="1"/>
        <v>-3.6125289162974861E-3</v>
      </c>
    </row>
    <row r="76" spans="1:11" x14ac:dyDescent="0.2">
      <c r="A76" s="2">
        <v>42573</v>
      </c>
      <c r="B76">
        <v>2166.469970703125</v>
      </c>
      <c r="C76">
        <v>2175.110107421875</v>
      </c>
      <c r="D76">
        <v>2163.239990234375</v>
      </c>
      <c r="E76">
        <v>2175.030029296875</v>
      </c>
      <c r="F76">
        <v>2175.030029296875</v>
      </c>
      <c r="G76">
        <v>3023280000</v>
      </c>
      <c r="H76">
        <v>0</v>
      </c>
      <c r="I76">
        <v>0</v>
      </c>
      <c r="K76" s="11">
        <f t="shared" si="1"/>
        <v>4.553964713003289E-3</v>
      </c>
    </row>
    <row r="77" spans="1:11" x14ac:dyDescent="0.2">
      <c r="A77" s="2">
        <v>42576</v>
      </c>
      <c r="B77">
        <v>2173.7099609375</v>
      </c>
      <c r="C77">
        <v>2173.7099609375</v>
      </c>
      <c r="D77">
        <v>2161.949951171875</v>
      </c>
      <c r="E77">
        <v>2168.47998046875</v>
      </c>
      <c r="F77">
        <v>2168.47998046875</v>
      </c>
      <c r="G77">
        <v>3057240000</v>
      </c>
      <c r="H77">
        <v>0</v>
      </c>
      <c r="I77">
        <v>0</v>
      </c>
      <c r="K77" s="11">
        <f t="shared" si="1"/>
        <v>-3.0114751244342264E-3</v>
      </c>
    </row>
    <row r="78" spans="1:11" x14ac:dyDescent="0.2">
      <c r="A78" s="2">
        <v>42577</v>
      </c>
      <c r="B78">
        <v>2168.969970703125</v>
      </c>
      <c r="C78">
        <v>2173.5400390625</v>
      </c>
      <c r="D78">
        <v>2160.179931640625</v>
      </c>
      <c r="E78">
        <v>2169.179931640625</v>
      </c>
      <c r="F78">
        <v>2169.179931640625</v>
      </c>
      <c r="G78">
        <v>3442350000</v>
      </c>
      <c r="H78">
        <v>0</v>
      </c>
      <c r="I78">
        <v>0</v>
      </c>
      <c r="K78" s="11">
        <f t="shared" si="1"/>
        <v>3.2278424434606379E-4</v>
      </c>
    </row>
    <row r="79" spans="1:11" x14ac:dyDescent="0.2">
      <c r="A79" s="2">
        <v>42578</v>
      </c>
      <c r="B79">
        <v>2169.81005859375</v>
      </c>
      <c r="C79">
        <v>2174.97998046875</v>
      </c>
      <c r="D79">
        <v>2159.070068359375</v>
      </c>
      <c r="E79">
        <v>2166.580078125</v>
      </c>
      <c r="F79">
        <v>2166.580078125</v>
      </c>
      <c r="G79">
        <v>3995500000</v>
      </c>
      <c r="H79">
        <v>0</v>
      </c>
      <c r="I79">
        <v>0</v>
      </c>
      <c r="K79" s="11">
        <f t="shared" si="1"/>
        <v>-1.1985421207814095E-3</v>
      </c>
    </row>
    <row r="80" spans="1:11" x14ac:dyDescent="0.2">
      <c r="A80" s="2">
        <v>42579</v>
      </c>
      <c r="B80">
        <v>2166.050048828125</v>
      </c>
      <c r="C80">
        <v>2172.85009765625</v>
      </c>
      <c r="D80">
        <v>2159.739990234375</v>
      </c>
      <c r="E80">
        <v>2170.06005859375</v>
      </c>
      <c r="F80">
        <v>2170.06005859375</v>
      </c>
      <c r="G80">
        <v>3664240000</v>
      </c>
      <c r="H80">
        <v>0</v>
      </c>
      <c r="I80">
        <v>0</v>
      </c>
      <c r="K80" s="11">
        <f t="shared" si="1"/>
        <v>1.6062090221755643E-3</v>
      </c>
    </row>
    <row r="81" spans="1:11" x14ac:dyDescent="0.2">
      <c r="A81" s="2">
        <v>42580</v>
      </c>
      <c r="B81">
        <v>2168.830078125</v>
      </c>
      <c r="C81">
        <v>2177.090087890625</v>
      </c>
      <c r="D81">
        <v>2163.489990234375</v>
      </c>
      <c r="E81">
        <v>2173.60009765625</v>
      </c>
      <c r="F81">
        <v>2173.60009765625</v>
      </c>
      <c r="G81">
        <v>4038840000</v>
      </c>
      <c r="H81">
        <v>0</v>
      </c>
      <c r="I81">
        <v>0</v>
      </c>
      <c r="K81" s="11">
        <f t="shared" si="1"/>
        <v>1.6313092573088106E-3</v>
      </c>
    </row>
    <row r="82" spans="1:11" x14ac:dyDescent="0.2">
      <c r="A82" s="2">
        <v>42583</v>
      </c>
      <c r="B82">
        <v>2173.14990234375</v>
      </c>
      <c r="C82">
        <v>2178.2900390625</v>
      </c>
      <c r="D82">
        <v>2166.2099609375</v>
      </c>
      <c r="E82">
        <v>2170.840087890625</v>
      </c>
      <c r="F82">
        <v>2170.840087890625</v>
      </c>
      <c r="G82">
        <v>3505990000</v>
      </c>
      <c r="H82">
        <v>0</v>
      </c>
      <c r="I82">
        <v>0</v>
      </c>
      <c r="K82" s="11">
        <f t="shared" si="1"/>
        <v>-1.2697872845152114E-3</v>
      </c>
    </row>
    <row r="83" spans="1:11" x14ac:dyDescent="0.2">
      <c r="A83" s="2">
        <v>42584</v>
      </c>
      <c r="B83">
        <v>2169.93994140625</v>
      </c>
      <c r="C83">
        <v>2170.199951171875</v>
      </c>
      <c r="D83">
        <v>2147.580078125</v>
      </c>
      <c r="E83">
        <v>2157.030029296875</v>
      </c>
      <c r="F83">
        <v>2157.030029296875</v>
      </c>
      <c r="G83">
        <v>3848750000</v>
      </c>
      <c r="H83">
        <v>0</v>
      </c>
      <c r="I83">
        <v>0</v>
      </c>
      <c r="K83" s="11">
        <f t="shared" si="1"/>
        <v>-6.3616194812253779E-3</v>
      </c>
    </row>
    <row r="84" spans="1:11" x14ac:dyDescent="0.2">
      <c r="A84" s="2">
        <v>42585</v>
      </c>
      <c r="B84">
        <v>2156.81005859375</v>
      </c>
      <c r="C84">
        <v>2163.7900390625</v>
      </c>
      <c r="D84">
        <v>2152.56005859375</v>
      </c>
      <c r="E84">
        <v>2163.7900390625</v>
      </c>
      <c r="F84">
        <v>2163.7900390625</v>
      </c>
      <c r="G84">
        <v>3786530000</v>
      </c>
      <c r="H84">
        <v>0</v>
      </c>
      <c r="I84">
        <v>0</v>
      </c>
      <c r="K84" s="11">
        <f t="shared" si="1"/>
        <v>3.1339432802557354E-3</v>
      </c>
    </row>
    <row r="85" spans="1:11" x14ac:dyDescent="0.2">
      <c r="A85" s="2">
        <v>42586</v>
      </c>
      <c r="B85">
        <v>2163.510009765625</v>
      </c>
      <c r="C85">
        <v>2168.18994140625</v>
      </c>
      <c r="D85">
        <v>2159.070068359375</v>
      </c>
      <c r="E85">
        <v>2164.25</v>
      </c>
      <c r="F85">
        <v>2164.25</v>
      </c>
      <c r="G85">
        <v>3709200000</v>
      </c>
      <c r="H85">
        <v>0</v>
      </c>
      <c r="I85">
        <v>0</v>
      </c>
      <c r="K85" s="11">
        <f t="shared" si="1"/>
        <v>2.1257188969192597E-4</v>
      </c>
    </row>
    <row r="86" spans="1:11" x14ac:dyDescent="0.2">
      <c r="A86" s="2">
        <v>42587</v>
      </c>
      <c r="B86">
        <v>2168.7900390625</v>
      </c>
      <c r="C86">
        <v>2182.8701171875</v>
      </c>
      <c r="D86">
        <v>2168.7900390625</v>
      </c>
      <c r="E86">
        <v>2182.8701171875</v>
      </c>
      <c r="F86">
        <v>2182.8701171875</v>
      </c>
      <c r="G86">
        <v>3663070000</v>
      </c>
      <c r="H86">
        <v>0</v>
      </c>
      <c r="I86">
        <v>0</v>
      </c>
      <c r="K86" s="11">
        <f t="shared" si="1"/>
        <v>8.6034964479611009E-3</v>
      </c>
    </row>
    <row r="87" spans="1:11" x14ac:dyDescent="0.2">
      <c r="A87" s="2">
        <v>42590</v>
      </c>
      <c r="B87">
        <v>2183.760009765625</v>
      </c>
      <c r="C87">
        <v>2185.43994140625</v>
      </c>
      <c r="D87">
        <v>2177.85009765625</v>
      </c>
      <c r="E87">
        <v>2180.889892578125</v>
      </c>
      <c r="F87">
        <v>2180.889892578125</v>
      </c>
      <c r="G87">
        <v>3327550000</v>
      </c>
      <c r="H87">
        <v>0</v>
      </c>
      <c r="I87">
        <v>0</v>
      </c>
      <c r="K87" s="11">
        <f t="shared" si="1"/>
        <v>-9.0716556783798641E-4</v>
      </c>
    </row>
    <row r="88" spans="1:11" x14ac:dyDescent="0.2">
      <c r="A88" s="2">
        <v>42591</v>
      </c>
      <c r="B88">
        <v>2182.239990234375</v>
      </c>
      <c r="C88">
        <v>2187.659912109375</v>
      </c>
      <c r="D88">
        <v>2178.610107421875</v>
      </c>
      <c r="E88">
        <v>2181.739990234375</v>
      </c>
      <c r="F88">
        <v>2181.739990234375</v>
      </c>
      <c r="G88">
        <v>3334300000</v>
      </c>
      <c r="H88">
        <v>0</v>
      </c>
      <c r="I88">
        <v>0</v>
      </c>
      <c r="K88" s="11">
        <f t="shared" si="1"/>
        <v>3.897939364765346E-4</v>
      </c>
    </row>
    <row r="89" spans="1:11" x14ac:dyDescent="0.2">
      <c r="A89" s="2">
        <v>42592</v>
      </c>
      <c r="B89">
        <v>2182.81005859375</v>
      </c>
      <c r="C89">
        <v>2183.409912109375</v>
      </c>
      <c r="D89">
        <v>2172</v>
      </c>
      <c r="E89">
        <v>2175.489990234375</v>
      </c>
      <c r="F89">
        <v>2175.489990234375</v>
      </c>
      <c r="G89">
        <v>3254950000</v>
      </c>
      <c r="H89">
        <v>0</v>
      </c>
      <c r="I89">
        <v>0</v>
      </c>
      <c r="K89" s="11">
        <f t="shared" si="1"/>
        <v>-2.8646859974036376E-3</v>
      </c>
    </row>
    <row r="90" spans="1:11" x14ac:dyDescent="0.2">
      <c r="A90" s="2">
        <v>42593</v>
      </c>
      <c r="B90">
        <v>2177.969970703125</v>
      </c>
      <c r="C90">
        <v>2188.449951171875</v>
      </c>
      <c r="D90">
        <v>2177.969970703125</v>
      </c>
      <c r="E90">
        <v>2185.7900390625</v>
      </c>
      <c r="F90">
        <v>2185.7900390625</v>
      </c>
      <c r="G90">
        <v>3423160000</v>
      </c>
      <c r="H90">
        <v>0</v>
      </c>
      <c r="I90">
        <v>0</v>
      </c>
      <c r="K90" s="11">
        <f t="shared" si="1"/>
        <v>4.7345880120621686E-3</v>
      </c>
    </row>
    <row r="91" spans="1:11" x14ac:dyDescent="0.2">
      <c r="A91" s="2">
        <v>42594</v>
      </c>
      <c r="B91">
        <v>2183.739990234375</v>
      </c>
      <c r="C91">
        <v>2186.280029296875</v>
      </c>
      <c r="D91">
        <v>2179.419921875</v>
      </c>
      <c r="E91">
        <v>2184.050048828125</v>
      </c>
      <c r="F91">
        <v>2184.050048828125</v>
      </c>
      <c r="G91">
        <v>3000660000</v>
      </c>
      <c r="H91">
        <v>0</v>
      </c>
      <c r="I91">
        <v>0</v>
      </c>
      <c r="K91" s="11">
        <f t="shared" si="1"/>
        <v>-7.9604637375019216E-4</v>
      </c>
    </row>
    <row r="92" spans="1:11" x14ac:dyDescent="0.2">
      <c r="A92" s="2">
        <v>42597</v>
      </c>
      <c r="B92">
        <v>2186.080078125</v>
      </c>
      <c r="C92">
        <v>2193.81005859375</v>
      </c>
      <c r="D92">
        <v>2186.080078125</v>
      </c>
      <c r="E92">
        <v>2190.14990234375</v>
      </c>
      <c r="F92">
        <v>2190.14990234375</v>
      </c>
      <c r="G92">
        <v>3078530000</v>
      </c>
      <c r="H92">
        <v>0</v>
      </c>
      <c r="I92">
        <v>0</v>
      </c>
      <c r="K92" s="11">
        <f t="shared" si="1"/>
        <v>2.7929092187690685E-3</v>
      </c>
    </row>
    <row r="93" spans="1:11" x14ac:dyDescent="0.2">
      <c r="A93" s="2">
        <v>42598</v>
      </c>
      <c r="B93">
        <v>2186.239990234375</v>
      </c>
      <c r="C93">
        <v>2186.239990234375</v>
      </c>
      <c r="D93">
        <v>2178.139892578125</v>
      </c>
      <c r="E93">
        <v>2178.14990234375</v>
      </c>
      <c r="F93">
        <v>2178.14990234375</v>
      </c>
      <c r="G93">
        <v>3196400000</v>
      </c>
      <c r="H93">
        <v>0</v>
      </c>
      <c r="I93">
        <v>0</v>
      </c>
      <c r="K93" s="11">
        <f t="shared" si="1"/>
        <v>-5.4790770198690497E-3</v>
      </c>
    </row>
    <row r="94" spans="1:11" x14ac:dyDescent="0.2">
      <c r="A94" s="2">
        <v>42599</v>
      </c>
      <c r="B94">
        <v>2177.840087890625</v>
      </c>
      <c r="C94">
        <v>2183.080078125</v>
      </c>
      <c r="D94">
        <v>2168.5</v>
      </c>
      <c r="E94">
        <v>2182.219970703125</v>
      </c>
      <c r="F94">
        <v>2182.219970703125</v>
      </c>
      <c r="G94">
        <v>3388910000</v>
      </c>
      <c r="H94">
        <v>0</v>
      </c>
      <c r="I94">
        <v>0</v>
      </c>
      <c r="K94" s="11">
        <f t="shared" si="1"/>
        <v>1.8685896480290509E-3</v>
      </c>
    </row>
    <row r="95" spans="1:11" x14ac:dyDescent="0.2">
      <c r="A95" s="2">
        <v>42600</v>
      </c>
      <c r="B95">
        <v>2181.89990234375</v>
      </c>
      <c r="C95">
        <v>2187.030029296875</v>
      </c>
      <c r="D95">
        <v>2180.4599609375</v>
      </c>
      <c r="E95">
        <v>2187.02001953125</v>
      </c>
      <c r="F95">
        <v>2187.02001953125</v>
      </c>
      <c r="G95">
        <v>3300570000</v>
      </c>
      <c r="H95">
        <v>0</v>
      </c>
      <c r="I95">
        <v>0</v>
      </c>
      <c r="K95" s="11">
        <f t="shared" si="1"/>
        <v>2.1996173129046337E-3</v>
      </c>
    </row>
    <row r="96" spans="1:11" x14ac:dyDescent="0.2">
      <c r="A96" s="2">
        <v>42601</v>
      </c>
      <c r="B96">
        <v>2184.239990234375</v>
      </c>
      <c r="C96">
        <v>2185</v>
      </c>
      <c r="D96">
        <v>2175.1298828125</v>
      </c>
      <c r="E96">
        <v>2183.8701171875</v>
      </c>
      <c r="F96">
        <v>2183.8701171875</v>
      </c>
      <c r="G96">
        <v>3084800000</v>
      </c>
      <c r="H96">
        <v>0</v>
      </c>
      <c r="I96">
        <v>0</v>
      </c>
      <c r="K96" s="11">
        <f t="shared" si="1"/>
        <v>-1.4402713809749113E-3</v>
      </c>
    </row>
    <row r="97" spans="1:11" x14ac:dyDescent="0.2">
      <c r="A97" s="2">
        <v>42604</v>
      </c>
      <c r="B97">
        <v>2181.580078125</v>
      </c>
      <c r="C97">
        <v>2185.14990234375</v>
      </c>
      <c r="D97">
        <v>2175.9599609375</v>
      </c>
      <c r="E97">
        <v>2182.639892578125</v>
      </c>
      <c r="F97">
        <v>2182.639892578125</v>
      </c>
      <c r="G97">
        <v>2777550000</v>
      </c>
      <c r="H97">
        <v>0</v>
      </c>
      <c r="I97">
        <v>0</v>
      </c>
      <c r="K97" s="11">
        <f t="shared" si="1"/>
        <v>-5.6332315722118498E-4</v>
      </c>
    </row>
    <row r="98" spans="1:11" x14ac:dyDescent="0.2">
      <c r="A98" s="2">
        <v>42605</v>
      </c>
      <c r="B98">
        <v>2187.81005859375</v>
      </c>
      <c r="C98">
        <v>2193.419921875</v>
      </c>
      <c r="D98">
        <v>2186.800048828125</v>
      </c>
      <c r="E98">
        <v>2186.89990234375</v>
      </c>
      <c r="F98">
        <v>2186.89990234375</v>
      </c>
      <c r="G98">
        <v>3041490000</v>
      </c>
      <c r="H98">
        <v>0</v>
      </c>
      <c r="I98">
        <v>0</v>
      </c>
      <c r="K98" s="11">
        <f t="shared" si="1"/>
        <v>1.9517694055308787E-3</v>
      </c>
    </row>
    <row r="99" spans="1:11" x14ac:dyDescent="0.2">
      <c r="A99" s="2">
        <v>42606</v>
      </c>
      <c r="B99">
        <v>2185.090087890625</v>
      </c>
      <c r="C99">
        <v>2186.659912109375</v>
      </c>
      <c r="D99">
        <v>2171.25</v>
      </c>
      <c r="E99">
        <v>2175.43994140625</v>
      </c>
      <c r="F99">
        <v>2175.43994140625</v>
      </c>
      <c r="G99">
        <v>3148280000</v>
      </c>
      <c r="H99">
        <v>0</v>
      </c>
      <c r="I99">
        <v>0</v>
      </c>
      <c r="K99" s="11">
        <f t="shared" si="1"/>
        <v>-5.2402768527348709E-3</v>
      </c>
    </row>
    <row r="100" spans="1:11" x14ac:dyDescent="0.2">
      <c r="A100" s="2">
        <v>42607</v>
      </c>
      <c r="B100">
        <v>2173.2900390625</v>
      </c>
      <c r="C100">
        <v>2179</v>
      </c>
      <c r="D100">
        <v>2169.739990234375</v>
      </c>
      <c r="E100">
        <v>2172.469970703125</v>
      </c>
      <c r="F100">
        <v>2172.469970703125</v>
      </c>
      <c r="G100">
        <v>2969310000</v>
      </c>
      <c r="H100">
        <v>0</v>
      </c>
      <c r="I100">
        <v>0</v>
      </c>
      <c r="K100" s="11">
        <f t="shared" si="1"/>
        <v>-1.3652276243513173E-3</v>
      </c>
    </row>
    <row r="101" spans="1:11" x14ac:dyDescent="0.2">
      <c r="A101" s="2">
        <v>42608</v>
      </c>
      <c r="B101">
        <v>2175.10009765625</v>
      </c>
      <c r="C101">
        <v>2187.93994140625</v>
      </c>
      <c r="D101">
        <v>2160.389892578125</v>
      </c>
      <c r="E101">
        <v>2169.0400390625</v>
      </c>
      <c r="F101">
        <v>2169.0400390625</v>
      </c>
      <c r="G101">
        <v>3342340000</v>
      </c>
      <c r="H101">
        <v>0</v>
      </c>
      <c r="I101">
        <v>0</v>
      </c>
      <c r="K101" s="11">
        <f t="shared" si="1"/>
        <v>-1.5788165944199406E-3</v>
      </c>
    </row>
    <row r="102" spans="1:11" x14ac:dyDescent="0.2">
      <c r="A102" s="2">
        <v>42611</v>
      </c>
      <c r="B102">
        <v>2170.18994140625</v>
      </c>
      <c r="C102">
        <v>2183.47998046875</v>
      </c>
      <c r="D102">
        <v>2170.18994140625</v>
      </c>
      <c r="E102">
        <v>2180.3798828125</v>
      </c>
      <c r="F102">
        <v>2180.3798828125</v>
      </c>
      <c r="G102">
        <v>2654780000</v>
      </c>
      <c r="H102">
        <v>0</v>
      </c>
      <c r="I102">
        <v>0</v>
      </c>
      <c r="K102" s="11">
        <f t="shared" si="1"/>
        <v>5.2280472217107743E-3</v>
      </c>
    </row>
    <row r="103" spans="1:11" x14ac:dyDescent="0.2">
      <c r="A103" s="2">
        <v>42612</v>
      </c>
      <c r="B103">
        <v>2179.449951171875</v>
      </c>
      <c r="C103">
        <v>2182.27001953125</v>
      </c>
      <c r="D103">
        <v>2170.409912109375</v>
      </c>
      <c r="E103">
        <v>2176.1201171875</v>
      </c>
      <c r="F103">
        <v>2176.1201171875</v>
      </c>
      <c r="G103">
        <v>3006800000</v>
      </c>
      <c r="H103">
        <v>0</v>
      </c>
      <c r="I103">
        <v>0</v>
      </c>
      <c r="K103" s="11">
        <f t="shared" si="1"/>
        <v>-1.9536804841114863E-3</v>
      </c>
    </row>
    <row r="104" spans="1:11" x14ac:dyDescent="0.2">
      <c r="A104" s="2">
        <v>42613</v>
      </c>
      <c r="B104">
        <v>2173.56005859375</v>
      </c>
      <c r="C104">
        <v>2173.7900390625</v>
      </c>
      <c r="D104">
        <v>2161.35009765625</v>
      </c>
      <c r="E104">
        <v>2170.949951171875</v>
      </c>
      <c r="F104">
        <v>2170.949951171875</v>
      </c>
      <c r="G104">
        <v>3766390000</v>
      </c>
      <c r="H104">
        <v>0</v>
      </c>
      <c r="I104">
        <v>0</v>
      </c>
      <c r="K104" s="11">
        <f t="shared" si="1"/>
        <v>-2.3758642617150993E-3</v>
      </c>
    </row>
    <row r="105" spans="1:11" x14ac:dyDescent="0.2">
      <c r="A105" s="2">
        <v>42614</v>
      </c>
      <c r="B105">
        <v>2171.330078125</v>
      </c>
      <c r="C105">
        <v>2173.56005859375</v>
      </c>
      <c r="D105">
        <v>2157.090087890625</v>
      </c>
      <c r="E105">
        <v>2170.860107421875</v>
      </c>
      <c r="F105">
        <v>2170.860107421875</v>
      </c>
      <c r="G105">
        <v>3392120000</v>
      </c>
      <c r="H105">
        <v>0</v>
      </c>
      <c r="I105">
        <v>0</v>
      </c>
      <c r="K105" s="11">
        <f t="shared" si="1"/>
        <v>-4.1384533048027805E-5</v>
      </c>
    </row>
    <row r="106" spans="1:11" x14ac:dyDescent="0.2">
      <c r="A106" s="2">
        <v>42615</v>
      </c>
      <c r="B106">
        <v>2177.489990234375</v>
      </c>
      <c r="C106">
        <v>2184.8701171875</v>
      </c>
      <c r="D106">
        <v>2173.590087890625</v>
      </c>
      <c r="E106">
        <v>2179.97998046875</v>
      </c>
      <c r="F106">
        <v>2179.97998046875</v>
      </c>
      <c r="G106">
        <v>3091120000</v>
      </c>
      <c r="H106">
        <v>0</v>
      </c>
      <c r="I106">
        <v>0</v>
      </c>
      <c r="K106" s="11">
        <f t="shared" si="1"/>
        <v>4.2010413364248489E-3</v>
      </c>
    </row>
    <row r="107" spans="1:11" x14ac:dyDescent="0.2">
      <c r="A107" s="2">
        <v>42619</v>
      </c>
      <c r="B107">
        <v>2181.610107421875</v>
      </c>
      <c r="C107">
        <v>2186.570068359375</v>
      </c>
      <c r="D107">
        <v>2175.10009765625</v>
      </c>
      <c r="E107">
        <v>2186.47998046875</v>
      </c>
      <c r="F107">
        <v>2186.47998046875</v>
      </c>
      <c r="G107">
        <v>3447650000</v>
      </c>
      <c r="H107">
        <v>0</v>
      </c>
      <c r="I107">
        <v>0</v>
      </c>
      <c r="K107" s="11">
        <f t="shared" si="1"/>
        <v>2.9816787577114923E-3</v>
      </c>
    </row>
    <row r="108" spans="1:11" x14ac:dyDescent="0.2">
      <c r="A108" s="2">
        <v>42620</v>
      </c>
      <c r="B108">
        <v>2185.169921875</v>
      </c>
      <c r="C108">
        <v>2187.8701171875</v>
      </c>
      <c r="D108">
        <v>2179.070068359375</v>
      </c>
      <c r="E108">
        <v>2186.159912109375</v>
      </c>
      <c r="F108">
        <v>2186.159912109375</v>
      </c>
      <c r="G108">
        <v>3319420000</v>
      </c>
      <c r="H108">
        <v>0</v>
      </c>
      <c r="I108">
        <v>0</v>
      </c>
      <c r="K108" s="11">
        <f t="shared" si="1"/>
        <v>-1.4638522293097811E-4</v>
      </c>
    </row>
    <row r="109" spans="1:11" x14ac:dyDescent="0.2">
      <c r="A109" s="2">
        <v>42621</v>
      </c>
      <c r="B109">
        <v>2182.760009765625</v>
      </c>
      <c r="C109">
        <v>2184.93994140625</v>
      </c>
      <c r="D109">
        <v>2177.489990234375</v>
      </c>
      <c r="E109">
        <v>2181.300048828125</v>
      </c>
      <c r="F109">
        <v>2181.300048828125</v>
      </c>
      <c r="G109">
        <v>3727840000</v>
      </c>
      <c r="H109">
        <v>0</v>
      </c>
      <c r="I109">
        <v>0</v>
      </c>
      <c r="K109" s="11">
        <f t="shared" si="1"/>
        <v>-2.2230136296667036E-3</v>
      </c>
    </row>
    <row r="110" spans="1:11" x14ac:dyDescent="0.2">
      <c r="A110" s="2">
        <v>42622</v>
      </c>
      <c r="B110">
        <v>2169.080078125</v>
      </c>
      <c r="C110">
        <v>2169.080078125</v>
      </c>
      <c r="D110">
        <v>2127.81005859375</v>
      </c>
      <c r="E110">
        <v>2127.81005859375</v>
      </c>
      <c r="F110">
        <v>2127.81005859375</v>
      </c>
      <c r="G110">
        <v>4233960000</v>
      </c>
      <c r="H110">
        <v>0</v>
      </c>
      <c r="I110">
        <v>0</v>
      </c>
      <c r="K110" s="11">
        <f t="shared" si="1"/>
        <v>-2.4522068966675081E-2</v>
      </c>
    </row>
    <row r="111" spans="1:11" x14ac:dyDescent="0.2">
      <c r="A111" s="2">
        <v>42625</v>
      </c>
      <c r="B111">
        <v>2120.860107421875</v>
      </c>
      <c r="C111">
        <v>2163.300048828125</v>
      </c>
      <c r="D111">
        <v>2119.1201171875</v>
      </c>
      <c r="E111">
        <v>2159.0400390625</v>
      </c>
      <c r="F111">
        <v>2159.0400390625</v>
      </c>
      <c r="G111">
        <v>4010480000</v>
      </c>
      <c r="H111">
        <v>0</v>
      </c>
      <c r="I111">
        <v>0</v>
      </c>
      <c r="K111" s="11">
        <f t="shared" si="1"/>
        <v>1.467705274849096E-2</v>
      </c>
    </row>
    <row r="112" spans="1:11" x14ac:dyDescent="0.2">
      <c r="A112" s="2">
        <v>42626</v>
      </c>
      <c r="B112">
        <v>2150.469970703125</v>
      </c>
      <c r="C112">
        <v>2150.469970703125</v>
      </c>
      <c r="D112">
        <v>2120.27001953125</v>
      </c>
      <c r="E112">
        <v>2127.02001953125</v>
      </c>
      <c r="F112">
        <v>2127.02001953125</v>
      </c>
      <c r="G112">
        <v>4141670000</v>
      </c>
      <c r="H112">
        <v>0</v>
      </c>
      <c r="I112">
        <v>0</v>
      </c>
      <c r="K112" s="11">
        <f t="shared" si="1"/>
        <v>-1.4830674258895948E-2</v>
      </c>
    </row>
    <row r="113" spans="1:11" x14ac:dyDescent="0.2">
      <c r="A113" s="2">
        <v>42627</v>
      </c>
      <c r="B113">
        <v>2127.860107421875</v>
      </c>
      <c r="C113">
        <v>2141.330078125</v>
      </c>
      <c r="D113">
        <v>2119.89990234375</v>
      </c>
      <c r="E113">
        <v>2125.77001953125</v>
      </c>
      <c r="F113">
        <v>2125.77001953125</v>
      </c>
      <c r="G113">
        <v>3664100000</v>
      </c>
      <c r="H113">
        <v>0</v>
      </c>
      <c r="I113">
        <v>0</v>
      </c>
      <c r="K113" s="11">
        <f t="shared" si="1"/>
        <v>-5.8767665020631465E-4</v>
      </c>
    </row>
    <row r="114" spans="1:11" x14ac:dyDescent="0.2">
      <c r="A114" s="2">
        <v>42628</v>
      </c>
      <c r="B114">
        <v>2125.360107421875</v>
      </c>
      <c r="C114">
        <v>2151.31005859375</v>
      </c>
      <c r="D114">
        <v>2122.360107421875</v>
      </c>
      <c r="E114">
        <v>2147.260009765625</v>
      </c>
      <c r="F114">
        <v>2147.260009765625</v>
      </c>
      <c r="G114">
        <v>3373720000</v>
      </c>
      <c r="H114">
        <v>0</v>
      </c>
      <c r="I114">
        <v>0</v>
      </c>
      <c r="K114" s="11">
        <f t="shared" si="1"/>
        <v>1.0109273363029914E-2</v>
      </c>
    </row>
    <row r="115" spans="1:11" x14ac:dyDescent="0.2">
      <c r="A115" s="2">
        <v>42629</v>
      </c>
      <c r="B115">
        <v>2146.47998046875</v>
      </c>
      <c r="C115">
        <v>2146.47998046875</v>
      </c>
      <c r="D115">
        <v>2131.199951171875</v>
      </c>
      <c r="E115">
        <v>2139.159912109375</v>
      </c>
      <c r="F115">
        <v>2139.159912109375</v>
      </c>
      <c r="G115">
        <v>5014360000</v>
      </c>
      <c r="H115">
        <v>0</v>
      </c>
      <c r="I115">
        <v>0</v>
      </c>
      <c r="K115" s="11">
        <f t="shared" si="1"/>
        <v>-3.7722947474507773E-3</v>
      </c>
    </row>
    <row r="116" spans="1:11" x14ac:dyDescent="0.2">
      <c r="A116" s="2">
        <v>42632</v>
      </c>
      <c r="B116">
        <v>2143.989990234375</v>
      </c>
      <c r="C116">
        <v>2153.610107421875</v>
      </c>
      <c r="D116">
        <v>2135.909912109375</v>
      </c>
      <c r="E116">
        <v>2139.1201171875</v>
      </c>
      <c r="F116">
        <v>2139.1201171875</v>
      </c>
      <c r="G116">
        <v>3141820000</v>
      </c>
      <c r="H116">
        <v>0</v>
      </c>
      <c r="I116">
        <v>0</v>
      </c>
      <c r="K116" s="11">
        <f t="shared" si="1"/>
        <v>-1.8603060785604697E-5</v>
      </c>
    </row>
    <row r="117" spans="1:11" x14ac:dyDescent="0.2">
      <c r="A117" s="2">
        <v>42633</v>
      </c>
      <c r="B117">
        <v>2145.93994140625</v>
      </c>
      <c r="C117">
        <v>2150.800048828125</v>
      </c>
      <c r="D117">
        <v>2139.169921875</v>
      </c>
      <c r="E117">
        <v>2139.760009765625</v>
      </c>
      <c r="F117">
        <v>2139.760009765625</v>
      </c>
      <c r="G117">
        <v>3117380000</v>
      </c>
      <c r="H117">
        <v>0</v>
      </c>
      <c r="I117">
        <v>0</v>
      </c>
      <c r="K117" s="11">
        <f t="shared" si="1"/>
        <v>2.9913821714999678E-4</v>
      </c>
    </row>
    <row r="118" spans="1:11" x14ac:dyDescent="0.2">
      <c r="A118" s="2">
        <v>42634</v>
      </c>
      <c r="B118">
        <v>2144.580078125</v>
      </c>
      <c r="C118">
        <v>2165.110107421875</v>
      </c>
      <c r="D118">
        <v>2139.570068359375</v>
      </c>
      <c r="E118">
        <v>2163.1201171875</v>
      </c>
      <c r="F118">
        <v>2163.1201171875</v>
      </c>
      <c r="G118">
        <v>3685450000</v>
      </c>
      <c r="H118">
        <v>0</v>
      </c>
      <c r="I118">
        <v>0</v>
      </c>
      <c r="K118" s="11">
        <f t="shared" si="1"/>
        <v>1.0917162352442444E-2</v>
      </c>
    </row>
    <row r="119" spans="1:11" x14ac:dyDescent="0.2">
      <c r="A119" s="2">
        <v>42635</v>
      </c>
      <c r="B119">
        <v>2170.93994140625</v>
      </c>
      <c r="C119">
        <v>2179.989990234375</v>
      </c>
      <c r="D119">
        <v>2170.93994140625</v>
      </c>
      <c r="E119">
        <v>2177.179931640625</v>
      </c>
      <c r="F119">
        <v>2177.179931640625</v>
      </c>
      <c r="G119">
        <v>3523860000</v>
      </c>
      <c r="H119">
        <v>0</v>
      </c>
      <c r="I119">
        <v>0</v>
      </c>
      <c r="K119" s="11">
        <f t="shared" si="1"/>
        <v>6.4997844277856487E-3</v>
      </c>
    </row>
    <row r="120" spans="1:11" x14ac:dyDescent="0.2">
      <c r="A120" s="2">
        <v>42636</v>
      </c>
      <c r="B120">
        <v>2173.2900390625</v>
      </c>
      <c r="C120">
        <v>2173.75</v>
      </c>
      <c r="D120">
        <v>2163.969970703125</v>
      </c>
      <c r="E120">
        <v>2164.68994140625</v>
      </c>
      <c r="F120">
        <v>2164.68994140625</v>
      </c>
      <c r="G120">
        <v>3289860000</v>
      </c>
      <c r="H120">
        <v>0</v>
      </c>
      <c r="I120">
        <v>0</v>
      </c>
      <c r="K120" s="11">
        <f t="shared" si="1"/>
        <v>-5.7367744635433704E-3</v>
      </c>
    </row>
    <row r="121" spans="1:11" x14ac:dyDescent="0.2">
      <c r="A121" s="2">
        <v>42639</v>
      </c>
      <c r="B121">
        <v>2158.5400390625</v>
      </c>
      <c r="C121">
        <v>2158.5400390625</v>
      </c>
      <c r="D121">
        <v>2145.0400390625</v>
      </c>
      <c r="E121">
        <v>2146.10009765625</v>
      </c>
      <c r="F121">
        <v>2146.10009765625</v>
      </c>
      <c r="G121">
        <v>3199910000</v>
      </c>
      <c r="H121">
        <v>0</v>
      </c>
      <c r="I121">
        <v>0</v>
      </c>
      <c r="K121" s="11">
        <f t="shared" si="1"/>
        <v>-8.5877627989177086E-3</v>
      </c>
    </row>
    <row r="122" spans="1:11" x14ac:dyDescent="0.2">
      <c r="A122" s="2">
        <v>42640</v>
      </c>
      <c r="B122">
        <v>2146.0400390625</v>
      </c>
      <c r="C122">
        <v>2161.1298828125</v>
      </c>
      <c r="D122">
        <v>2141.550048828125</v>
      </c>
      <c r="E122">
        <v>2159.929931640625</v>
      </c>
      <c r="F122">
        <v>2159.929931640625</v>
      </c>
      <c r="G122">
        <v>3414090000</v>
      </c>
      <c r="H122">
        <v>0</v>
      </c>
      <c r="I122">
        <v>0</v>
      </c>
      <c r="K122" s="11">
        <f t="shared" si="1"/>
        <v>6.4441700550121883E-3</v>
      </c>
    </row>
    <row r="123" spans="1:11" x14ac:dyDescent="0.2">
      <c r="A123" s="2">
        <v>42641</v>
      </c>
      <c r="B123">
        <v>2161.85009765625</v>
      </c>
      <c r="C123">
        <v>2172.39990234375</v>
      </c>
      <c r="D123">
        <v>2151.7900390625</v>
      </c>
      <c r="E123">
        <v>2171.3701171875</v>
      </c>
      <c r="F123">
        <v>2171.3701171875</v>
      </c>
      <c r="G123">
        <v>3860390000</v>
      </c>
      <c r="H123">
        <v>0</v>
      </c>
      <c r="I123">
        <v>0</v>
      </c>
      <c r="K123" s="11">
        <f t="shared" si="1"/>
        <v>5.2965540128355748E-3</v>
      </c>
    </row>
    <row r="124" spans="1:11" x14ac:dyDescent="0.2">
      <c r="A124" s="2">
        <v>42642</v>
      </c>
      <c r="B124">
        <v>2168.89990234375</v>
      </c>
      <c r="C124">
        <v>2172.669921875</v>
      </c>
      <c r="D124">
        <v>2145.199951171875</v>
      </c>
      <c r="E124">
        <v>2151.1298828125</v>
      </c>
      <c r="F124">
        <v>2151.1298828125</v>
      </c>
      <c r="G124">
        <v>4215620000</v>
      </c>
      <c r="H124">
        <v>0</v>
      </c>
      <c r="I124">
        <v>0</v>
      </c>
      <c r="K124" s="11">
        <f t="shared" si="1"/>
        <v>-9.3214114971870154E-3</v>
      </c>
    </row>
    <row r="125" spans="1:11" x14ac:dyDescent="0.2">
      <c r="A125" s="2">
        <v>42643</v>
      </c>
      <c r="B125">
        <v>2156.510009765625</v>
      </c>
      <c r="C125">
        <v>2175.300048828125</v>
      </c>
      <c r="D125">
        <v>2156.510009765625</v>
      </c>
      <c r="E125">
        <v>2168.27001953125</v>
      </c>
      <c r="F125">
        <v>2168.27001953125</v>
      </c>
      <c r="G125">
        <v>4158800000</v>
      </c>
      <c r="H125">
        <v>0</v>
      </c>
      <c r="I125">
        <v>0</v>
      </c>
      <c r="K125" s="11">
        <f t="shared" si="1"/>
        <v>7.9679692312861761E-3</v>
      </c>
    </row>
    <row r="126" spans="1:11" x14ac:dyDescent="0.2">
      <c r="A126" s="2">
        <v>42646</v>
      </c>
      <c r="B126">
        <v>2164.330078125</v>
      </c>
      <c r="C126">
        <v>2164.409912109375</v>
      </c>
      <c r="D126">
        <v>2154.77001953125</v>
      </c>
      <c r="E126">
        <v>2161.199951171875</v>
      </c>
      <c r="F126">
        <v>2161.199951171875</v>
      </c>
      <c r="G126">
        <v>3113850000</v>
      </c>
      <c r="H126">
        <v>0</v>
      </c>
      <c r="I126">
        <v>0</v>
      </c>
      <c r="K126" s="11">
        <f t="shared" si="1"/>
        <v>-3.2606955294726125E-3</v>
      </c>
    </row>
    <row r="127" spans="1:11" x14ac:dyDescent="0.2">
      <c r="A127" s="2">
        <v>42647</v>
      </c>
      <c r="B127">
        <v>2163.3701171875</v>
      </c>
      <c r="C127">
        <v>2165.4599609375</v>
      </c>
      <c r="D127">
        <v>2144.010009765625</v>
      </c>
      <c r="E127">
        <v>2150.489990234375</v>
      </c>
      <c r="F127">
        <v>2150.489990234375</v>
      </c>
      <c r="G127">
        <v>3716100000</v>
      </c>
      <c r="H127">
        <v>0</v>
      </c>
      <c r="I127">
        <v>0</v>
      </c>
      <c r="K127" s="11">
        <f t="shared" si="1"/>
        <v>-4.9555622707156965E-3</v>
      </c>
    </row>
    <row r="128" spans="1:11" x14ac:dyDescent="0.2">
      <c r="A128" s="2">
        <v>42648</v>
      </c>
      <c r="B128">
        <v>2155.14990234375</v>
      </c>
      <c r="C128">
        <v>2163.949951171875</v>
      </c>
      <c r="D128">
        <v>2155.14990234375</v>
      </c>
      <c r="E128">
        <v>2159.72998046875</v>
      </c>
      <c r="F128">
        <v>2159.72998046875</v>
      </c>
      <c r="G128">
        <v>3883710000</v>
      </c>
      <c r="H128">
        <v>0</v>
      </c>
      <c r="I128">
        <v>0</v>
      </c>
      <c r="K128" s="11">
        <f t="shared" si="1"/>
        <v>4.2966906501935576E-3</v>
      </c>
    </row>
    <row r="129" spans="1:11" x14ac:dyDescent="0.2">
      <c r="A129" s="2">
        <v>42649</v>
      </c>
      <c r="B129">
        <v>2158.219970703125</v>
      </c>
      <c r="C129">
        <v>2162.929931640625</v>
      </c>
      <c r="D129">
        <v>2150.280029296875</v>
      </c>
      <c r="E129">
        <v>2160.77001953125</v>
      </c>
      <c r="F129">
        <v>2160.77001953125</v>
      </c>
      <c r="G129">
        <v>3438040000</v>
      </c>
      <c r="H129">
        <v>0</v>
      </c>
      <c r="I129">
        <v>0</v>
      </c>
      <c r="K129" s="11">
        <f t="shared" si="1"/>
        <v>4.8155976529717925E-4</v>
      </c>
    </row>
    <row r="130" spans="1:11" x14ac:dyDescent="0.2">
      <c r="A130" s="2">
        <v>42650</v>
      </c>
      <c r="B130">
        <v>2164.18994140625</v>
      </c>
      <c r="C130">
        <v>2165.860107421875</v>
      </c>
      <c r="D130">
        <v>2144.85009765625</v>
      </c>
      <c r="E130">
        <v>2153.739990234375</v>
      </c>
      <c r="F130">
        <v>2153.739990234375</v>
      </c>
      <c r="G130">
        <v>3578770000</v>
      </c>
      <c r="H130">
        <v>0</v>
      </c>
      <c r="I130">
        <v>0</v>
      </c>
      <c r="K130" s="11">
        <f t="shared" si="1"/>
        <v>-3.2534833570118105E-3</v>
      </c>
    </row>
    <row r="131" spans="1:11" x14ac:dyDescent="0.2">
      <c r="A131" s="2">
        <v>42653</v>
      </c>
      <c r="B131">
        <v>2160.389892578125</v>
      </c>
      <c r="C131">
        <v>2169.60009765625</v>
      </c>
      <c r="D131">
        <v>2160.389892578125</v>
      </c>
      <c r="E131">
        <v>2163.659912109375</v>
      </c>
      <c r="F131">
        <v>2163.659912109375</v>
      </c>
      <c r="G131">
        <v>2881970000</v>
      </c>
      <c r="H131">
        <v>0</v>
      </c>
      <c r="I131">
        <v>0</v>
      </c>
      <c r="K131" s="11">
        <f t="shared" si="1"/>
        <v>4.6059050395961254E-3</v>
      </c>
    </row>
    <row r="132" spans="1:11" x14ac:dyDescent="0.2">
      <c r="A132" s="2">
        <v>42654</v>
      </c>
      <c r="B132">
        <v>2161.35009765625</v>
      </c>
      <c r="C132">
        <v>2161.56005859375</v>
      </c>
      <c r="D132">
        <v>2128.840087890625</v>
      </c>
      <c r="E132">
        <v>2136.72998046875</v>
      </c>
      <c r="F132">
        <v>2136.72998046875</v>
      </c>
      <c r="G132">
        <v>3393060000</v>
      </c>
      <c r="H132">
        <v>0</v>
      </c>
      <c r="I132">
        <v>0</v>
      </c>
      <c r="K132" s="11">
        <f t="shared" ref="K132:K195" si="2">(E132/E131)-1</f>
        <v>-1.2446471596532338E-2</v>
      </c>
    </row>
    <row r="133" spans="1:11" x14ac:dyDescent="0.2">
      <c r="A133" s="2">
        <v>42655</v>
      </c>
      <c r="B133">
        <v>2137.669921875</v>
      </c>
      <c r="C133">
        <v>2145.360107421875</v>
      </c>
      <c r="D133">
        <v>2132.77001953125</v>
      </c>
      <c r="E133">
        <v>2139.179931640625</v>
      </c>
      <c r="F133">
        <v>2139.179931640625</v>
      </c>
      <c r="G133">
        <v>2959510000</v>
      </c>
      <c r="H133">
        <v>0</v>
      </c>
      <c r="I133">
        <v>0</v>
      </c>
      <c r="K133" s="11">
        <f t="shared" si="2"/>
        <v>1.1465890375803589E-3</v>
      </c>
    </row>
    <row r="134" spans="1:11" x14ac:dyDescent="0.2">
      <c r="A134" s="2">
        <v>42656</v>
      </c>
      <c r="B134">
        <v>2130.260009765625</v>
      </c>
      <c r="C134">
        <v>2138.18994140625</v>
      </c>
      <c r="D134">
        <v>2114.719970703125</v>
      </c>
      <c r="E134">
        <v>2132.550048828125</v>
      </c>
      <c r="F134">
        <v>2132.550048828125</v>
      </c>
      <c r="G134">
        <v>3538030000</v>
      </c>
      <c r="H134">
        <v>0</v>
      </c>
      <c r="I134">
        <v>0</v>
      </c>
      <c r="K134" s="11">
        <f t="shared" si="2"/>
        <v>-3.0992637479612117E-3</v>
      </c>
    </row>
    <row r="135" spans="1:11" x14ac:dyDescent="0.2">
      <c r="A135" s="2">
        <v>42657</v>
      </c>
      <c r="B135">
        <v>2139.679931640625</v>
      </c>
      <c r="C135">
        <v>2149.18994140625</v>
      </c>
      <c r="D135">
        <v>2132.97998046875</v>
      </c>
      <c r="E135">
        <v>2132.97998046875</v>
      </c>
      <c r="F135">
        <v>2132.97998046875</v>
      </c>
      <c r="G135">
        <v>3187910000</v>
      </c>
      <c r="H135">
        <v>0</v>
      </c>
      <c r="I135">
        <v>0</v>
      </c>
      <c r="K135" s="11">
        <f t="shared" si="2"/>
        <v>2.0160447857309194E-4</v>
      </c>
    </row>
    <row r="136" spans="1:11" x14ac:dyDescent="0.2">
      <c r="A136" s="2">
        <v>42660</v>
      </c>
      <c r="B136">
        <v>2132.949951171875</v>
      </c>
      <c r="C136">
        <v>2135.610107421875</v>
      </c>
      <c r="D136">
        <v>2124.429931640625</v>
      </c>
      <c r="E136">
        <v>2126.5</v>
      </c>
      <c r="F136">
        <v>2126.5</v>
      </c>
      <c r="G136">
        <v>2832440000</v>
      </c>
      <c r="H136">
        <v>0</v>
      </c>
      <c r="I136">
        <v>0</v>
      </c>
      <c r="K136" s="11">
        <f t="shared" si="2"/>
        <v>-3.037994040303138E-3</v>
      </c>
    </row>
    <row r="137" spans="1:11" x14ac:dyDescent="0.2">
      <c r="A137" s="2">
        <v>42661</v>
      </c>
      <c r="B137">
        <v>2138.31005859375</v>
      </c>
      <c r="C137">
        <v>2144.3798828125</v>
      </c>
      <c r="D137">
        <v>2135.489990234375</v>
      </c>
      <c r="E137">
        <v>2139.60009765625</v>
      </c>
      <c r="F137">
        <v>2139.60009765625</v>
      </c>
      <c r="G137">
        <v>3172940000</v>
      </c>
      <c r="H137">
        <v>0</v>
      </c>
      <c r="I137">
        <v>0</v>
      </c>
      <c r="K137" s="11">
        <f t="shared" si="2"/>
        <v>6.1604033182458551E-3</v>
      </c>
    </row>
    <row r="138" spans="1:11" x14ac:dyDescent="0.2">
      <c r="A138" s="2">
        <v>42662</v>
      </c>
      <c r="B138">
        <v>2140.81005859375</v>
      </c>
      <c r="C138">
        <v>2148.43994140625</v>
      </c>
      <c r="D138">
        <v>2138.14990234375</v>
      </c>
      <c r="E138">
        <v>2144.2900390625</v>
      </c>
      <c r="F138">
        <v>2144.2900390625</v>
      </c>
      <c r="G138">
        <v>3364990000</v>
      </c>
      <c r="H138">
        <v>0</v>
      </c>
      <c r="I138">
        <v>0</v>
      </c>
      <c r="K138" s="11">
        <f t="shared" si="2"/>
        <v>2.1919710189710617E-3</v>
      </c>
    </row>
    <row r="139" spans="1:11" x14ac:dyDescent="0.2">
      <c r="A139" s="2">
        <v>42663</v>
      </c>
      <c r="B139">
        <v>2142.510009765625</v>
      </c>
      <c r="C139">
        <v>2147.179931640625</v>
      </c>
      <c r="D139">
        <v>2133.43994140625</v>
      </c>
      <c r="E139">
        <v>2141.340087890625</v>
      </c>
      <c r="F139">
        <v>2141.340087890625</v>
      </c>
      <c r="G139">
        <v>3339320000</v>
      </c>
      <c r="H139">
        <v>0</v>
      </c>
      <c r="I139">
        <v>0</v>
      </c>
      <c r="K139" s="11">
        <f t="shared" si="2"/>
        <v>-1.3757239543792377E-3</v>
      </c>
    </row>
    <row r="140" spans="1:11" x14ac:dyDescent="0.2">
      <c r="A140" s="2">
        <v>42664</v>
      </c>
      <c r="B140">
        <v>2139.429931640625</v>
      </c>
      <c r="C140">
        <v>2142.6298828125</v>
      </c>
      <c r="D140">
        <v>2130.090087890625</v>
      </c>
      <c r="E140">
        <v>2141.159912109375</v>
      </c>
      <c r="F140">
        <v>2141.159912109375</v>
      </c>
      <c r="G140">
        <v>3456390000</v>
      </c>
      <c r="H140">
        <v>0</v>
      </c>
      <c r="I140">
        <v>0</v>
      </c>
      <c r="K140" s="11">
        <f t="shared" si="2"/>
        <v>-8.4141600051768073E-5</v>
      </c>
    </row>
    <row r="141" spans="1:11" x14ac:dyDescent="0.2">
      <c r="A141" s="2">
        <v>42667</v>
      </c>
      <c r="B141">
        <v>2148.5</v>
      </c>
      <c r="C141">
        <v>2154.7900390625</v>
      </c>
      <c r="D141">
        <v>2146.909912109375</v>
      </c>
      <c r="E141">
        <v>2151.330078125</v>
      </c>
      <c r="F141">
        <v>2151.330078125</v>
      </c>
      <c r="G141">
        <v>3359950000</v>
      </c>
      <c r="H141">
        <v>0</v>
      </c>
      <c r="I141">
        <v>0</v>
      </c>
      <c r="K141" s="11">
        <f t="shared" si="2"/>
        <v>4.7498395416929462E-3</v>
      </c>
    </row>
    <row r="142" spans="1:11" x14ac:dyDescent="0.2">
      <c r="A142" s="2">
        <v>42668</v>
      </c>
      <c r="B142">
        <v>2149.719970703125</v>
      </c>
      <c r="C142">
        <v>2151.43994140625</v>
      </c>
      <c r="D142">
        <v>2141.929931640625</v>
      </c>
      <c r="E142">
        <v>2143.159912109375</v>
      </c>
      <c r="F142">
        <v>2143.159912109375</v>
      </c>
      <c r="G142">
        <v>3756200000</v>
      </c>
      <c r="H142">
        <v>0</v>
      </c>
      <c r="I142">
        <v>0</v>
      </c>
      <c r="K142" s="11">
        <f t="shared" si="2"/>
        <v>-3.7977277864983394E-3</v>
      </c>
    </row>
    <row r="143" spans="1:11" x14ac:dyDescent="0.2">
      <c r="A143" s="2">
        <v>42669</v>
      </c>
      <c r="B143">
        <v>2136.969970703125</v>
      </c>
      <c r="C143">
        <v>2145.72998046875</v>
      </c>
      <c r="D143">
        <v>2131.590087890625</v>
      </c>
      <c r="E143">
        <v>2139.429931640625</v>
      </c>
      <c r="F143">
        <v>2139.429931640625</v>
      </c>
      <c r="G143">
        <v>3778120000</v>
      </c>
      <c r="H143">
        <v>0</v>
      </c>
      <c r="I143">
        <v>0</v>
      </c>
      <c r="K143" s="11">
        <f t="shared" si="2"/>
        <v>-1.7404116452881535E-3</v>
      </c>
    </row>
    <row r="144" spans="1:11" x14ac:dyDescent="0.2">
      <c r="A144" s="2">
        <v>42670</v>
      </c>
      <c r="B144">
        <v>2144.06005859375</v>
      </c>
      <c r="C144">
        <v>2147.1298828125</v>
      </c>
      <c r="D144">
        <v>2132.52001953125</v>
      </c>
      <c r="E144">
        <v>2133.0400390625</v>
      </c>
      <c r="F144">
        <v>2133.0400390625</v>
      </c>
      <c r="G144">
        <v>4209400000</v>
      </c>
      <c r="H144">
        <v>0</v>
      </c>
      <c r="I144">
        <v>0</v>
      </c>
      <c r="K144" s="11">
        <f t="shared" si="2"/>
        <v>-2.9867267366989747E-3</v>
      </c>
    </row>
    <row r="145" spans="1:11" x14ac:dyDescent="0.2">
      <c r="A145" s="2">
        <v>42671</v>
      </c>
      <c r="B145">
        <v>2132.22998046875</v>
      </c>
      <c r="C145">
        <v>2140.719970703125</v>
      </c>
      <c r="D145">
        <v>2119.360107421875</v>
      </c>
      <c r="E145">
        <v>2126.409912109375</v>
      </c>
      <c r="F145">
        <v>2126.409912109375</v>
      </c>
      <c r="G145">
        <v>4028270000</v>
      </c>
      <c r="H145">
        <v>0</v>
      </c>
      <c r="I145">
        <v>0</v>
      </c>
      <c r="K145" s="11">
        <f t="shared" si="2"/>
        <v>-3.1082993435224138E-3</v>
      </c>
    </row>
    <row r="146" spans="1:11" x14ac:dyDescent="0.2">
      <c r="A146" s="2">
        <v>42674</v>
      </c>
      <c r="B146">
        <v>2129.780029296875</v>
      </c>
      <c r="C146">
        <v>2133.25</v>
      </c>
      <c r="D146">
        <v>2125.530029296875</v>
      </c>
      <c r="E146">
        <v>2126.14990234375</v>
      </c>
      <c r="F146">
        <v>2126.14990234375</v>
      </c>
      <c r="G146">
        <v>3926560000</v>
      </c>
      <c r="H146">
        <v>0</v>
      </c>
      <c r="I146">
        <v>0</v>
      </c>
      <c r="K146" s="11">
        <f t="shared" si="2"/>
        <v>-1.2227640782913607E-4</v>
      </c>
    </row>
    <row r="147" spans="1:11" x14ac:dyDescent="0.2">
      <c r="A147" s="2">
        <v>42675</v>
      </c>
      <c r="B147">
        <v>2128.679931640625</v>
      </c>
      <c r="C147">
        <v>2131.449951171875</v>
      </c>
      <c r="D147">
        <v>2097.85009765625</v>
      </c>
      <c r="E147">
        <v>2111.719970703125</v>
      </c>
      <c r="F147">
        <v>2111.719970703125</v>
      </c>
      <c r="G147">
        <v>4539190000</v>
      </c>
      <c r="H147">
        <v>0</v>
      </c>
      <c r="I147">
        <v>0</v>
      </c>
      <c r="K147" s="11">
        <f t="shared" si="2"/>
        <v>-6.7868834764276409E-3</v>
      </c>
    </row>
    <row r="148" spans="1:11" x14ac:dyDescent="0.2">
      <c r="A148" s="2">
        <v>42676</v>
      </c>
      <c r="B148">
        <v>2109.429931640625</v>
      </c>
      <c r="C148">
        <v>2111.760009765625</v>
      </c>
      <c r="D148">
        <v>2094</v>
      </c>
      <c r="E148">
        <v>2097.93994140625</v>
      </c>
      <c r="F148">
        <v>2097.93994140625</v>
      </c>
      <c r="G148">
        <v>4289120000</v>
      </c>
      <c r="H148">
        <v>0</v>
      </c>
      <c r="I148">
        <v>0</v>
      </c>
      <c r="K148" s="11">
        <f t="shared" si="2"/>
        <v>-6.5255002974123899E-3</v>
      </c>
    </row>
    <row r="149" spans="1:11" x14ac:dyDescent="0.2">
      <c r="A149" s="2">
        <v>42677</v>
      </c>
      <c r="B149">
        <v>2098.800048828125</v>
      </c>
      <c r="C149">
        <v>2102.56005859375</v>
      </c>
      <c r="D149">
        <v>2085.22998046875</v>
      </c>
      <c r="E149">
        <v>2088.659912109375</v>
      </c>
      <c r="F149">
        <v>2088.659912109375</v>
      </c>
      <c r="G149">
        <v>3892100000</v>
      </c>
      <c r="H149">
        <v>0</v>
      </c>
      <c r="I149">
        <v>0</v>
      </c>
      <c r="K149" s="11">
        <f t="shared" si="2"/>
        <v>-4.423400838946101E-3</v>
      </c>
    </row>
    <row r="150" spans="1:11" x14ac:dyDescent="0.2">
      <c r="A150" s="2">
        <v>42678</v>
      </c>
      <c r="B150">
        <v>2083.7900390625</v>
      </c>
      <c r="C150">
        <v>2099.070068359375</v>
      </c>
      <c r="D150">
        <v>2083.7900390625</v>
      </c>
      <c r="E150">
        <v>2085.179931640625</v>
      </c>
      <c r="F150">
        <v>2085.179931640625</v>
      </c>
      <c r="G150">
        <v>3841910000</v>
      </c>
      <c r="H150">
        <v>0</v>
      </c>
      <c r="I150">
        <v>0</v>
      </c>
      <c r="K150" s="11">
        <f t="shared" si="2"/>
        <v>-1.6661307322337615E-3</v>
      </c>
    </row>
    <row r="151" spans="1:11" x14ac:dyDescent="0.2">
      <c r="A151" s="2">
        <v>42681</v>
      </c>
      <c r="B151">
        <v>2100.590087890625</v>
      </c>
      <c r="C151">
        <v>2132</v>
      </c>
      <c r="D151">
        <v>2100.590087890625</v>
      </c>
      <c r="E151">
        <v>2131.52001953125</v>
      </c>
      <c r="F151">
        <v>2131.52001953125</v>
      </c>
      <c r="G151">
        <v>3739720000</v>
      </c>
      <c r="H151">
        <v>0</v>
      </c>
      <c r="I151">
        <v>0</v>
      </c>
      <c r="K151" s="11">
        <f t="shared" si="2"/>
        <v>2.2223543967337278E-2</v>
      </c>
    </row>
    <row r="152" spans="1:11" x14ac:dyDescent="0.2">
      <c r="A152" s="2">
        <v>42682</v>
      </c>
      <c r="B152">
        <v>2129.919921875</v>
      </c>
      <c r="C152">
        <v>2146.8701171875</v>
      </c>
      <c r="D152">
        <v>2123.56005859375</v>
      </c>
      <c r="E152">
        <v>2139.56005859375</v>
      </c>
      <c r="F152">
        <v>2139.56005859375</v>
      </c>
      <c r="G152">
        <v>3921850000</v>
      </c>
      <c r="H152">
        <v>0</v>
      </c>
      <c r="I152">
        <v>0</v>
      </c>
      <c r="K152" s="11">
        <f t="shared" si="2"/>
        <v>3.7719744542996647E-3</v>
      </c>
    </row>
    <row r="153" spans="1:11" x14ac:dyDescent="0.2">
      <c r="A153" s="2">
        <v>42683</v>
      </c>
      <c r="B153">
        <v>2131.56005859375</v>
      </c>
      <c r="C153">
        <v>2170.10009765625</v>
      </c>
      <c r="D153">
        <v>2125.35009765625</v>
      </c>
      <c r="E153">
        <v>2163.260009765625</v>
      </c>
      <c r="F153">
        <v>2163.260009765625</v>
      </c>
      <c r="G153">
        <v>6267590000</v>
      </c>
      <c r="H153">
        <v>0</v>
      </c>
      <c r="I153">
        <v>0</v>
      </c>
      <c r="K153" s="11">
        <f t="shared" si="2"/>
        <v>1.1077020753253342E-2</v>
      </c>
    </row>
    <row r="154" spans="1:11" x14ac:dyDescent="0.2">
      <c r="A154" s="2">
        <v>42684</v>
      </c>
      <c r="B154">
        <v>2167.489990234375</v>
      </c>
      <c r="C154">
        <v>2182.300048828125</v>
      </c>
      <c r="D154">
        <v>2151.169921875</v>
      </c>
      <c r="E154">
        <v>2167.47998046875</v>
      </c>
      <c r="F154">
        <v>2167.47998046875</v>
      </c>
      <c r="G154">
        <v>6458450000</v>
      </c>
      <c r="H154">
        <v>0</v>
      </c>
      <c r="I154">
        <v>0</v>
      </c>
      <c r="K154" s="11">
        <f t="shared" si="2"/>
        <v>1.9507459501284519E-3</v>
      </c>
    </row>
    <row r="155" spans="1:11" x14ac:dyDescent="0.2">
      <c r="A155" s="2">
        <v>42685</v>
      </c>
      <c r="B155">
        <v>2162.7099609375</v>
      </c>
      <c r="C155">
        <v>2165.919921875</v>
      </c>
      <c r="D155">
        <v>2152.489990234375</v>
      </c>
      <c r="E155">
        <v>2164.449951171875</v>
      </c>
      <c r="F155">
        <v>2164.449951171875</v>
      </c>
      <c r="G155">
        <v>4993990000</v>
      </c>
      <c r="H155">
        <v>0</v>
      </c>
      <c r="I155">
        <v>0</v>
      </c>
      <c r="K155" s="11">
        <f t="shared" si="2"/>
        <v>-1.3979503036608554E-3</v>
      </c>
    </row>
    <row r="156" spans="1:11" x14ac:dyDescent="0.2">
      <c r="A156" s="2">
        <v>42688</v>
      </c>
      <c r="B156">
        <v>2165.639892578125</v>
      </c>
      <c r="C156">
        <v>2171.360107421875</v>
      </c>
      <c r="D156">
        <v>2156.080078125</v>
      </c>
      <c r="E156">
        <v>2164.199951171875</v>
      </c>
      <c r="F156">
        <v>2164.199951171875</v>
      </c>
      <c r="G156">
        <v>5373670000</v>
      </c>
      <c r="H156">
        <v>0</v>
      </c>
      <c r="I156">
        <v>0</v>
      </c>
      <c r="K156" s="11">
        <f t="shared" si="2"/>
        <v>-1.1550278622274313E-4</v>
      </c>
    </row>
    <row r="157" spans="1:11" x14ac:dyDescent="0.2">
      <c r="A157" s="2">
        <v>42689</v>
      </c>
      <c r="B157">
        <v>2168.2900390625</v>
      </c>
      <c r="C157">
        <v>2180.840087890625</v>
      </c>
      <c r="D157">
        <v>2166.3798828125</v>
      </c>
      <c r="E157">
        <v>2180.389892578125</v>
      </c>
      <c r="F157">
        <v>2180.389892578125</v>
      </c>
      <c r="G157">
        <v>4548110000</v>
      </c>
      <c r="H157">
        <v>0</v>
      </c>
      <c r="I157">
        <v>0</v>
      </c>
      <c r="K157" s="11">
        <f t="shared" si="2"/>
        <v>7.4807974177633074E-3</v>
      </c>
    </row>
    <row r="158" spans="1:11" x14ac:dyDescent="0.2">
      <c r="A158" s="2">
        <v>42690</v>
      </c>
      <c r="B158">
        <v>2177.530029296875</v>
      </c>
      <c r="C158">
        <v>2179.219970703125</v>
      </c>
      <c r="D158">
        <v>2172.199951171875</v>
      </c>
      <c r="E158">
        <v>2176.93994140625</v>
      </c>
      <c r="F158">
        <v>2176.93994140625</v>
      </c>
      <c r="G158">
        <v>3847900000</v>
      </c>
      <c r="H158">
        <v>0</v>
      </c>
      <c r="I158">
        <v>0</v>
      </c>
      <c r="K158" s="11">
        <f t="shared" si="2"/>
        <v>-1.5822634216101639E-3</v>
      </c>
    </row>
    <row r="159" spans="1:11" x14ac:dyDescent="0.2">
      <c r="A159" s="2">
        <v>42691</v>
      </c>
      <c r="B159">
        <v>2178.610107421875</v>
      </c>
      <c r="C159">
        <v>2188.06005859375</v>
      </c>
      <c r="D159">
        <v>2176.64990234375</v>
      </c>
      <c r="E159">
        <v>2187.1201171875</v>
      </c>
      <c r="F159">
        <v>2187.1201171875</v>
      </c>
      <c r="G159">
        <v>3811730000</v>
      </c>
      <c r="H159">
        <v>0</v>
      </c>
      <c r="I159">
        <v>0</v>
      </c>
      <c r="K159" s="11">
        <f t="shared" si="2"/>
        <v>4.6763696083751416E-3</v>
      </c>
    </row>
    <row r="160" spans="1:11" x14ac:dyDescent="0.2">
      <c r="A160" s="2">
        <v>42692</v>
      </c>
      <c r="B160">
        <v>2186.85009765625</v>
      </c>
      <c r="C160">
        <v>2189.889892578125</v>
      </c>
      <c r="D160">
        <v>2180.3798828125</v>
      </c>
      <c r="E160">
        <v>2181.89990234375</v>
      </c>
      <c r="F160">
        <v>2181.89990234375</v>
      </c>
      <c r="G160">
        <v>3580900000</v>
      </c>
      <c r="H160">
        <v>0</v>
      </c>
      <c r="I160">
        <v>0</v>
      </c>
      <c r="K160" s="11">
        <f t="shared" si="2"/>
        <v>-2.3867984216902061E-3</v>
      </c>
    </row>
    <row r="161" spans="1:11" x14ac:dyDescent="0.2">
      <c r="A161" s="2">
        <v>42695</v>
      </c>
      <c r="B161">
        <v>2186.429931640625</v>
      </c>
      <c r="C161">
        <v>2198.699951171875</v>
      </c>
      <c r="D161">
        <v>2186.429931640625</v>
      </c>
      <c r="E161">
        <v>2198.179931640625</v>
      </c>
      <c r="F161">
        <v>2198.179931640625</v>
      </c>
      <c r="G161">
        <v>3611500000</v>
      </c>
      <c r="H161">
        <v>0</v>
      </c>
      <c r="I161">
        <v>0</v>
      </c>
      <c r="K161" s="11">
        <f t="shared" si="2"/>
        <v>7.4614006258433285E-3</v>
      </c>
    </row>
    <row r="162" spans="1:11" x14ac:dyDescent="0.2">
      <c r="A162" s="2">
        <v>42696</v>
      </c>
      <c r="B162">
        <v>2201.56005859375</v>
      </c>
      <c r="C162">
        <v>2204.800048828125</v>
      </c>
      <c r="D162">
        <v>2194.510009765625</v>
      </c>
      <c r="E162">
        <v>2202.93994140625</v>
      </c>
      <c r="F162">
        <v>2202.93994140625</v>
      </c>
      <c r="G162">
        <v>3960520000</v>
      </c>
      <c r="H162">
        <v>0</v>
      </c>
      <c r="I162">
        <v>0</v>
      </c>
      <c r="K162" s="11">
        <f t="shared" si="2"/>
        <v>2.1654322729041109E-3</v>
      </c>
    </row>
    <row r="163" spans="1:11" x14ac:dyDescent="0.2">
      <c r="A163" s="2">
        <v>42697</v>
      </c>
      <c r="B163">
        <v>2198.550048828125</v>
      </c>
      <c r="C163">
        <v>2204.719970703125</v>
      </c>
      <c r="D163">
        <v>2194.510009765625</v>
      </c>
      <c r="E163">
        <v>2204.719970703125</v>
      </c>
      <c r="F163">
        <v>2204.719970703125</v>
      </c>
      <c r="G163">
        <v>3419850000</v>
      </c>
      <c r="H163">
        <v>0</v>
      </c>
      <c r="I163">
        <v>0</v>
      </c>
      <c r="K163" s="11">
        <f t="shared" si="2"/>
        <v>8.0802443290339809E-4</v>
      </c>
    </row>
    <row r="164" spans="1:11" x14ac:dyDescent="0.2">
      <c r="A164" s="2">
        <v>42699</v>
      </c>
      <c r="B164">
        <v>2206.27001953125</v>
      </c>
      <c r="C164">
        <v>2213.35009765625</v>
      </c>
      <c r="D164">
        <v>2206.27001953125</v>
      </c>
      <c r="E164">
        <v>2213.35009765625</v>
      </c>
      <c r="F164">
        <v>2213.35009765625</v>
      </c>
      <c r="G164">
        <v>1584590000</v>
      </c>
      <c r="H164">
        <v>0</v>
      </c>
      <c r="I164">
        <v>0</v>
      </c>
      <c r="K164" s="11">
        <f t="shared" si="2"/>
        <v>3.9143868916706737E-3</v>
      </c>
    </row>
    <row r="165" spans="1:11" x14ac:dyDescent="0.2">
      <c r="A165" s="2">
        <v>42702</v>
      </c>
      <c r="B165">
        <v>2210.2099609375</v>
      </c>
      <c r="C165">
        <v>2211.139892578125</v>
      </c>
      <c r="D165">
        <v>2200.360107421875</v>
      </c>
      <c r="E165">
        <v>2201.719970703125</v>
      </c>
      <c r="F165">
        <v>2201.719970703125</v>
      </c>
      <c r="G165">
        <v>3515100000</v>
      </c>
      <c r="H165">
        <v>0</v>
      </c>
      <c r="I165">
        <v>0</v>
      </c>
      <c r="K165" s="11">
        <f t="shared" si="2"/>
        <v>-5.2545356315027991E-3</v>
      </c>
    </row>
    <row r="166" spans="1:11" x14ac:dyDescent="0.2">
      <c r="A166" s="2">
        <v>42703</v>
      </c>
      <c r="B166">
        <v>2200.760009765625</v>
      </c>
      <c r="C166">
        <v>2210.4599609375</v>
      </c>
      <c r="D166">
        <v>2198.14990234375</v>
      </c>
      <c r="E166">
        <v>2204.659912109375</v>
      </c>
      <c r="F166">
        <v>2204.659912109375</v>
      </c>
      <c r="G166">
        <v>3709190000</v>
      </c>
      <c r="H166">
        <v>0</v>
      </c>
      <c r="I166">
        <v>0</v>
      </c>
      <c r="K166" s="11">
        <f t="shared" si="2"/>
        <v>1.3352930642269722E-3</v>
      </c>
    </row>
    <row r="167" spans="1:11" x14ac:dyDescent="0.2">
      <c r="A167" s="2">
        <v>42704</v>
      </c>
      <c r="B167">
        <v>2204.969970703125</v>
      </c>
      <c r="C167">
        <v>2214.10009765625</v>
      </c>
      <c r="D167">
        <v>2198.81005859375</v>
      </c>
      <c r="E167">
        <v>2198.81005859375</v>
      </c>
      <c r="F167">
        <v>2198.81005859375</v>
      </c>
      <c r="G167">
        <v>5538400000</v>
      </c>
      <c r="H167">
        <v>0</v>
      </c>
      <c r="I167">
        <v>0</v>
      </c>
      <c r="K167" s="11">
        <f t="shared" si="2"/>
        <v>-2.6534040390964186E-3</v>
      </c>
    </row>
    <row r="168" spans="1:11" x14ac:dyDescent="0.2">
      <c r="A168" s="2">
        <v>42705</v>
      </c>
      <c r="B168">
        <v>2200.169921875</v>
      </c>
      <c r="C168">
        <v>2202.60009765625</v>
      </c>
      <c r="D168">
        <v>2187.43994140625</v>
      </c>
      <c r="E168">
        <v>2191.080078125</v>
      </c>
      <c r="F168">
        <v>2191.080078125</v>
      </c>
      <c r="G168">
        <v>5067470000</v>
      </c>
      <c r="H168">
        <v>0</v>
      </c>
      <c r="I168">
        <v>0</v>
      </c>
      <c r="K168" s="11">
        <f t="shared" si="2"/>
        <v>-3.5155289737457407E-3</v>
      </c>
    </row>
    <row r="169" spans="1:11" x14ac:dyDescent="0.2">
      <c r="A169" s="2">
        <v>42706</v>
      </c>
      <c r="B169">
        <v>2191.1201171875</v>
      </c>
      <c r="C169">
        <v>2197.949951171875</v>
      </c>
      <c r="D169">
        <v>2188.3701171875</v>
      </c>
      <c r="E169">
        <v>2191.949951171875</v>
      </c>
      <c r="F169">
        <v>2191.949951171875</v>
      </c>
      <c r="G169">
        <v>3782370000</v>
      </c>
      <c r="H169">
        <v>0</v>
      </c>
      <c r="I169">
        <v>0</v>
      </c>
      <c r="K169" s="11">
        <f t="shared" si="2"/>
        <v>3.9700650631591117E-4</v>
      </c>
    </row>
    <row r="170" spans="1:11" x14ac:dyDescent="0.2">
      <c r="A170" s="2">
        <v>42709</v>
      </c>
      <c r="B170">
        <v>2200.64990234375</v>
      </c>
      <c r="C170">
        <v>2209.419921875</v>
      </c>
      <c r="D170">
        <v>2199.969970703125</v>
      </c>
      <c r="E170">
        <v>2204.7099609375</v>
      </c>
      <c r="F170">
        <v>2204.7099609375</v>
      </c>
      <c r="G170">
        <v>3898530000</v>
      </c>
      <c r="H170">
        <v>0</v>
      </c>
      <c r="I170">
        <v>0</v>
      </c>
      <c r="K170" s="11">
        <f t="shared" si="2"/>
        <v>5.821305253253195E-3</v>
      </c>
    </row>
    <row r="171" spans="1:11" x14ac:dyDescent="0.2">
      <c r="A171" s="2">
        <v>42710</v>
      </c>
      <c r="B171">
        <v>2207.260009765625</v>
      </c>
      <c r="C171">
        <v>2212.780029296875</v>
      </c>
      <c r="D171">
        <v>2202.2099609375</v>
      </c>
      <c r="E171">
        <v>2212.22998046875</v>
      </c>
      <c r="F171">
        <v>2212.22998046875</v>
      </c>
      <c r="G171">
        <v>3857290000</v>
      </c>
      <c r="H171">
        <v>0</v>
      </c>
      <c r="I171">
        <v>0</v>
      </c>
      <c r="K171" s="11">
        <f t="shared" si="2"/>
        <v>3.4108883546988267E-3</v>
      </c>
    </row>
    <row r="172" spans="1:11" x14ac:dyDescent="0.2">
      <c r="A172" s="2">
        <v>42711</v>
      </c>
      <c r="B172">
        <v>2210.719970703125</v>
      </c>
      <c r="C172">
        <v>2241.6298828125</v>
      </c>
      <c r="D172">
        <v>2208.929931640625</v>
      </c>
      <c r="E172">
        <v>2241.35009765625</v>
      </c>
      <c r="F172">
        <v>2241.35009765625</v>
      </c>
      <c r="G172">
        <v>4504070000</v>
      </c>
      <c r="H172">
        <v>0</v>
      </c>
      <c r="I172">
        <v>0</v>
      </c>
      <c r="K172" s="11">
        <f t="shared" si="2"/>
        <v>1.3163241364864575E-2</v>
      </c>
    </row>
    <row r="173" spans="1:11" x14ac:dyDescent="0.2">
      <c r="A173" s="2">
        <v>42712</v>
      </c>
      <c r="B173">
        <v>2241.1298828125</v>
      </c>
      <c r="C173">
        <v>2251.68994140625</v>
      </c>
      <c r="D173">
        <v>2237.570068359375</v>
      </c>
      <c r="E173">
        <v>2246.18994140625</v>
      </c>
      <c r="F173">
        <v>2246.18994140625</v>
      </c>
      <c r="G173">
        <v>4203270000</v>
      </c>
      <c r="H173">
        <v>0</v>
      </c>
      <c r="I173">
        <v>0</v>
      </c>
      <c r="K173" s="11">
        <f t="shared" si="2"/>
        <v>2.1593430473272335E-3</v>
      </c>
    </row>
    <row r="174" spans="1:11" x14ac:dyDescent="0.2">
      <c r="A174" s="2">
        <v>42713</v>
      </c>
      <c r="B174">
        <v>2249.72998046875</v>
      </c>
      <c r="C174">
        <v>2259.800048828125</v>
      </c>
      <c r="D174">
        <v>2249.22998046875</v>
      </c>
      <c r="E174">
        <v>2259.530029296875</v>
      </c>
      <c r="F174">
        <v>2259.530029296875</v>
      </c>
      <c r="G174">
        <v>3886460000</v>
      </c>
      <c r="H174">
        <v>0</v>
      </c>
      <c r="I174">
        <v>0</v>
      </c>
      <c r="K174" s="11">
        <f t="shared" si="2"/>
        <v>5.9389847869557588E-3</v>
      </c>
    </row>
    <row r="175" spans="1:11" x14ac:dyDescent="0.2">
      <c r="A175" s="2">
        <v>42716</v>
      </c>
      <c r="B175">
        <v>2258.830078125</v>
      </c>
      <c r="C175">
        <v>2264.030029296875</v>
      </c>
      <c r="D175">
        <v>2252.3701171875</v>
      </c>
      <c r="E175">
        <v>2256.9599609375</v>
      </c>
      <c r="F175">
        <v>2256.9599609375</v>
      </c>
      <c r="G175">
        <v>4038850000</v>
      </c>
      <c r="H175">
        <v>0</v>
      </c>
      <c r="I175">
        <v>0</v>
      </c>
      <c r="K175" s="11">
        <f t="shared" si="2"/>
        <v>-1.1374349205595102E-3</v>
      </c>
    </row>
    <row r="176" spans="1:11" x14ac:dyDescent="0.2">
      <c r="A176" s="2">
        <v>42717</v>
      </c>
      <c r="B176">
        <v>2263.320068359375</v>
      </c>
      <c r="C176">
        <v>2277.530029296875</v>
      </c>
      <c r="D176">
        <v>2263.320068359375</v>
      </c>
      <c r="E176">
        <v>2271.719970703125</v>
      </c>
      <c r="F176">
        <v>2271.719970703125</v>
      </c>
      <c r="G176">
        <v>3875630000</v>
      </c>
      <c r="H176">
        <v>0</v>
      </c>
      <c r="I176">
        <v>0</v>
      </c>
      <c r="K176" s="11">
        <f t="shared" si="2"/>
        <v>6.5397747505870907E-3</v>
      </c>
    </row>
    <row r="177" spans="1:11" x14ac:dyDescent="0.2">
      <c r="A177" s="2">
        <v>42718</v>
      </c>
      <c r="B177">
        <v>2268.35009765625</v>
      </c>
      <c r="C177">
        <v>2276.199951171875</v>
      </c>
      <c r="D177">
        <v>2248.43994140625</v>
      </c>
      <c r="E177">
        <v>2253.280029296875</v>
      </c>
      <c r="F177">
        <v>2253.280029296875</v>
      </c>
      <c r="G177">
        <v>4409670000</v>
      </c>
      <c r="H177">
        <v>0</v>
      </c>
      <c r="I177">
        <v>0</v>
      </c>
      <c r="K177" s="11">
        <f t="shared" si="2"/>
        <v>-8.1171718539511106E-3</v>
      </c>
    </row>
    <row r="178" spans="1:11" x14ac:dyDescent="0.2">
      <c r="A178" s="2">
        <v>42719</v>
      </c>
      <c r="B178">
        <v>2253.77001953125</v>
      </c>
      <c r="C178">
        <v>2272.1201171875</v>
      </c>
      <c r="D178">
        <v>2253.77001953125</v>
      </c>
      <c r="E178">
        <v>2262.030029296875</v>
      </c>
      <c r="F178">
        <v>2262.030029296875</v>
      </c>
      <c r="G178">
        <v>4173360000</v>
      </c>
      <c r="H178">
        <v>0</v>
      </c>
      <c r="I178">
        <v>0</v>
      </c>
      <c r="K178" s="11">
        <f t="shared" si="2"/>
        <v>3.8832279549072535E-3</v>
      </c>
    </row>
    <row r="179" spans="1:11" x14ac:dyDescent="0.2">
      <c r="A179" s="2">
        <v>42720</v>
      </c>
      <c r="B179">
        <v>2266.81005859375</v>
      </c>
      <c r="C179">
        <v>2268.050048828125</v>
      </c>
      <c r="D179">
        <v>2254.239990234375</v>
      </c>
      <c r="E179">
        <v>2258.070068359375</v>
      </c>
      <c r="F179">
        <v>2258.070068359375</v>
      </c>
      <c r="G179">
        <v>5928980000</v>
      </c>
      <c r="H179">
        <v>0</v>
      </c>
      <c r="I179">
        <v>0</v>
      </c>
      <c r="K179" s="11">
        <f t="shared" si="2"/>
        <v>-1.7506226204834219E-3</v>
      </c>
    </row>
    <row r="180" spans="1:11" x14ac:dyDescent="0.2">
      <c r="A180" s="2">
        <v>42723</v>
      </c>
      <c r="B180">
        <v>2259.239990234375</v>
      </c>
      <c r="C180">
        <v>2267.469970703125</v>
      </c>
      <c r="D180">
        <v>2258.2099609375</v>
      </c>
      <c r="E180">
        <v>2262.530029296875</v>
      </c>
      <c r="F180">
        <v>2262.530029296875</v>
      </c>
      <c r="G180">
        <v>3252840000</v>
      </c>
      <c r="H180">
        <v>0</v>
      </c>
      <c r="I180">
        <v>0</v>
      </c>
      <c r="K180" s="11">
        <f t="shared" si="2"/>
        <v>1.9751207015203942E-3</v>
      </c>
    </row>
    <row r="181" spans="1:11" x14ac:dyDescent="0.2">
      <c r="A181" s="2">
        <v>42724</v>
      </c>
      <c r="B181">
        <v>2266.5</v>
      </c>
      <c r="C181">
        <v>2272.56005859375</v>
      </c>
      <c r="D181">
        <v>2266.139892578125</v>
      </c>
      <c r="E181">
        <v>2270.760009765625</v>
      </c>
      <c r="F181">
        <v>2270.760009765625</v>
      </c>
      <c r="G181">
        <v>3306250000</v>
      </c>
      <c r="H181">
        <v>0</v>
      </c>
      <c r="I181">
        <v>0</v>
      </c>
      <c r="K181" s="11">
        <f t="shared" si="2"/>
        <v>3.6375121488696482E-3</v>
      </c>
    </row>
    <row r="182" spans="1:11" x14ac:dyDescent="0.2">
      <c r="A182" s="2">
        <v>42725</v>
      </c>
      <c r="B182">
        <v>2270.5400390625</v>
      </c>
      <c r="C182">
        <v>2271.22998046875</v>
      </c>
      <c r="D182">
        <v>2265.14990234375</v>
      </c>
      <c r="E182">
        <v>2265.179931640625</v>
      </c>
      <c r="F182">
        <v>2265.179931640625</v>
      </c>
      <c r="G182">
        <v>2854880000</v>
      </c>
      <c r="H182">
        <v>0</v>
      </c>
      <c r="I182">
        <v>0</v>
      </c>
      <c r="K182" s="11">
        <f t="shared" si="2"/>
        <v>-2.4573614565177593E-3</v>
      </c>
    </row>
    <row r="183" spans="1:11" x14ac:dyDescent="0.2">
      <c r="A183" s="2">
        <v>42726</v>
      </c>
      <c r="B183">
        <v>2262.929931640625</v>
      </c>
      <c r="C183">
        <v>2263.179931640625</v>
      </c>
      <c r="D183">
        <v>2256.080078125</v>
      </c>
      <c r="E183">
        <v>2260.9599609375</v>
      </c>
      <c r="F183">
        <v>2260.9599609375</v>
      </c>
      <c r="G183">
        <v>2880670000</v>
      </c>
      <c r="H183">
        <v>0</v>
      </c>
      <c r="I183">
        <v>0</v>
      </c>
      <c r="K183" s="11">
        <f t="shared" si="2"/>
        <v>-1.8629737285675851E-3</v>
      </c>
    </row>
    <row r="184" spans="1:11" x14ac:dyDescent="0.2">
      <c r="A184" s="2">
        <v>42727</v>
      </c>
      <c r="B184">
        <v>2260.25</v>
      </c>
      <c r="C184">
        <v>2263.7900390625</v>
      </c>
      <c r="D184">
        <v>2258.840087890625</v>
      </c>
      <c r="E184">
        <v>2263.7900390625</v>
      </c>
      <c r="F184">
        <v>2263.7900390625</v>
      </c>
      <c r="G184">
        <v>2021230000</v>
      </c>
      <c r="H184">
        <v>0</v>
      </c>
      <c r="I184">
        <v>0</v>
      </c>
      <c r="K184" s="11">
        <f t="shared" si="2"/>
        <v>1.2517152775348706E-3</v>
      </c>
    </row>
    <row r="185" spans="1:11" x14ac:dyDescent="0.2">
      <c r="A185" s="2">
        <v>42731</v>
      </c>
      <c r="B185">
        <v>2266.22998046875</v>
      </c>
      <c r="C185">
        <v>2273.820068359375</v>
      </c>
      <c r="D185">
        <v>2266.14990234375</v>
      </c>
      <c r="E185">
        <v>2268.8798828125</v>
      </c>
      <c r="F185">
        <v>2268.8798828125</v>
      </c>
      <c r="G185">
        <v>1989730000</v>
      </c>
      <c r="H185">
        <v>0</v>
      </c>
      <c r="I185">
        <v>0</v>
      </c>
      <c r="K185" s="11">
        <f t="shared" si="2"/>
        <v>2.2483727122095676E-3</v>
      </c>
    </row>
    <row r="186" spans="1:11" x14ac:dyDescent="0.2">
      <c r="A186" s="2">
        <v>42732</v>
      </c>
      <c r="B186">
        <v>2270.22998046875</v>
      </c>
      <c r="C186">
        <v>2271.31005859375</v>
      </c>
      <c r="D186">
        <v>2249.110107421875</v>
      </c>
      <c r="E186">
        <v>2249.919921875</v>
      </c>
      <c r="F186">
        <v>2249.919921875</v>
      </c>
      <c r="G186">
        <v>2402750000</v>
      </c>
      <c r="H186">
        <v>0</v>
      </c>
      <c r="I186">
        <v>0</v>
      </c>
      <c r="K186" s="11">
        <f t="shared" si="2"/>
        <v>-8.3565291759726268E-3</v>
      </c>
    </row>
    <row r="187" spans="1:11" x14ac:dyDescent="0.2">
      <c r="A187" s="2">
        <v>42733</v>
      </c>
      <c r="B187">
        <v>2249.5</v>
      </c>
      <c r="C187">
        <v>2254.510009765625</v>
      </c>
      <c r="D187">
        <v>2244.56005859375</v>
      </c>
      <c r="E187">
        <v>2249.260009765625</v>
      </c>
      <c r="F187">
        <v>2249.260009765625</v>
      </c>
      <c r="G187">
        <v>2338700000</v>
      </c>
      <c r="H187">
        <v>0</v>
      </c>
      <c r="I187">
        <v>0</v>
      </c>
      <c r="K187" s="11">
        <f t="shared" si="2"/>
        <v>-2.9330470962940502E-4</v>
      </c>
    </row>
    <row r="188" spans="1:11" x14ac:dyDescent="0.2">
      <c r="A188" s="2">
        <v>42734</v>
      </c>
      <c r="B188">
        <v>2251.610107421875</v>
      </c>
      <c r="C188">
        <v>2253.580078125</v>
      </c>
      <c r="D188">
        <v>2233.6201171875</v>
      </c>
      <c r="E188">
        <v>2238.830078125</v>
      </c>
      <c r="F188">
        <v>2238.830078125</v>
      </c>
      <c r="G188">
        <v>2671550000</v>
      </c>
      <c r="H188">
        <v>0</v>
      </c>
      <c r="I188">
        <v>0</v>
      </c>
      <c r="K188" s="11">
        <f t="shared" si="2"/>
        <v>-4.6370502277821579E-3</v>
      </c>
    </row>
    <row r="189" spans="1:11" x14ac:dyDescent="0.2">
      <c r="A189" s="2">
        <v>42738</v>
      </c>
      <c r="B189">
        <v>2251.570068359375</v>
      </c>
      <c r="C189">
        <v>2263.8798828125</v>
      </c>
      <c r="D189">
        <v>2245.1298828125</v>
      </c>
      <c r="E189">
        <v>2257.830078125</v>
      </c>
      <c r="F189">
        <v>2257.830078125</v>
      </c>
      <c r="G189">
        <v>3773010000</v>
      </c>
      <c r="H189">
        <v>0</v>
      </c>
      <c r="I189">
        <v>0</v>
      </c>
      <c r="K189" s="11">
        <f t="shared" si="2"/>
        <v>8.4865752812792739E-3</v>
      </c>
    </row>
    <row r="190" spans="1:11" x14ac:dyDescent="0.2">
      <c r="A190" s="2">
        <v>42739</v>
      </c>
      <c r="B190">
        <v>2261.60009765625</v>
      </c>
      <c r="C190">
        <v>2272.820068359375</v>
      </c>
      <c r="D190">
        <v>2261.60009765625</v>
      </c>
      <c r="E190">
        <v>2270.75</v>
      </c>
      <c r="F190">
        <v>2270.75</v>
      </c>
      <c r="G190">
        <v>3768890000</v>
      </c>
      <c r="H190">
        <v>0</v>
      </c>
      <c r="I190">
        <v>0</v>
      </c>
      <c r="K190" s="11">
        <f t="shared" si="2"/>
        <v>5.7222737885258557E-3</v>
      </c>
    </row>
    <row r="191" spans="1:11" x14ac:dyDescent="0.2">
      <c r="A191" s="2">
        <v>42740</v>
      </c>
      <c r="B191">
        <v>2268.179931640625</v>
      </c>
      <c r="C191">
        <v>2271.5</v>
      </c>
      <c r="D191">
        <v>2260.449951171875</v>
      </c>
      <c r="E191">
        <v>2269</v>
      </c>
      <c r="F191">
        <v>2269</v>
      </c>
      <c r="G191">
        <v>3785080000</v>
      </c>
      <c r="H191">
        <v>0</v>
      </c>
      <c r="I191">
        <v>0</v>
      </c>
      <c r="K191" s="11">
        <f t="shared" si="2"/>
        <v>-7.7067048332046806E-4</v>
      </c>
    </row>
    <row r="192" spans="1:11" x14ac:dyDescent="0.2">
      <c r="A192" s="2">
        <v>42741</v>
      </c>
      <c r="B192">
        <v>2271.139892578125</v>
      </c>
      <c r="C192">
        <v>2282.10009765625</v>
      </c>
      <c r="D192">
        <v>2264.06005859375</v>
      </c>
      <c r="E192">
        <v>2276.97998046875</v>
      </c>
      <c r="F192">
        <v>2276.97998046875</v>
      </c>
      <c r="G192">
        <v>3342080000</v>
      </c>
      <c r="H192">
        <v>0</v>
      </c>
      <c r="I192">
        <v>0</v>
      </c>
      <c r="K192" s="11">
        <f t="shared" si="2"/>
        <v>3.5169592193697863E-3</v>
      </c>
    </row>
    <row r="193" spans="1:11" x14ac:dyDescent="0.2">
      <c r="A193" s="2">
        <v>42744</v>
      </c>
      <c r="B193">
        <v>2273.590087890625</v>
      </c>
      <c r="C193">
        <v>2275.489990234375</v>
      </c>
      <c r="D193">
        <v>2268.89990234375</v>
      </c>
      <c r="E193">
        <v>2268.89990234375</v>
      </c>
      <c r="F193">
        <v>2268.89990234375</v>
      </c>
      <c r="G193">
        <v>3219730000</v>
      </c>
      <c r="H193">
        <v>0</v>
      </c>
      <c r="I193">
        <v>0</v>
      </c>
      <c r="K193" s="11">
        <f t="shared" si="2"/>
        <v>-3.5485942758867184E-3</v>
      </c>
    </row>
    <row r="194" spans="1:11" x14ac:dyDescent="0.2">
      <c r="A194" s="2">
        <v>42745</v>
      </c>
      <c r="B194">
        <v>2269.719970703125</v>
      </c>
      <c r="C194">
        <v>2279.27001953125</v>
      </c>
      <c r="D194">
        <v>2265.27001953125</v>
      </c>
      <c r="E194">
        <v>2268.89990234375</v>
      </c>
      <c r="F194">
        <v>2268.89990234375</v>
      </c>
      <c r="G194">
        <v>3640560000</v>
      </c>
      <c r="H194">
        <v>0</v>
      </c>
      <c r="I194">
        <v>0</v>
      </c>
      <c r="K194" s="11">
        <f t="shared" si="2"/>
        <v>0</v>
      </c>
    </row>
    <row r="195" spans="1:11" x14ac:dyDescent="0.2">
      <c r="A195" s="2">
        <v>42746</v>
      </c>
      <c r="B195">
        <v>2268.60009765625</v>
      </c>
      <c r="C195">
        <v>2275.320068359375</v>
      </c>
      <c r="D195">
        <v>2260.830078125</v>
      </c>
      <c r="E195">
        <v>2275.320068359375</v>
      </c>
      <c r="F195">
        <v>2275.320068359375</v>
      </c>
      <c r="G195">
        <v>3625080000</v>
      </c>
      <c r="H195">
        <v>0</v>
      </c>
      <c r="I195">
        <v>0</v>
      </c>
      <c r="K195" s="11">
        <f t="shared" si="2"/>
        <v>2.8296382793233654E-3</v>
      </c>
    </row>
    <row r="196" spans="1:11" x14ac:dyDescent="0.2">
      <c r="A196" s="2">
        <v>42747</v>
      </c>
      <c r="B196">
        <v>2271.139892578125</v>
      </c>
      <c r="C196">
        <v>2271.780029296875</v>
      </c>
      <c r="D196">
        <v>2254.25</v>
      </c>
      <c r="E196">
        <v>2270.43994140625</v>
      </c>
      <c r="F196">
        <v>2270.43994140625</v>
      </c>
      <c r="G196">
        <v>3466220000</v>
      </c>
      <c r="H196">
        <v>0</v>
      </c>
      <c r="I196">
        <v>0</v>
      </c>
      <c r="K196" s="11">
        <f t="shared" ref="K196:K259" si="3">(E196/E195)-1</f>
        <v>-2.1448089967596173E-3</v>
      </c>
    </row>
    <row r="197" spans="1:11" x14ac:dyDescent="0.2">
      <c r="A197" s="2">
        <v>42748</v>
      </c>
      <c r="B197">
        <v>2272.739990234375</v>
      </c>
      <c r="C197">
        <v>2278.679931640625</v>
      </c>
      <c r="D197">
        <v>2271.510009765625</v>
      </c>
      <c r="E197">
        <v>2274.639892578125</v>
      </c>
      <c r="F197">
        <v>2274.639892578125</v>
      </c>
      <c r="G197">
        <v>3090680000</v>
      </c>
      <c r="H197">
        <v>0</v>
      </c>
      <c r="I197">
        <v>0</v>
      </c>
      <c r="K197" s="11">
        <f t="shared" si="3"/>
        <v>1.8498402425362048E-3</v>
      </c>
    </row>
    <row r="198" spans="1:11" x14ac:dyDescent="0.2">
      <c r="A198" s="2">
        <v>42752</v>
      </c>
      <c r="B198">
        <v>2269.139892578125</v>
      </c>
      <c r="C198">
        <v>2272.080078125</v>
      </c>
      <c r="D198">
        <v>2262.81005859375</v>
      </c>
      <c r="E198">
        <v>2267.889892578125</v>
      </c>
      <c r="F198">
        <v>2267.889892578125</v>
      </c>
      <c r="G198">
        <v>3586950000</v>
      </c>
      <c r="H198">
        <v>0</v>
      </c>
      <c r="I198">
        <v>0</v>
      </c>
      <c r="K198" s="11">
        <f t="shared" si="3"/>
        <v>-2.9675026899970147E-3</v>
      </c>
    </row>
    <row r="199" spans="1:11" x14ac:dyDescent="0.2">
      <c r="A199" s="2">
        <v>42753</v>
      </c>
      <c r="B199">
        <v>2269.139892578125</v>
      </c>
      <c r="C199">
        <v>2272.010009765625</v>
      </c>
      <c r="D199">
        <v>2263.35009765625</v>
      </c>
      <c r="E199">
        <v>2271.889892578125</v>
      </c>
      <c r="F199">
        <v>2271.889892578125</v>
      </c>
      <c r="G199">
        <v>3317670000</v>
      </c>
      <c r="H199">
        <v>0</v>
      </c>
      <c r="I199">
        <v>0</v>
      </c>
      <c r="K199" s="11">
        <f t="shared" si="3"/>
        <v>1.7637540575008437E-3</v>
      </c>
    </row>
    <row r="200" spans="1:11" x14ac:dyDescent="0.2">
      <c r="A200" s="2">
        <v>42754</v>
      </c>
      <c r="B200">
        <v>2271.89990234375</v>
      </c>
      <c r="C200">
        <v>2274.330078125</v>
      </c>
      <c r="D200">
        <v>2258.409912109375</v>
      </c>
      <c r="E200">
        <v>2263.68994140625</v>
      </c>
      <c r="F200">
        <v>2263.68994140625</v>
      </c>
      <c r="G200">
        <v>3168390000</v>
      </c>
      <c r="H200">
        <v>0</v>
      </c>
      <c r="I200">
        <v>0</v>
      </c>
      <c r="K200" s="11">
        <f t="shared" si="3"/>
        <v>-3.6093083554193939E-3</v>
      </c>
    </row>
    <row r="201" spans="1:11" x14ac:dyDescent="0.2">
      <c r="A201" s="2">
        <v>42755</v>
      </c>
      <c r="B201">
        <v>2269.9599609375</v>
      </c>
      <c r="C201">
        <v>2276.9599609375</v>
      </c>
      <c r="D201">
        <v>2265.010009765625</v>
      </c>
      <c r="E201">
        <v>2271.31005859375</v>
      </c>
      <c r="F201">
        <v>2271.31005859375</v>
      </c>
      <c r="G201">
        <v>3536850000</v>
      </c>
      <c r="H201">
        <v>0</v>
      </c>
      <c r="I201">
        <v>0</v>
      </c>
      <c r="K201" s="11">
        <f t="shared" si="3"/>
        <v>3.3662371547078518E-3</v>
      </c>
    </row>
    <row r="202" spans="1:11" x14ac:dyDescent="0.2">
      <c r="A202" s="2">
        <v>42758</v>
      </c>
      <c r="B202">
        <v>2267.780029296875</v>
      </c>
      <c r="C202">
        <v>2271.780029296875</v>
      </c>
      <c r="D202">
        <v>2257.02001953125</v>
      </c>
      <c r="E202">
        <v>2265.199951171875</v>
      </c>
      <c r="F202">
        <v>2265.199951171875</v>
      </c>
      <c r="G202">
        <v>3155240000</v>
      </c>
      <c r="H202">
        <v>0</v>
      </c>
      <c r="I202">
        <v>0</v>
      </c>
      <c r="K202" s="11">
        <f t="shared" si="3"/>
        <v>-2.690124758069401E-3</v>
      </c>
    </row>
    <row r="203" spans="1:11" x14ac:dyDescent="0.2">
      <c r="A203" s="2">
        <v>42759</v>
      </c>
      <c r="B203">
        <v>2267.8798828125</v>
      </c>
      <c r="C203">
        <v>2284.6298828125</v>
      </c>
      <c r="D203">
        <v>2266.679931640625</v>
      </c>
      <c r="E203">
        <v>2280.070068359375</v>
      </c>
      <c r="F203">
        <v>2280.070068359375</v>
      </c>
      <c r="G203">
        <v>3816950000</v>
      </c>
      <c r="H203">
        <v>0</v>
      </c>
      <c r="I203">
        <v>0</v>
      </c>
      <c r="K203" s="11">
        <f t="shared" si="3"/>
        <v>6.5645936376641512E-3</v>
      </c>
    </row>
    <row r="204" spans="1:11" x14ac:dyDescent="0.2">
      <c r="A204" s="2">
        <v>42760</v>
      </c>
      <c r="B204">
        <v>2288.8798828125</v>
      </c>
      <c r="C204">
        <v>2299.550048828125</v>
      </c>
      <c r="D204">
        <v>2288.8798828125</v>
      </c>
      <c r="E204">
        <v>2298.3701171875</v>
      </c>
      <c r="F204">
        <v>2298.3701171875</v>
      </c>
      <c r="G204">
        <v>3849340000</v>
      </c>
      <c r="H204">
        <v>0</v>
      </c>
      <c r="I204">
        <v>0</v>
      </c>
      <c r="K204" s="11">
        <f t="shared" si="3"/>
        <v>8.0260905496174484E-3</v>
      </c>
    </row>
    <row r="205" spans="1:11" x14ac:dyDescent="0.2">
      <c r="A205" s="2">
        <v>42761</v>
      </c>
      <c r="B205">
        <v>2298.6298828125</v>
      </c>
      <c r="C205">
        <v>2300.989990234375</v>
      </c>
      <c r="D205">
        <v>2294.080078125</v>
      </c>
      <c r="E205">
        <v>2296.679931640625</v>
      </c>
      <c r="F205">
        <v>2296.679931640625</v>
      </c>
      <c r="G205">
        <v>3611510000</v>
      </c>
      <c r="H205">
        <v>0</v>
      </c>
      <c r="I205">
        <v>0</v>
      </c>
      <c r="K205" s="11">
        <f t="shared" si="3"/>
        <v>-7.3538440751363954E-4</v>
      </c>
    </row>
    <row r="206" spans="1:11" x14ac:dyDescent="0.2">
      <c r="A206" s="2">
        <v>42762</v>
      </c>
      <c r="B206">
        <v>2299.02001953125</v>
      </c>
      <c r="C206">
        <v>2299.02001953125</v>
      </c>
      <c r="D206">
        <v>2291.6201171875</v>
      </c>
      <c r="E206">
        <v>2294.68994140625</v>
      </c>
      <c r="F206">
        <v>2294.68994140625</v>
      </c>
      <c r="G206">
        <v>3137420000</v>
      </c>
      <c r="H206">
        <v>0</v>
      </c>
      <c r="I206">
        <v>0</v>
      </c>
      <c r="K206" s="11">
        <f t="shared" si="3"/>
        <v>-8.6646389292632797E-4</v>
      </c>
    </row>
    <row r="207" spans="1:11" x14ac:dyDescent="0.2">
      <c r="A207" s="2">
        <v>42765</v>
      </c>
      <c r="B207">
        <v>2286.010009765625</v>
      </c>
      <c r="C207">
        <v>2286.010009765625</v>
      </c>
      <c r="D207">
        <v>2268.0400390625</v>
      </c>
      <c r="E207">
        <v>2280.89990234375</v>
      </c>
      <c r="F207">
        <v>2280.89990234375</v>
      </c>
      <c r="G207">
        <v>3595040000</v>
      </c>
      <c r="H207">
        <v>0</v>
      </c>
      <c r="I207">
        <v>0</v>
      </c>
      <c r="K207" s="11">
        <f t="shared" si="3"/>
        <v>-6.0095435176958922E-3</v>
      </c>
    </row>
    <row r="208" spans="1:11" x14ac:dyDescent="0.2">
      <c r="A208" s="2">
        <v>42766</v>
      </c>
      <c r="B208">
        <v>2274.02001953125</v>
      </c>
      <c r="C208">
        <v>2279.090087890625</v>
      </c>
      <c r="D208">
        <v>2267.2099609375</v>
      </c>
      <c r="E208">
        <v>2278.8701171875</v>
      </c>
      <c r="F208">
        <v>2278.8701171875</v>
      </c>
      <c r="G208">
        <v>4089730000</v>
      </c>
      <c r="H208">
        <v>0</v>
      </c>
      <c r="I208">
        <v>0</v>
      </c>
      <c r="K208" s="11">
        <f t="shared" si="3"/>
        <v>-8.8990540714406485E-4</v>
      </c>
    </row>
    <row r="209" spans="1:11" x14ac:dyDescent="0.2">
      <c r="A209" s="2">
        <v>42767</v>
      </c>
      <c r="B209">
        <v>2285.590087890625</v>
      </c>
      <c r="C209">
        <v>2289.139892578125</v>
      </c>
      <c r="D209">
        <v>2272.43994140625</v>
      </c>
      <c r="E209">
        <v>2279.550048828125</v>
      </c>
      <c r="F209">
        <v>2279.550048828125</v>
      </c>
      <c r="G209">
        <v>3919190000</v>
      </c>
      <c r="H209">
        <v>0</v>
      </c>
      <c r="I209">
        <v>0</v>
      </c>
      <c r="K209" s="11">
        <f t="shared" si="3"/>
        <v>2.9836348965073256E-4</v>
      </c>
    </row>
    <row r="210" spans="1:11" x14ac:dyDescent="0.2">
      <c r="A210" s="2">
        <v>42768</v>
      </c>
      <c r="B210">
        <v>2276.68994140625</v>
      </c>
      <c r="C210">
        <v>2283.969970703125</v>
      </c>
      <c r="D210">
        <v>2271.64990234375</v>
      </c>
      <c r="E210">
        <v>2280.85009765625</v>
      </c>
      <c r="F210">
        <v>2280.85009765625</v>
      </c>
      <c r="G210">
        <v>3809760000</v>
      </c>
      <c r="H210">
        <v>0</v>
      </c>
      <c r="I210">
        <v>0</v>
      </c>
      <c r="K210" s="11">
        <f t="shared" si="3"/>
        <v>5.7030940329361179E-4</v>
      </c>
    </row>
    <row r="211" spans="1:11" x14ac:dyDescent="0.2">
      <c r="A211" s="2">
        <v>42769</v>
      </c>
      <c r="B211">
        <v>2288.5400390625</v>
      </c>
      <c r="C211">
        <v>2298.31005859375</v>
      </c>
      <c r="D211">
        <v>2287.8798828125</v>
      </c>
      <c r="E211">
        <v>2297.419921875</v>
      </c>
      <c r="F211">
        <v>2297.419921875</v>
      </c>
      <c r="G211">
        <v>3605970000</v>
      </c>
      <c r="H211">
        <v>0</v>
      </c>
      <c r="I211">
        <v>0</v>
      </c>
      <c r="K211" s="11">
        <f t="shared" si="3"/>
        <v>7.2647580986477944E-3</v>
      </c>
    </row>
    <row r="212" spans="1:11" x14ac:dyDescent="0.2">
      <c r="A212" s="2">
        <v>42772</v>
      </c>
      <c r="B212">
        <v>2294.280029296875</v>
      </c>
      <c r="C212">
        <v>2296.179931640625</v>
      </c>
      <c r="D212">
        <v>2288.570068359375</v>
      </c>
      <c r="E212">
        <v>2292.56005859375</v>
      </c>
      <c r="F212">
        <v>2292.56005859375</v>
      </c>
      <c r="G212">
        <v>3112390000</v>
      </c>
      <c r="H212">
        <v>0</v>
      </c>
      <c r="I212">
        <v>0</v>
      </c>
      <c r="K212" s="11">
        <f t="shared" si="3"/>
        <v>-2.115356985885164E-3</v>
      </c>
    </row>
    <row r="213" spans="1:11" x14ac:dyDescent="0.2">
      <c r="A213" s="2">
        <v>42773</v>
      </c>
      <c r="B213">
        <v>2295.8701171875</v>
      </c>
      <c r="C213">
        <v>2299.39990234375</v>
      </c>
      <c r="D213">
        <v>2290.159912109375</v>
      </c>
      <c r="E213">
        <v>2293.080078125</v>
      </c>
      <c r="F213">
        <v>2293.080078125</v>
      </c>
      <c r="G213">
        <v>3452460000</v>
      </c>
      <c r="H213">
        <v>0</v>
      </c>
      <c r="I213">
        <v>0</v>
      </c>
      <c r="K213" s="11">
        <f t="shared" si="3"/>
        <v>2.2682918569594257E-4</v>
      </c>
    </row>
    <row r="214" spans="1:11" x14ac:dyDescent="0.2">
      <c r="A214" s="2">
        <v>42774</v>
      </c>
      <c r="B214">
        <v>2289.550048828125</v>
      </c>
      <c r="C214">
        <v>2295.909912109375</v>
      </c>
      <c r="D214">
        <v>2285.3798828125</v>
      </c>
      <c r="E214">
        <v>2294.669921875</v>
      </c>
      <c r="F214">
        <v>2294.669921875</v>
      </c>
      <c r="G214">
        <v>3611950000</v>
      </c>
      <c r="H214">
        <v>0</v>
      </c>
      <c r="I214">
        <v>0</v>
      </c>
      <c r="K214" s="11">
        <f t="shared" si="3"/>
        <v>6.9332238554009606E-4</v>
      </c>
    </row>
    <row r="215" spans="1:11" x14ac:dyDescent="0.2">
      <c r="A215" s="2">
        <v>42775</v>
      </c>
      <c r="B215">
        <v>2296.699951171875</v>
      </c>
      <c r="C215">
        <v>2311.080078125</v>
      </c>
      <c r="D215">
        <v>2296.610107421875</v>
      </c>
      <c r="E215">
        <v>2307.8701171875</v>
      </c>
      <c r="F215">
        <v>2307.8701171875</v>
      </c>
      <c r="G215">
        <v>3681600000</v>
      </c>
      <c r="H215">
        <v>0</v>
      </c>
      <c r="I215">
        <v>0</v>
      </c>
      <c r="K215" s="11">
        <f t="shared" si="3"/>
        <v>5.7525464497805157E-3</v>
      </c>
    </row>
    <row r="216" spans="1:11" x14ac:dyDescent="0.2">
      <c r="A216" s="2">
        <v>42776</v>
      </c>
      <c r="B216">
        <v>2312.27001953125</v>
      </c>
      <c r="C216">
        <v>2319.22998046875</v>
      </c>
      <c r="D216">
        <v>2311.10009765625</v>
      </c>
      <c r="E216">
        <v>2316.10009765625</v>
      </c>
      <c r="F216">
        <v>2316.10009765625</v>
      </c>
      <c r="G216">
        <v>3496600000</v>
      </c>
      <c r="H216">
        <v>0</v>
      </c>
      <c r="I216">
        <v>0</v>
      </c>
      <c r="K216" s="11">
        <f t="shared" si="3"/>
        <v>3.5660501028451641E-3</v>
      </c>
    </row>
    <row r="217" spans="1:11" x14ac:dyDescent="0.2">
      <c r="A217" s="2">
        <v>42779</v>
      </c>
      <c r="B217">
        <v>2321.719970703125</v>
      </c>
      <c r="C217">
        <v>2331.580078125</v>
      </c>
      <c r="D217">
        <v>2321.419921875</v>
      </c>
      <c r="E217">
        <v>2328.25</v>
      </c>
      <c r="F217">
        <v>2328.25</v>
      </c>
      <c r="G217">
        <v>3352370000</v>
      </c>
      <c r="H217">
        <v>0</v>
      </c>
      <c r="I217">
        <v>0</v>
      </c>
      <c r="K217" s="11">
        <f t="shared" si="3"/>
        <v>5.2458450979924187E-3</v>
      </c>
    </row>
    <row r="218" spans="1:11" x14ac:dyDescent="0.2">
      <c r="A218" s="2">
        <v>42780</v>
      </c>
      <c r="B218">
        <v>2326.1201171875</v>
      </c>
      <c r="C218">
        <v>2337.580078125</v>
      </c>
      <c r="D218">
        <v>2322.169921875</v>
      </c>
      <c r="E218">
        <v>2337.580078125</v>
      </c>
      <c r="F218">
        <v>2337.580078125</v>
      </c>
      <c r="G218">
        <v>3528040000</v>
      </c>
      <c r="H218">
        <v>0</v>
      </c>
      <c r="I218">
        <v>0</v>
      </c>
      <c r="K218" s="11">
        <f t="shared" si="3"/>
        <v>4.0073351766347631E-3</v>
      </c>
    </row>
    <row r="219" spans="1:11" x14ac:dyDescent="0.2">
      <c r="A219" s="2">
        <v>42781</v>
      </c>
      <c r="B219">
        <v>2335.580078125</v>
      </c>
      <c r="C219">
        <v>2351.300048828125</v>
      </c>
      <c r="D219">
        <v>2334.81005859375</v>
      </c>
      <c r="E219">
        <v>2349.25</v>
      </c>
      <c r="F219">
        <v>2349.25</v>
      </c>
      <c r="G219">
        <v>3785870000</v>
      </c>
      <c r="H219">
        <v>0</v>
      </c>
      <c r="I219">
        <v>0</v>
      </c>
      <c r="K219" s="11">
        <f t="shared" si="3"/>
        <v>4.992308919898214E-3</v>
      </c>
    </row>
    <row r="220" spans="1:11" x14ac:dyDescent="0.2">
      <c r="A220" s="2">
        <v>42782</v>
      </c>
      <c r="B220">
        <v>2349.639892578125</v>
      </c>
      <c r="C220">
        <v>2351.31005859375</v>
      </c>
      <c r="D220">
        <v>2338.8701171875</v>
      </c>
      <c r="E220">
        <v>2347.219970703125</v>
      </c>
      <c r="F220">
        <v>2347.219970703125</v>
      </c>
      <c r="G220">
        <v>3675900000</v>
      </c>
      <c r="H220">
        <v>0</v>
      </c>
      <c r="I220">
        <v>0</v>
      </c>
      <c r="K220" s="11">
        <f t="shared" si="3"/>
        <v>-8.6411803634134365E-4</v>
      </c>
    </row>
    <row r="221" spans="1:11" x14ac:dyDescent="0.2">
      <c r="A221" s="2">
        <v>42783</v>
      </c>
      <c r="B221">
        <v>2343.010009765625</v>
      </c>
      <c r="C221">
        <v>2351.159912109375</v>
      </c>
      <c r="D221">
        <v>2339.580078125</v>
      </c>
      <c r="E221">
        <v>2351.159912109375</v>
      </c>
      <c r="F221">
        <v>2351.159912109375</v>
      </c>
      <c r="G221">
        <v>3516830000</v>
      </c>
      <c r="H221">
        <v>0</v>
      </c>
      <c r="I221">
        <v>0</v>
      </c>
      <c r="K221" s="11">
        <f t="shared" si="3"/>
        <v>1.6785565287558146E-3</v>
      </c>
    </row>
    <row r="222" spans="1:11" x14ac:dyDescent="0.2">
      <c r="A222" s="2">
        <v>42787</v>
      </c>
      <c r="B222">
        <v>2354.909912109375</v>
      </c>
      <c r="C222">
        <v>2366.7099609375</v>
      </c>
      <c r="D222">
        <v>2354.909912109375</v>
      </c>
      <c r="E222">
        <v>2365.3798828125</v>
      </c>
      <c r="F222">
        <v>2365.3798828125</v>
      </c>
      <c r="G222">
        <v>3587520000</v>
      </c>
      <c r="H222">
        <v>0</v>
      </c>
      <c r="I222">
        <v>0</v>
      </c>
      <c r="K222" s="11">
        <f t="shared" si="3"/>
        <v>6.0480661608284247E-3</v>
      </c>
    </row>
    <row r="223" spans="1:11" x14ac:dyDescent="0.2">
      <c r="A223" s="2">
        <v>42788</v>
      </c>
      <c r="B223">
        <v>2361.110107421875</v>
      </c>
      <c r="C223">
        <v>2365.1298828125</v>
      </c>
      <c r="D223">
        <v>2358.340087890625</v>
      </c>
      <c r="E223">
        <v>2362.820068359375</v>
      </c>
      <c r="F223">
        <v>2362.820068359375</v>
      </c>
      <c r="G223">
        <v>3473170000</v>
      </c>
      <c r="H223">
        <v>0</v>
      </c>
      <c r="I223">
        <v>0</v>
      </c>
      <c r="K223" s="11">
        <f t="shared" si="3"/>
        <v>-1.0822001454080521E-3</v>
      </c>
    </row>
    <row r="224" spans="1:11" x14ac:dyDescent="0.2">
      <c r="A224" s="2">
        <v>42789</v>
      </c>
      <c r="B224">
        <v>2367.5</v>
      </c>
      <c r="C224">
        <v>2368.260009765625</v>
      </c>
      <c r="D224">
        <v>2355.090087890625</v>
      </c>
      <c r="E224">
        <v>2363.81005859375</v>
      </c>
      <c r="F224">
        <v>2363.81005859375</v>
      </c>
      <c r="G224">
        <v>4021770000</v>
      </c>
      <c r="H224">
        <v>0</v>
      </c>
      <c r="I224">
        <v>0</v>
      </c>
      <c r="K224" s="11">
        <f t="shared" si="3"/>
        <v>4.1898672168572126E-4</v>
      </c>
    </row>
    <row r="225" spans="1:11" x14ac:dyDescent="0.2">
      <c r="A225" s="2">
        <v>42790</v>
      </c>
      <c r="B225">
        <v>2355.72998046875</v>
      </c>
      <c r="C225">
        <v>2367.340087890625</v>
      </c>
      <c r="D225">
        <v>2352.8701171875</v>
      </c>
      <c r="E225">
        <v>2367.340087890625</v>
      </c>
      <c r="F225">
        <v>2367.340087890625</v>
      </c>
      <c r="G225">
        <v>3832410000</v>
      </c>
      <c r="H225">
        <v>0</v>
      </c>
      <c r="I225">
        <v>0</v>
      </c>
      <c r="K225" s="11">
        <f t="shared" si="3"/>
        <v>1.4933641914423035E-3</v>
      </c>
    </row>
    <row r="226" spans="1:11" x14ac:dyDescent="0.2">
      <c r="A226" s="2">
        <v>42793</v>
      </c>
      <c r="B226">
        <v>2365.22998046875</v>
      </c>
      <c r="C226">
        <v>2371.5400390625</v>
      </c>
      <c r="D226">
        <v>2361.8701171875</v>
      </c>
      <c r="E226">
        <v>2369.75</v>
      </c>
      <c r="F226">
        <v>2369.75</v>
      </c>
      <c r="G226">
        <v>3584680000</v>
      </c>
      <c r="H226">
        <v>0</v>
      </c>
      <c r="I226">
        <v>0</v>
      </c>
      <c r="K226" s="11">
        <f t="shared" si="3"/>
        <v>1.0179830611165563E-3</v>
      </c>
    </row>
    <row r="227" spans="1:11" x14ac:dyDescent="0.2">
      <c r="A227" s="2">
        <v>42794</v>
      </c>
      <c r="B227">
        <v>2366.080078125</v>
      </c>
      <c r="C227">
        <v>2367.7900390625</v>
      </c>
      <c r="D227">
        <v>2358.9599609375</v>
      </c>
      <c r="E227">
        <v>2363.639892578125</v>
      </c>
      <c r="F227">
        <v>2363.639892578125</v>
      </c>
      <c r="G227">
        <v>4212460000</v>
      </c>
      <c r="H227">
        <v>0</v>
      </c>
      <c r="I227">
        <v>0</v>
      </c>
      <c r="K227" s="11">
        <f t="shared" si="3"/>
        <v>-2.5783763780462543E-3</v>
      </c>
    </row>
    <row r="228" spans="1:11" x14ac:dyDescent="0.2">
      <c r="A228" s="2">
        <v>42795</v>
      </c>
      <c r="B228">
        <v>2380.1298828125</v>
      </c>
      <c r="C228">
        <v>2400.97998046875</v>
      </c>
      <c r="D228">
        <v>2380.1298828125</v>
      </c>
      <c r="E228">
        <v>2395.9599609375</v>
      </c>
      <c r="F228">
        <v>2395.9599609375</v>
      </c>
      <c r="G228">
        <v>4347630000</v>
      </c>
      <c r="H228">
        <v>0</v>
      </c>
      <c r="I228">
        <v>0</v>
      </c>
      <c r="K228" s="11">
        <f t="shared" si="3"/>
        <v>1.3673854659866258E-2</v>
      </c>
    </row>
    <row r="229" spans="1:11" x14ac:dyDescent="0.2">
      <c r="A229" s="2">
        <v>42796</v>
      </c>
      <c r="B229">
        <v>2394.75</v>
      </c>
      <c r="C229">
        <v>2394.75</v>
      </c>
      <c r="D229">
        <v>2380.169921875</v>
      </c>
      <c r="E229">
        <v>2381.919921875</v>
      </c>
      <c r="F229">
        <v>2381.919921875</v>
      </c>
      <c r="G229">
        <v>3824030000</v>
      </c>
      <c r="H229">
        <v>0</v>
      </c>
      <c r="I229">
        <v>0</v>
      </c>
      <c r="K229" s="11">
        <f t="shared" si="3"/>
        <v>-5.8598805035984247E-3</v>
      </c>
    </row>
    <row r="230" spans="1:11" x14ac:dyDescent="0.2">
      <c r="A230" s="2">
        <v>42797</v>
      </c>
      <c r="B230">
        <v>2380.919921875</v>
      </c>
      <c r="C230">
        <v>2383.889892578125</v>
      </c>
      <c r="D230">
        <v>2375.389892578125</v>
      </c>
      <c r="E230">
        <v>2383.1201171875</v>
      </c>
      <c r="F230">
        <v>2383.1201171875</v>
      </c>
      <c r="G230">
        <v>3556670000</v>
      </c>
      <c r="H230">
        <v>0</v>
      </c>
      <c r="I230">
        <v>0</v>
      </c>
      <c r="K230" s="11">
        <f t="shared" si="3"/>
        <v>5.0387727206002708E-4</v>
      </c>
    </row>
    <row r="231" spans="1:11" x14ac:dyDescent="0.2">
      <c r="A231" s="2">
        <v>42800</v>
      </c>
      <c r="B231">
        <v>2375.22998046875</v>
      </c>
      <c r="C231">
        <v>2378.800048828125</v>
      </c>
      <c r="D231">
        <v>2367.97998046875</v>
      </c>
      <c r="E231">
        <v>2375.31005859375</v>
      </c>
      <c r="F231">
        <v>2375.31005859375</v>
      </c>
      <c r="G231">
        <v>3251800000</v>
      </c>
      <c r="H231">
        <v>0</v>
      </c>
      <c r="I231">
        <v>0</v>
      </c>
      <c r="K231" s="11">
        <f t="shared" si="3"/>
        <v>-3.2772408480052917E-3</v>
      </c>
    </row>
    <row r="232" spans="1:11" x14ac:dyDescent="0.2">
      <c r="A232" s="2">
        <v>42801</v>
      </c>
      <c r="B232">
        <v>2370.739990234375</v>
      </c>
      <c r="C232">
        <v>2375.1201171875</v>
      </c>
      <c r="D232">
        <v>2365.510009765625</v>
      </c>
      <c r="E232">
        <v>2368.389892578125</v>
      </c>
      <c r="F232">
        <v>2368.389892578125</v>
      </c>
      <c r="G232">
        <v>3526300000</v>
      </c>
      <c r="H232">
        <v>0</v>
      </c>
      <c r="I232">
        <v>0</v>
      </c>
      <c r="K232" s="11">
        <f t="shared" si="3"/>
        <v>-2.9133737680216987E-3</v>
      </c>
    </row>
    <row r="233" spans="1:11" x14ac:dyDescent="0.2">
      <c r="A233" s="2">
        <v>42802</v>
      </c>
      <c r="B233">
        <v>2369.81005859375</v>
      </c>
      <c r="C233">
        <v>2373.090087890625</v>
      </c>
      <c r="D233">
        <v>2361.010009765625</v>
      </c>
      <c r="E233">
        <v>2362.97998046875</v>
      </c>
      <c r="F233">
        <v>2362.97998046875</v>
      </c>
      <c r="G233">
        <v>3814080000</v>
      </c>
      <c r="H233">
        <v>0</v>
      </c>
      <c r="I233">
        <v>0</v>
      </c>
      <c r="K233" s="11">
        <f t="shared" si="3"/>
        <v>-2.2842151650487308E-3</v>
      </c>
    </row>
    <row r="234" spans="1:11" x14ac:dyDescent="0.2">
      <c r="A234" s="2">
        <v>42803</v>
      </c>
      <c r="B234">
        <v>2363.489990234375</v>
      </c>
      <c r="C234">
        <v>2369.080078125</v>
      </c>
      <c r="D234">
        <v>2354.5400390625</v>
      </c>
      <c r="E234">
        <v>2364.8701171875</v>
      </c>
      <c r="F234">
        <v>2364.8701171875</v>
      </c>
      <c r="G234">
        <v>3718450000</v>
      </c>
      <c r="H234">
        <v>0</v>
      </c>
      <c r="I234">
        <v>0</v>
      </c>
      <c r="K234" s="11">
        <f t="shared" si="3"/>
        <v>7.9989535856128668E-4</v>
      </c>
    </row>
    <row r="235" spans="1:11" x14ac:dyDescent="0.2">
      <c r="A235" s="2">
        <v>42804</v>
      </c>
      <c r="B235">
        <v>2372.52001953125</v>
      </c>
      <c r="C235">
        <v>2376.860107421875</v>
      </c>
      <c r="D235">
        <v>2363.0400390625</v>
      </c>
      <c r="E235">
        <v>2372.60009765625</v>
      </c>
      <c r="F235">
        <v>2372.60009765625</v>
      </c>
      <c r="G235">
        <v>3434400000</v>
      </c>
      <c r="H235">
        <v>0</v>
      </c>
      <c r="I235">
        <v>0</v>
      </c>
      <c r="K235" s="11">
        <f t="shared" si="3"/>
        <v>3.2686701956989861E-3</v>
      </c>
    </row>
    <row r="236" spans="1:11" x14ac:dyDescent="0.2">
      <c r="A236" s="2">
        <v>42807</v>
      </c>
      <c r="B236">
        <v>2371.56005859375</v>
      </c>
      <c r="C236">
        <v>2374.419921875</v>
      </c>
      <c r="D236">
        <v>2368.52001953125</v>
      </c>
      <c r="E236">
        <v>2373.469970703125</v>
      </c>
      <c r="F236">
        <v>2373.469970703125</v>
      </c>
      <c r="G236">
        <v>3166650000</v>
      </c>
      <c r="H236">
        <v>0</v>
      </c>
      <c r="I236">
        <v>0</v>
      </c>
      <c r="K236" s="11">
        <f t="shared" si="3"/>
        <v>3.6663281255622238E-4</v>
      </c>
    </row>
    <row r="237" spans="1:11" x14ac:dyDescent="0.2">
      <c r="A237" s="2">
        <v>42808</v>
      </c>
      <c r="B237">
        <v>2368.550048828125</v>
      </c>
      <c r="C237">
        <v>2368.550048828125</v>
      </c>
      <c r="D237">
        <v>2358.179931640625</v>
      </c>
      <c r="E237">
        <v>2365.449951171875</v>
      </c>
      <c r="F237">
        <v>2365.449951171875</v>
      </c>
      <c r="G237">
        <v>3173760000</v>
      </c>
      <c r="H237">
        <v>0</v>
      </c>
      <c r="I237">
        <v>0</v>
      </c>
      <c r="K237" s="11">
        <f t="shared" si="3"/>
        <v>-3.3790271755046453E-3</v>
      </c>
    </row>
    <row r="238" spans="1:11" x14ac:dyDescent="0.2">
      <c r="A238" s="2">
        <v>42809</v>
      </c>
      <c r="B238">
        <v>2370.340087890625</v>
      </c>
      <c r="C238">
        <v>2390.010009765625</v>
      </c>
      <c r="D238">
        <v>2368.93994140625</v>
      </c>
      <c r="E238">
        <v>2385.260009765625</v>
      </c>
      <c r="F238">
        <v>2385.260009765625</v>
      </c>
      <c r="G238">
        <v>3909490000</v>
      </c>
      <c r="H238">
        <v>0</v>
      </c>
      <c r="I238">
        <v>0</v>
      </c>
      <c r="K238" s="11">
        <f t="shared" si="3"/>
        <v>8.3747527965813973E-3</v>
      </c>
    </row>
    <row r="239" spans="1:11" x14ac:dyDescent="0.2">
      <c r="A239" s="2">
        <v>42810</v>
      </c>
      <c r="B239">
        <v>2387.7099609375</v>
      </c>
      <c r="C239">
        <v>2388.10009765625</v>
      </c>
      <c r="D239">
        <v>2377.179931640625</v>
      </c>
      <c r="E239">
        <v>2381.3798828125</v>
      </c>
      <c r="F239">
        <v>2381.3798828125</v>
      </c>
      <c r="G239">
        <v>3368880000</v>
      </c>
      <c r="H239">
        <v>0</v>
      </c>
      <c r="I239">
        <v>0</v>
      </c>
      <c r="K239" s="11">
        <f t="shared" si="3"/>
        <v>-1.6267102694209612E-3</v>
      </c>
    </row>
    <row r="240" spans="1:11" x14ac:dyDescent="0.2">
      <c r="A240" s="2">
        <v>42811</v>
      </c>
      <c r="B240">
        <v>2383.7099609375</v>
      </c>
      <c r="C240">
        <v>2385.7099609375</v>
      </c>
      <c r="D240">
        <v>2377.639892578125</v>
      </c>
      <c r="E240">
        <v>2378.25</v>
      </c>
      <c r="F240">
        <v>2378.25</v>
      </c>
      <c r="G240">
        <v>5179820000</v>
      </c>
      <c r="H240">
        <v>0</v>
      </c>
      <c r="I240">
        <v>0</v>
      </c>
      <c r="K240" s="11">
        <f t="shared" si="3"/>
        <v>-1.3143147950017697E-3</v>
      </c>
    </row>
    <row r="241" spans="1:11" x14ac:dyDescent="0.2">
      <c r="A241" s="2">
        <v>42814</v>
      </c>
      <c r="B241">
        <v>2378.239990234375</v>
      </c>
      <c r="C241">
        <v>2379.550048828125</v>
      </c>
      <c r="D241">
        <v>2369.659912109375</v>
      </c>
      <c r="E241">
        <v>2373.469970703125</v>
      </c>
      <c r="F241">
        <v>2373.469970703125</v>
      </c>
      <c r="G241">
        <v>3061560000</v>
      </c>
      <c r="H241">
        <v>0</v>
      </c>
      <c r="I241">
        <v>0</v>
      </c>
      <c r="K241" s="11">
        <f t="shared" si="3"/>
        <v>-2.0098935338483948E-3</v>
      </c>
    </row>
    <row r="242" spans="1:11" x14ac:dyDescent="0.2">
      <c r="A242" s="2">
        <v>42815</v>
      </c>
      <c r="B242">
        <v>2379.320068359375</v>
      </c>
      <c r="C242">
        <v>2381.929931640625</v>
      </c>
      <c r="D242">
        <v>2341.89990234375</v>
      </c>
      <c r="E242">
        <v>2344.02001953125</v>
      </c>
      <c r="F242">
        <v>2344.02001953125</v>
      </c>
      <c r="G242">
        <v>4278890000</v>
      </c>
      <c r="H242">
        <v>0</v>
      </c>
      <c r="I242">
        <v>0</v>
      </c>
      <c r="K242" s="11">
        <f t="shared" si="3"/>
        <v>-1.2407972940626899E-2</v>
      </c>
    </row>
    <row r="243" spans="1:11" x14ac:dyDescent="0.2">
      <c r="A243" s="2">
        <v>42816</v>
      </c>
      <c r="B243">
        <v>2343</v>
      </c>
      <c r="C243">
        <v>2351.81005859375</v>
      </c>
      <c r="D243">
        <v>2336.449951171875</v>
      </c>
      <c r="E243">
        <v>2348.449951171875</v>
      </c>
      <c r="F243">
        <v>2348.449951171875</v>
      </c>
      <c r="G243">
        <v>3575160000</v>
      </c>
      <c r="H243">
        <v>0</v>
      </c>
      <c r="I243">
        <v>0</v>
      </c>
      <c r="K243" s="11">
        <f t="shared" si="3"/>
        <v>1.8898864360001877E-3</v>
      </c>
    </row>
    <row r="244" spans="1:11" x14ac:dyDescent="0.2">
      <c r="A244" s="2">
        <v>42817</v>
      </c>
      <c r="B244">
        <v>2345.969970703125</v>
      </c>
      <c r="C244">
        <v>2358.919921875</v>
      </c>
      <c r="D244">
        <v>2342.1298828125</v>
      </c>
      <c r="E244">
        <v>2345.9599609375</v>
      </c>
      <c r="F244">
        <v>2345.9599609375</v>
      </c>
      <c r="G244">
        <v>3262400000</v>
      </c>
      <c r="H244">
        <v>0</v>
      </c>
      <c r="I244">
        <v>0</v>
      </c>
      <c r="K244" s="11">
        <f t="shared" si="3"/>
        <v>-1.060269661328106E-3</v>
      </c>
    </row>
    <row r="245" spans="1:11" x14ac:dyDescent="0.2">
      <c r="A245" s="2">
        <v>42818</v>
      </c>
      <c r="B245">
        <v>2350.419921875</v>
      </c>
      <c r="C245">
        <v>2356.219970703125</v>
      </c>
      <c r="D245">
        <v>2335.739990234375</v>
      </c>
      <c r="E245">
        <v>2343.97998046875</v>
      </c>
      <c r="F245">
        <v>2343.97998046875</v>
      </c>
      <c r="G245">
        <v>2978530000</v>
      </c>
      <c r="H245">
        <v>0</v>
      </c>
      <c r="I245">
        <v>0</v>
      </c>
      <c r="K245" s="11">
        <f t="shared" si="3"/>
        <v>-8.4399584891414747E-4</v>
      </c>
    </row>
    <row r="246" spans="1:11" x14ac:dyDescent="0.2">
      <c r="A246" s="2">
        <v>42821</v>
      </c>
      <c r="B246">
        <v>2329.110107421875</v>
      </c>
      <c r="C246">
        <v>2344.89990234375</v>
      </c>
      <c r="D246">
        <v>2322.25</v>
      </c>
      <c r="E246">
        <v>2341.590087890625</v>
      </c>
      <c r="F246">
        <v>2341.590087890625</v>
      </c>
      <c r="G246">
        <v>3242300000</v>
      </c>
      <c r="H246">
        <v>0</v>
      </c>
      <c r="I246">
        <v>0</v>
      </c>
      <c r="K246" s="11">
        <f t="shared" si="3"/>
        <v>-1.0195874529811411E-3</v>
      </c>
    </row>
    <row r="247" spans="1:11" x14ac:dyDescent="0.2">
      <c r="A247" s="2">
        <v>42822</v>
      </c>
      <c r="B247">
        <v>2339.7900390625</v>
      </c>
      <c r="C247">
        <v>2363.780029296875</v>
      </c>
      <c r="D247">
        <v>2337.6298828125</v>
      </c>
      <c r="E247">
        <v>2358.570068359375</v>
      </c>
      <c r="F247">
        <v>2358.570068359375</v>
      </c>
      <c r="G247">
        <v>3369120000</v>
      </c>
      <c r="H247">
        <v>0</v>
      </c>
      <c r="I247">
        <v>0</v>
      </c>
      <c r="K247" s="11">
        <f t="shared" si="3"/>
        <v>7.2514743535005977E-3</v>
      </c>
    </row>
    <row r="248" spans="1:11" x14ac:dyDescent="0.2">
      <c r="A248" s="2">
        <v>42823</v>
      </c>
      <c r="B248">
        <v>2356.5400390625</v>
      </c>
      <c r="C248">
        <v>2363.360107421875</v>
      </c>
      <c r="D248">
        <v>2352.93994140625</v>
      </c>
      <c r="E248">
        <v>2361.1298828125</v>
      </c>
      <c r="F248">
        <v>2361.1298828125</v>
      </c>
      <c r="G248">
        <v>3107670000</v>
      </c>
      <c r="H248">
        <v>0</v>
      </c>
      <c r="I248">
        <v>0</v>
      </c>
      <c r="K248" s="11">
        <f t="shared" si="3"/>
        <v>1.0853247429301049E-3</v>
      </c>
    </row>
    <row r="249" spans="1:11" x14ac:dyDescent="0.2">
      <c r="A249" s="2">
        <v>42824</v>
      </c>
      <c r="B249">
        <v>2361.31005859375</v>
      </c>
      <c r="C249">
        <v>2370.419921875</v>
      </c>
      <c r="D249">
        <v>2358.580078125</v>
      </c>
      <c r="E249">
        <v>2368.06005859375</v>
      </c>
      <c r="F249">
        <v>2368.06005859375</v>
      </c>
      <c r="G249">
        <v>3159680000</v>
      </c>
      <c r="H249">
        <v>0</v>
      </c>
      <c r="I249">
        <v>0</v>
      </c>
      <c r="K249" s="11">
        <f t="shared" si="3"/>
        <v>2.9351099368557509E-3</v>
      </c>
    </row>
    <row r="250" spans="1:11" x14ac:dyDescent="0.2">
      <c r="A250" s="2">
        <v>42825</v>
      </c>
      <c r="B250">
        <v>2364.820068359375</v>
      </c>
      <c r="C250">
        <v>2370.35009765625</v>
      </c>
      <c r="D250">
        <v>2362.60009765625</v>
      </c>
      <c r="E250">
        <v>2362.719970703125</v>
      </c>
      <c r="F250">
        <v>2362.719970703125</v>
      </c>
      <c r="G250">
        <v>3356740000</v>
      </c>
      <c r="H250">
        <v>0</v>
      </c>
      <c r="I250">
        <v>0</v>
      </c>
      <c r="K250" s="11">
        <f t="shared" si="3"/>
        <v>-2.2550474897145012E-3</v>
      </c>
    </row>
    <row r="251" spans="1:11" x14ac:dyDescent="0.2">
      <c r="A251" s="2">
        <v>42828</v>
      </c>
      <c r="B251">
        <v>2362.340087890625</v>
      </c>
      <c r="C251">
        <v>2365.8701171875</v>
      </c>
      <c r="D251">
        <v>2344.72998046875</v>
      </c>
      <c r="E251">
        <v>2358.840087890625</v>
      </c>
      <c r="F251">
        <v>2358.840087890625</v>
      </c>
      <c r="G251">
        <v>3418730000</v>
      </c>
      <c r="H251">
        <v>0</v>
      </c>
      <c r="I251">
        <v>0</v>
      </c>
      <c r="K251" s="11">
        <f t="shared" si="3"/>
        <v>-1.6421255420062675E-3</v>
      </c>
    </row>
    <row r="252" spans="1:11" x14ac:dyDescent="0.2">
      <c r="A252" s="2">
        <v>42829</v>
      </c>
      <c r="B252">
        <v>2354.760009765625</v>
      </c>
      <c r="C252">
        <v>2360.530029296875</v>
      </c>
      <c r="D252">
        <v>2350.719970703125</v>
      </c>
      <c r="E252">
        <v>2360.159912109375</v>
      </c>
      <c r="F252">
        <v>2360.159912109375</v>
      </c>
      <c r="G252">
        <v>3208340000</v>
      </c>
      <c r="H252">
        <v>0</v>
      </c>
      <c r="I252">
        <v>0</v>
      </c>
      <c r="K252" s="11">
        <f t="shared" si="3"/>
        <v>5.5952254903823828E-4</v>
      </c>
    </row>
    <row r="253" spans="1:11" x14ac:dyDescent="0.2">
      <c r="A253" s="2">
        <v>42830</v>
      </c>
      <c r="B253">
        <v>2366.590087890625</v>
      </c>
      <c r="C253">
        <v>2378.360107421875</v>
      </c>
      <c r="D253">
        <v>2350.52001953125</v>
      </c>
      <c r="E253">
        <v>2352.949951171875</v>
      </c>
      <c r="F253">
        <v>2352.949951171875</v>
      </c>
      <c r="G253">
        <v>3780650000</v>
      </c>
      <c r="H253">
        <v>0</v>
      </c>
      <c r="I253">
        <v>0</v>
      </c>
      <c r="K253" s="11">
        <f t="shared" si="3"/>
        <v>-3.0548611983906016E-3</v>
      </c>
    </row>
    <row r="254" spans="1:11" x14ac:dyDescent="0.2">
      <c r="A254" s="2">
        <v>42831</v>
      </c>
      <c r="B254">
        <v>2353.7900390625</v>
      </c>
      <c r="C254">
        <v>2364.159912109375</v>
      </c>
      <c r="D254">
        <v>2348.89990234375</v>
      </c>
      <c r="E254">
        <v>2357.489990234375</v>
      </c>
      <c r="F254">
        <v>2357.489990234375</v>
      </c>
      <c r="G254">
        <v>3203250000</v>
      </c>
      <c r="H254">
        <v>0</v>
      </c>
      <c r="I254">
        <v>0</v>
      </c>
      <c r="K254" s="11">
        <f t="shared" si="3"/>
        <v>1.9295094059432749E-3</v>
      </c>
    </row>
    <row r="255" spans="1:11" x14ac:dyDescent="0.2">
      <c r="A255" s="2">
        <v>42832</v>
      </c>
      <c r="B255">
        <v>2356.590087890625</v>
      </c>
      <c r="C255">
        <v>2363.760009765625</v>
      </c>
      <c r="D255">
        <v>2350.739990234375</v>
      </c>
      <c r="E255">
        <v>2355.5400390625</v>
      </c>
      <c r="F255">
        <v>2355.5400390625</v>
      </c>
      <c r="G255">
        <v>3054700000</v>
      </c>
      <c r="H255">
        <v>0</v>
      </c>
      <c r="I255">
        <v>0</v>
      </c>
      <c r="K255" s="11">
        <f t="shared" si="3"/>
        <v>-8.2713020201674592E-4</v>
      </c>
    </row>
    <row r="256" spans="1:11" x14ac:dyDescent="0.2">
      <c r="A256" s="2">
        <v>42835</v>
      </c>
      <c r="B256">
        <v>2357.159912109375</v>
      </c>
      <c r="C256">
        <v>2366.3701171875</v>
      </c>
      <c r="D256">
        <v>2351.5</v>
      </c>
      <c r="E256">
        <v>2357.159912109375</v>
      </c>
      <c r="F256">
        <v>2357.159912109375</v>
      </c>
      <c r="G256">
        <v>2792570000</v>
      </c>
      <c r="H256">
        <v>0</v>
      </c>
      <c r="I256">
        <v>0</v>
      </c>
      <c r="K256" s="11">
        <f t="shared" si="3"/>
        <v>6.876864837839225E-4</v>
      </c>
    </row>
    <row r="257" spans="1:11" x14ac:dyDescent="0.2">
      <c r="A257" s="2">
        <v>42836</v>
      </c>
      <c r="B257">
        <v>2353.919921875</v>
      </c>
      <c r="C257">
        <v>2355.219970703125</v>
      </c>
      <c r="D257">
        <v>2337.25</v>
      </c>
      <c r="E257">
        <v>2353.780029296875</v>
      </c>
      <c r="F257">
        <v>2353.780029296875</v>
      </c>
      <c r="G257">
        <v>3120900000</v>
      </c>
      <c r="H257">
        <v>0</v>
      </c>
      <c r="I257">
        <v>0</v>
      </c>
      <c r="K257" s="11">
        <f t="shared" si="3"/>
        <v>-1.4338793032820929E-3</v>
      </c>
    </row>
    <row r="258" spans="1:11" x14ac:dyDescent="0.2">
      <c r="A258" s="2">
        <v>42837</v>
      </c>
      <c r="B258">
        <v>2352.14990234375</v>
      </c>
      <c r="C258">
        <v>2352.719970703125</v>
      </c>
      <c r="D258">
        <v>2341.179931640625</v>
      </c>
      <c r="E258">
        <v>2344.929931640625</v>
      </c>
      <c r="F258">
        <v>2344.929931640625</v>
      </c>
      <c r="G258">
        <v>3201300000</v>
      </c>
      <c r="H258">
        <v>0</v>
      </c>
      <c r="I258">
        <v>0</v>
      </c>
      <c r="K258" s="11">
        <f t="shared" si="3"/>
        <v>-3.7599510345466269E-3</v>
      </c>
    </row>
    <row r="259" spans="1:11" x14ac:dyDescent="0.2">
      <c r="A259" s="2">
        <v>42838</v>
      </c>
      <c r="B259">
        <v>2341.97998046875</v>
      </c>
      <c r="C259">
        <v>2348.260009765625</v>
      </c>
      <c r="D259">
        <v>2328.949951171875</v>
      </c>
      <c r="E259">
        <v>2328.949951171875</v>
      </c>
      <c r="F259">
        <v>2328.949951171875</v>
      </c>
      <c r="G259">
        <v>3146380000</v>
      </c>
      <c r="H259">
        <v>0</v>
      </c>
      <c r="I259">
        <v>0</v>
      </c>
      <c r="K259" s="11">
        <f t="shared" si="3"/>
        <v>-6.8146942273749067E-3</v>
      </c>
    </row>
    <row r="260" spans="1:11" x14ac:dyDescent="0.2">
      <c r="A260" s="2">
        <v>42842</v>
      </c>
      <c r="B260">
        <v>2332.6201171875</v>
      </c>
      <c r="C260">
        <v>2349.139892578125</v>
      </c>
      <c r="D260">
        <v>2332.510009765625</v>
      </c>
      <c r="E260">
        <v>2349.010009765625</v>
      </c>
      <c r="F260">
        <v>2349.010009765625</v>
      </c>
      <c r="G260">
        <v>2826890000</v>
      </c>
      <c r="H260">
        <v>0</v>
      </c>
      <c r="I260">
        <v>0</v>
      </c>
      <c r="K260" s="11">
        <f t="shared" ref="K260:K323" si="4">(E260/E259)-1</f>
        <v>8.6133489402193675E-3</v>
      </c>
    </row>
    <row r="261" spans="1:11" x14ac:dyDescent="0.2">
      <c r="A261" s="2">
        <v>42843</v>
      </c>
      <c r="B261">
        <v>2342.530029296875</v>
      </c>
      <c r="C261">
        <v>2348.35009765625</v>
      </c>
      <c r="D261">
        <v>2334.5400390625</v>
      </c>
      <c r="E261">
        <v>2342.18994140625</v>
      </c>
      <c r="F261">
        <v>2342.18994140625</v>
      </c>
      <c r="G261">
        <v>3272210000</v>
      </c>
      <c r="H261">
        <v>0</v>
      </c>
      <c r="I261">
        <v>0</v>
      </c>
      <c r="K261" s="11">
        <f t="shared" si="4"/>
        <v>-2.9033798625895946E-3</v>
      </c>
    </row>
    <row r="262" spans="1:11" x14ac:dyDescent="0.2">
      <c r="A262" s="2">
        <v>42844</v>
      </c>
      <c r="B262">
        <v>2346.7900390625</v>
      </c>
      <c r="C262">
        <v>2352.6298828125</v>
      </c>
      <c r="D262">
        <v>2335.050048828125</v>
      </c>
      <c r="E262">
        <v>2338.169921875</v>
      </c>
      <c r="F262">
        <v>2338.169921875</v>
      </c>
      <c r="G262">
        <v>3521160000</v>
      </c>
      <c r="H262">
        <v>0</v>
      </c>
      <c r="I262">
        <v>0</v>
      </c>
      <c r="K262" s="11">
        <f t="shared" si="4"/>
        <v>-1.7163507793208632E-3</v>
      </c>
    </row>
    <row r="263" spans="1:11" x14ac:dyDescent="0.2">
      <c r="A263" s="2">
        <v>42845</v>
      </c>
      <c r="B263">
        <v>2342.68994140625</v>
      </c>
      <c r="C263">
        <v>2361.3701171875</v>
      </c>
      <c r="D263">
        <v>2340.909912109375</v>
      </c>
      <c r="E263">
        <v>2355.840087890625</v>
      </c>
      <c r="F263">
        <v>2355.840087890625</v>
      </c>
      <c r="G263">
        <v>3648990000</v>
      </c>
      <c r="H263">
        <v>0</v>
      </c>
      <c r="I263">
        <v>0</v>
      </c>
      <c r="K263" s="11">
        <f t="shared" si="4"/>
        <v>7.5572634179876808E-3</v>
      </c>
    </row>
    <row r="264" spans="1:11" x14ac:dyDescent="0.2">
      <c r="A264" s="2">
        <v>42846</v>
      </c>
      <c r="B264">
        <v>2354.739990234375</v>
      </c>
      <c r="C264">
        <v>2356.179931640625</v>
      </c>
      <c r="D264">
        <v>2344.510009765625</v>
      </c>
      <c r="E264">
        <v>2348.68994140625</v>
      </c>
      <c r="F264">
        <v>2348.68994140625</v>
      </c>
      <c r="G264">
        <v>3524160000</v>
      </c>
      <c r="H264">
        <v>0</v>
      </c>
      <c r="I264">
        <v>0</v>
      </c>
      <c r="K264" s="11">
        <f t="shared" si="4"/>
        <v>-3.0350729326357184E-3</v>
      </c>
    </row>
    <row r="265" spans="1:11" x14ac:dyDescent="0.2">
      <c r="A265" s="2">
        <v>42849</v>
      </c>
      <c r="B265">
        <v>2370.330078125</v>
      </c>
      <c r="C265">
        <v>2376.97998046875</v>
      </c>
      <c r="D265">
        <v>2369.18994140625</v>
      </c>
      <c r="E265">
        <v>2374.14990234375</v>
      </c>
      <c r="F265">
        <v>2374.14990234375</v>
      </c>
      <c r="G265">
        <v>3711170000</v>
      </c>
      <c r="H265">
        <v>0</v>
      </c>
      <c r="I265">
        <v>0</v>
      </c>
      <c r="K265" s="11">
        <f t="shared" si="4"/>
        <v>1.084006896297951E-2</v>
      </c>
    </row>
    <row r="266" spans="1:11" x14ac:dyDescent="0.2">
      <c r="A266" s="2">
        <v>42850</v>
      </c>
      <c r="B266">
        <v>2381.510009765625</v>
      </c>
      <c r="C266">
        <v>2392.47998046875</v>
      </c>
      <c r="D266">
        <v>2381.14990234375</v>
      </c>
      <c r="E266">
        <v>2388.610107421875</v>
      </c>
      <c r="F266">
        <v>2388.610107421875</v>
      </c>
      <c r="G266">
        <v>4005820000</v>
      </c>
      <c r="H266">
        <v>0</v>
      </c>
      <c r="I266">
        <v>0</v>
      </c>
      <c r="K266" s="11">
        <f t="shared" si="4"/>
        <v>6.0906874767470143E-3</v>
      </c>
    </row>
    <row r="267" spans="1:11" x14ac:dyDescent="0.2">
      <c r="A267" s="2">
        <v>42851</v>
      </c>
      <c r="B267">
        <v>2388.97998046875</v>
      </c>
      <c r="C267">
        <v>2398.159912109375</v>
      </c>
      <c r="D267">
        <v>2386.780029296875</v>
      </c>
      <c r="E267">
        <v>2387.449951171875</v>
      </c>
      <c r="F267">
        <v>2387.449951171875</v>
      </c>
      <c r="G267">
        <v>4111350000</v>
      </c>
      <c r="H267">
        <v>0</v>
      </c>
      <c r="I267">
        <v>0</v>
      </c>
      <c r="K267" s="11">
        <f t="shared" si="4"/>
        <v>-4.8570348354270987E-4</v>
      </c>
    </row>
    <row r="268" spans="1:11" x14ac:dyDescent="0.2">
      <c r="A268" s="2">
        <v>42852</v>
      </c>
      <c r="B268">
        <v>2389.699951171875</v>
      </c>
      <c r="C268">
        <v>2392.10009765625</v>
      </c>
      <c r="D268">
        <v>2382.679931640625</v>
      </c>
      <c r="E268">
        <v>2388.77001953125</v>
      </c>
      <c r="F268">
        <v>2388.77001953125</v>
      </c>
      <c r="G268">
        <v>4099940000</v>
      </c>
      <c r="H268">
        <v>0</v>
      </c>
      <c r="I268">
        <v>0</v>
      </c>
      <c r="K268" s="11">
        <f t="shared" si="4"/>
        <v>5.5291980413119113E-4</v>
      </c>
    </row>
    <row r="269" spans="1:11" x14ac:dyDescent="0.2">
      <c r="A269" s="2">
        <v>42853</v>
      </c>
      <c r="B269">
        <v>2393.679931640625</v>
      </c>
      <c r="C269">
        <v>2393.679931640625</v>
      </c>
      <c r="D269">
        <v>2382.360107421875</v>
      </c>
      <c r="E269">
        <v>2384.199951171875</v>
      </c>
      <c r="F269">
        <v>2384.199951171875</v>
      </c>
      <c r="G269">
        <v>3721350000</v>
      </c>
      <c r="H269">
        <v>0</v>
      </c>
      <c r="I269">
        <v>0</v>
      </c>
      <c r="K269" s="11">
        <f t="shared" si="4"/>
        <v>-1.9131470681601481E-3</v>
      </c>
    </row>
    <row r="270" spans="1:11" x14ac:dyDescent="0.2">
      <c r="A270" s="2">
        <v>42856</v>
      </c>
      <c r="B270">
        <v>2388.5</v>
      </c>
      <c r="C270">
        <v>2394.489990234375</v>
      </c>
      <c r="D270">
        <v>2384.830078125</v>
      </c>
      <c r="E270">
        <v>2388.330078125</v>
      </c>
      <c r="F270">
        <v>2388.330078125</v>
      </c>
      <c r="G270">
        <v>3201500000</v>
      </c>
      <c r="H270">
        <v>0</v>
      </c>
      <c r="I270">
        <v>0</v>
      </c>
      <c r="K270" s="11">
        <f t="shared" si="4"/>
        <v>1.7322905115801923E-3</v>
      </c>
    </row>
    <row r="271" spans="1:11" x14ac:dyDescent="0.2">
      <c r="A271" s="2">
        <v>42857</v>
      </c>
      <c r="B271">
        <v>2391.050048828125</v>
      </c>
      <c r="C271">
        <v>2392.929931640625</v>
      </c>
      <c r="D271">
        <v>2385.820068359375</v>
      </c>
      <c r="E271">
        <v>2391.169921875</v>
      </c>
      <c r="F271">
        <v>2391.169921875</v>
      </c>
      <c r="G271">
        <v>3861360000</v>
      </c>
      <c r="H271">
        <v>0</v>
      </c>
      <c r="I271">
        <v>0</v>
      </c>
      <c r="K271" s="11">
        <f t="shared" si="4"/>
        <v>1.1890499458222514E-3</v>
      </c>
    </row>
    <row r="272" spans="1:11" x14ac:dyDescent="0.2">
      <c r="A272" s="2">
        <v>42858</v>
      </c>
      <c r="B272">
        <v>2386.5</v>
      </c>
      <c r="C272">
        <v>2389.820068359375</v>
      </c>
      <c r="D272">
        <v>2379.75</v>
      </c>
      <c r="E272">
        <v>2388.1298828125</v>
      </c>
      <c r="F272">
        <v>2388.1298828125</v>
      </c>
      <c r="G272">
        <v>3896760000</v>
      </c>
      <c r="H272">
        <v>0</v>
      </c>
      <c r="I272">
        <v>0</v>
      </c>
      <c r="K272" s="11">
        <f t="shared" si="4"/>
        <v>-1.2713605313821041E-3</v>
      </c>
    </row>
    <row r="273" spans="1:11" x14ac:dyDescent="0.2">
      <c r="A273" s="2">
        <v>42859</v>
      </c>
      <c r="B273">
        <v>2389.7900390625</v>
      </c>
      <c r="C273">
        <v>2391.429931640625</v>
      </c>
      <c r="D273">
        <v>2380.35009765625</v>
      </c>
      <c r="E273">
        <v>2389.52001953125</v>
      </c>
      <c r="F273">
        <v>2389.52001953125</v>
      </c>
      <c r="G273">
        <v>4367860000</v>
      </c>
      <c r="H273">
        <v>0</v>
      </c>
      <c r="I273">
        <v>0</v>
      </c>
      <c r="K273" s="11">
        <f t="shared" si="4"/>
        <v>5.8210264389502164E-4</v>
      </c>
    </row>
    <row r="274" spans="1:11" x14ac:dyDescent="0.2">
      <c r="A274" s="2">
        <v>42860</v>
      </c>
      <c r="B274">
        <v>2392.3701171875</v>
      </c>
      <c r="C274">
        <v>2399.2900390625</v>
      </c>
      <c r="D274">
        <v>2389.3798828125</v>
      </c>
      <c r="E274">
        <v>2399.2900390625</v>
      </c>
      <c r="F274">
        <v>2399.2900390625</v>
      </c>
      <c r="G274">
        <v>3543240000</v>
      </c>
      <c r="H274">
        <v>0</v>
      </c>
      <c r="I274">
        <v>0</v>
      </c>
      <c r="K274" s="11">
        <f t="shared" si="4"/>
        <v>4.0886954080285864E-3</v>
      </c>
    </row>
    <row r="275" spans="1:11" x14ac:dyDescent="0.2">
      <c r="A275" s="2">
        <v>42863</v>
      </c>
      <c r="B275">
        <v>2399.93994140625</v>
      </c>
      <c r="C275">
        <v>2401.360107421875</v>
      </c>
      <c r="D275">
        <v>2393.919921875</v>
      </c>
      <c r="E275">
        <v>2399.3798828125</v>
      </c>
      <c r="F275">
        <v>2399.3798828125</v>
      </c>
      <c r="G275">
        <v>3429990000</v>
      </c>
      <c r="H275">
        <v>0</v>
      </c>
      <c r="I275">
        <v>0</v>
      </c>
      <c r="K275" s="11">
        <f t="shared" si="4"/>
        <v>3.7445972990823861E-5</v>
      </c>
    </row>
    <row r="276" spans="1:11" x14ac:dyDescent="0.2">
      <c r="A276" s="2">
        <v>42864</v>
      </c>
      <c r="B276">
        <v>2401.580078125</v>
      </c>
      <c r="C276">
        <v>2403.8701171875</v>
      </c>
      <c r="D276">
        <v>2392.43994140625</v>
      </c>
      <c r="E276">
        <v>2396.919921875</v>
      </c>
      <c r="F276">
        <v>2396.919921875</v>
      </c>
      <c r="G276">
        <v>3657840000</v>
      </c>
      <c r="H276">
        <v>0</v>
      </c>
      <c r="I276">
        <v>0</v>
      </c>
      <c r="K276" s="11">
        <f t="shared" si="4"/>
        <v>-1.0252486299153762E-3</v>
      </c>
    </row>
    <row r="277" spans="1:11" x14ac:dyDescent="0.2">
      <c r="A277" s="2">
        <v>42865</v>
      </c>
      <c r="B277">
        <v>2396.7900390625</v>
      </c>
      <c r="C277">
        <v>2399.739990234375</v>
      </c>
      <c r="D277">
        <v>2392.7900390625</v>
      </c>
      <c r="E277">
        <v>2399.6298828125</v>
      </c>
      <c r="F277">
        <v>2399.6298828125</v>
      </c>
      <c r="G277">
        <v>3649370000</v>
      </c>
      <c r="H277">
        <v>0</v>
      </c>
      <c r="I277">
        <v>0</v>
      </c>
      <c r="K277" s="11">
        <f t="shared" si="4"/>
        <v>1.1306013658478609E-3</v>
      </c>
    </row>
    <row r="278" spans="1:11" x14ac:dyDescent="0.2">
      <c r="A278" s="2">
        <v>42866</v>
      </c>
      <c r="B278">
        <v>2394.840087890625</v>
      </c>
      <c r="C278">
        <v>2395.719970703125</v>
      </c>
      <c r="D278">
        <v>2381.739990234375</v>
      </c>
      <c r="E278">
        <v>2394.43994140625</v>
      </c>
      <c r="F278">
        <v>2394.43994140625</v>
      </c>
      <c r="G278">
        <v>3727710000</v>
      </c>
      <c r="H278">
        <v>0</v>
      </c>
      <c r="I278">
        <v>0</v>
      </c>
      <c r="K278" s="11">
        <f t="shared" si="4"/>
        <v>-2.1628091246167491E-3</v>
      </c>
    </row>
    <row r="279" spans="1:11" x14ac:dyDescent="0.2">
      <c r="A279" s="2">
        <v>42867</v>
      </c>
      <c r="B279">
        <v>2392.43994140625</v>
      </c>
      <c r="C279">
        <v>2392.43994140625</v>
      </c>
      <c r="D279">
        <v>2387.18994140625</v>
      </c>
      <c r="E279">
        <v>2390.89990234375</v>
      </c>
      <c r="F279">
        <v>2390.89990234375</v>
      </c>
      <c r="G279">
        <v>3304620000</v>
      </c>
      <c r="H279">
        <v>0</v>
      </c>
      <c r="I279">
        <v>0</v>
      </c>
      <c r="K279" s="11">
        <f t="shared" si="4"/>
        <v>-1.4784413679722608E-3</v>
      </c>
    </row>
    <row r="280" spans="1:11" x14ac:dyDescent="0.2">
      <c r="A280" s="2">
        <v>42870</v>
      </c>
      <c r="B280">
        <v>2393.97998046875</v>
      </c>
      <c r="C280">
        <v>2404.050048828125</v>
      </c>
      <c r="D280">
        <v>2393.93994140625</v>
      </c>
      <c r="E280">
        <v>2402.320068359375</v>
      </c>
      <c r="F280">
        <v>2402.320068359375</v>
      </c>
      <c r="G280">
        <v>3490080000</v>
      </c>
      <c r="H280">
        <v>0</v>
      </c>
      <c r="I280">
        <v>0</v>
      </c>
      <c r="K280" s="11">
        <f t="shared" si="4"/>
        <v>4.7765136484509974E-3</v>
      </c>
    </row>
    <row r="281" spans="1:11" x14ac:dyDescent="0.2">
      <c r="A281" s="2">
        <v>42871</v>
      </c>
      <c r="B281">
        <v>2404.550048828125</v>
      </c>
      <c r="C281">
        <v>2405.77001953125</v>
      </c>
      <c r="D281">
        <v>2396.050048828125</v>
      </c>
      <c r="E281">
        <v>2400.669921875</v>
      </c>
      <c r="F281">
        <v>2400.669921875</v>
      </c>
      <c r="G281">
        <v>3421810000</v>
      </c>
      <c r="H281">
        <v>0</v>
      </c>
      <c r="I281">
        <v>0</v>
      </c>
      <c r="K281" s="11">
        <f t="shared" si="4"/>
        <v>-6.8689701514335066E-4</v>
      </c>
    </row>
    <row r="282" spans="1:11" x14ac:dyDescent="0.2">
      <c r="A282" s="2">
        <v>42872</v>
      </c>
      <c r="B282">
        <v>2382.949951171875</v>
      </c>
      <c r="C282">
        <v>2384.8701171875</v>
      </c>
      <c r="D282">
        <v>2356.2099609375</v>
      </c>
      <c r="E282">
        <v>2357.030029296875</v>
      </c>
      <c r="F282">
        <v>2357.030029296875</v>
      </c>
      <c r="G282">
        <v>4164760000</v>
      </c>
      <c r="H282">
        <v>0</v>
      </c>
      <c r="I282">
        <v>0</v>
      </c>
      <c r="K282" s="11">
        <f t="shared" si="4"/>
        <v>-1.8178214414433458E-2</v>
      </c>
    </row>
    <row r="283" spans="1:11" x14ac:dyDescent="0.2">
      <c r="A283" s="2">
        <v>42873</v>
      </c>
      <c r="B283">
        <v>2354.68994140625</v>
      </c>
      <c r="C283">
        <v>2375.739990234375</v>
      </c>
      <c r="D283">
        <v>2352.719970703125</v>
      </c>
      <c r="E283">
        <v>2365.719970703125</v>
      </c>
      <c r="F283">
        <v>2365.719970703125</v>
      </c>
      <c r="G283">
        <v>4319440000</v>
      </c>
      <c r="H283">
        <v>0</v>
      </c>
      <c r="I283">
        <v>0</v>
      </c>
      <c r="K283" s="11">
        <f t="shared" si="4"/>
        <v>3.686818283279214E-3</v>
      </c>
    </row>
    <row r="284" spans="1:11" x14ac:dyDescent="0.2">
      <c r="A284" s="2">
        <v>42874</v>
      </c>
      <c r="B284">
        <v>2371.3701171875</v>
      </c>
      <c r="C284">
        <v>2389.06005859375</v>
      </c>
      <c r="D284">
        <v>2370.429931640625</v>
      </c>
      <c r="E284">
        <v>2381.72998046875</v>
      </c>
      <c r="F284">
        <v>2381.72998046875</v>
      </c>
      <c r="G284">
        <v>3831700000</v>
      </c>
      <c r="H284">
        <v>0</v>
      </c>
      <c r="I284">
        <v>0</v>
      </c>
      <c r="K284" s="11">
        <f t="shared" si="4"/>
        <v>6.7674999424665039E-3</v>
      </c>
    </row>
    <row r="285" spans="1:11" x14ac:dyDescent="0.2">
      <c r="A285" s="2">
        <v>42877</v>
      </c>
      <c r="B285">
        <v>2387.2099609375</v>
      </c>
      <c r="C285">
        <v>2395.4599609375</v>
      </c>
      <c r="D285">
        <v>2386.919921875</v>
      </c>
      <c r="E285">
        <v>2394.02001953125</v>
      </c>
      <c r="F285">
        <v>2394.02001953125</v>
      </c>
      <c r="G285">
        <v>3176580000</v>
      </c>
      <c r="H285">
        <v>0</v>
      </c>
      <c r="I285">
        <v>0</v>
      </c>
      <c r="K285" s="11">
        <f t="shared" si="4"/>
        <v>5.1601311497457836E-3</v>
      </c>
    </row>
    <row r="286" spans="1:11" x14ac:dyDescent="0.2">
      <c r="A286" s="2">
        <v>42878</v>
      </c>
      <c r="B286">
        <v>2397.0400390625</v>
      </c>
      <c r="C286">
        <v>2400.85009765625</v>
      </c>
      <c r="D286">
        <v>2393.8798828125</v>
      </c>
      <c r="E286">
        <v>2398.419921875</v>
      </c>
      <c r="F286">
        <v>2398.419921875</v>
      </c>
      <c r="G286">
        <v>3216560000</v>
      </c>
      <c r="H286">
        <v>0</v>
      </c>
      <c r="I286">
        <v>0</v>
      </c>
      <c r="K286" s="11">
        <f t="shared" si="4"/>
        <v>1.837871992654172E-3</v>
      </c>
    </row>
    <row r="287" spans="1:11" x14ac:dyDescent="0.2">
      <c r="A287" s="2">
        <v>42879</v>
      </c>
      <c r="B287">
        <v>2401.409912109375</v>
      </c>
      <c r="C287">
        <v>2405.580078125</v>
      </c>
      <c r="D287">
        <v>2397.989990234375</v>
      </c>
      <c r="E287">
        <v>2404.389892578125</v>
      </c>
      <c r="F287">
        <v>2404.389892578125</v>
      </c>
      <c r="G287">
        <v>3389240000</v>
      </c>
      <c r="H287">
        <v>0</v>
      </c>
      <c r="I287">
        <v>0</v>
      </c>
      <c r="K287" s="11">
        <f t="shared" si="4"/>
        <v>2.4891265489730419E-3</v>
      </c>
    </row>
    <row r="288" spans="1:11" x14ac:dyDescent="0.2">
      <c r="A288" s="2">
        <v>42880</v>
      </c>
      <c r="B288">
        <v>2409.5400390625</v>
      </c>
      <c r="C288">
        <v>2418.7099609375</v>
      </c>
      <c r="D288">
        <v>2408.010009765625</v>
      </c>
      <c r="E288">
        <v>2415.070068359375</v>
      </c>
      <c r="F288">
        <v>2415.070068359375</v>
      </c>
      <c r="G288">
        <v>3538210000</v>
      </c>
      <c r="H288">
        <v>0</v>
      </c>
      <c r="I288">
        <v>0</v>
      </c>
      <c r="K288" s="11">
        <f t="shared" si="4"/>
        <v>4.44194837709877E-3</v>
      </c>
    </row>
    <row r="289" spans="1:11" x14ac:dyDescent="0.2">
      <c r="A289" s="2">
        <v>42881</v>
      </c>
      <c r="B289">
        <v>2414.5</v>
      </c>
      <c r="C289">
        <v>2416.679931640625</v>
      </c>
      <c r="D289">
        <v>2412.199951171875</v>
      </c>
      <c r="E289">
        <v>2415.820068359375</v>
      </c>
      <c r="F289">
        <v>2415.820068359375</v>
      </c>
      <c r="G289">
        <v>2806930000</v>
      </c>
      <c r="H289">
        <v>0</v>
      </c>
      <c r="I289">
        <v>0</v>
      </c>
      <c r="K289" s="11">
        <f t="shared" si="4"/>
        <v>3.1054999597146526E-4</v>
      </c>
    </row>
    <row r="290" spans="1:11" x14ac:dyDescent="0.2">
      <c r="A290" s="2">
        <v>42885</v>
      </c>
      <c r="B290">
        <v>2411.669921875</v>
      </c>
      <c r="C290">
        <v>2415.260009765625</v>
      </c>
      <c r="D290">
        <v>2409.429931640625</v>
      </c>
      <c r="E290">
        <v>2412.909912109375</v>
      </c>
      <c r="F290">
        <v>2412.909912109375</v>
      </c>
      <c r="G290">
        <v>3205860000</v>
      </c>
      <c r="H290">
        <v>0</v>
      </c>
      <c r="I290">
        <v>0</v>
      </c>
      <c r="K290" s="11">
        <f t="shared" si="4"/>
        <v>-1.2046245861250249E-3</v>
      </c>
    </row>
    <row r="291" spans="1:11" x14ac:dyDescent="0.2">
      <c r="A291" s="2">
        <v>42886</v>
      </c>
      <c r="B291">
        <v>2415.6298828125</v>
      </c>
      <c r="C291">
        <v>2415.989990234375</v>
      </c>
      <c r="D291">
        <v>2403.590087890625</v>
      </c>
      <c r="E291">
        <v>2411.800048828125</v>
      </c>
      <c r="F291">
        <v>2411.800048828125</v>
      </c>
      <c r="G291">
        <v>4518040000</v>
      </c>
      <c r="H291">
        <v>0</v>
      </c>
      <c r="I291">
        <v>0</v>
      </c>
      <c r="K291" s="11">
        <f t="shared" si="4"/>
        <v>-4.5996880185206201E-4</v>
      </c>
    </row>
    <row r="292" spans="1:11" x14ac:dyDescent="0.2">
      <c r="A292" s="2">
        <v>42887</v>
      </c>
      <c r="B292">
        <v>2415.64990234375</v>
      </c>
      <c r="C292">
        <v>2430.06005859375</v>
      </c>
      <c r="D292">
        <v>2413.5400390625</v>
      </c>
      <c r="E292">
        <v>2430.06005859375</v>
      </c>
      <c r="F292">
        <v>2430.06005859375</v>
      </c>
      <c r="G292">
        <v>3860620000</v>
      </c>
      <c r="H292">
        <v>0</v>
      </c>
      <c r="I292">
        <v>0</v>
      </c>
      <c r="K292" s="11">
        <f t="shared" si="4"/>
        <v>7.5711126113033878E-3</v>
      </c>
    </row>
    <row r="293" spans="1:11" x14ac:dyDescent="0.2">
      <c r="A293" s="2">
        <v>42888</v>
      </c>
      <c r="B293">
        <v>2431.280029296875</v>
      </c>
      <c r="C293">
        <v>2440.22998046875</v>
      </c>
      <c r="D293">
        <v>2427.7099609375</v>
      </c>
      <c r="E293">
        <v>2439.070068359375</v>
      </c>
      <c r="F293">
        <v>2439.070068359375</v>
      </c>
      <c r="G293">
        <v>3465500000</v>
      </c>
      <c r="H293">
        <v>0</v>
      </c>
      <c r="I293">
        <v>0</v>
      </c>
      <c r="K293" s="11">
        <f t="shared" si="4"/>
        <v>3.7077313104922904E-3</v>
      </c>
    </row>
    <row r="294" spans="1:11" x14ac:dyDescent="0.2">
      <c r="A294" s="2">
        <v>42891</v>
      </c>
      <c r="B294">
        <v>2437.830078125</v>
      </c>
      <c r="C294">
        <v>2439.550048828125</v>
      </c>
      <c r="D294">
        <v>2434.320068359375</v>
      </c>
      <c r="E294">
        <v>2436.10009765625</v>
      </c>
      <c r="F294">
        <v>2436.10009765625</v>
      </c>
      <c r="G294">
        <v>2916720000</v>
      </c>
      <c r="H294">
        <v>0</v>
      </c>
      <c r="I294">
        <v>0</v>
      </c>
      <c r="K294" s="11">
        <f t="shared" si="4"/>
        <v>-1.217665183814387E-3</v>
      </c>
    </row>
    <row r="295" spans="1:11" x14ac:dyDescent="0.2">
      <c r="A295" s="2">
        <v>42892</v>
      </c>
      <c r="B295">
        <v>2431.919921875</v>
      </c>
      <c r="C295">
        <v>2436.2099609375</v>
      </c>
      <c r="D295">
        <v>2428.1201171875</v>
      </c>
      <c r="E295">
        <v>2429.330078125</v>
      </c>
      <c r="F295">
        <v>2429.330078125</v>
      </c>
      <c r="G295">
        <v>3376750000</v>
      </c>
      <c r="H295">
        <v>0</v>
      </c>
      <c r="I295">
        <v>0</v>
      </c>
      <c r="K295" s="11">
        <f t="shared" si="4"/>
        <v>-2.7790399654609166E-3</v>
      </c>
    </row>
    <row r="296" spans="1:11" x14ac:dyDescent="0.2">
      <c r="A296" s="2">
        <v>42893</v>
      </c>
      <c r="B296">
        <v>2432.030029296875</v>
      </c>
      <c r="C296">
        <v>2435.280029296875</v>
      </c>
      <c r="D296">
        <v>2424.75</v>
      </c>
      <c r="E296">
        <v>2433.139892578125</v>
      </c>
      <c r="F296">
        <v>2433.139892578125</v>
      </c>
      <c r="G296">
        <v>3576220000</v>
      </c>
      <c r="H296">
        <v>0</v>
      </c>
      <c r="I296">
        <v>0</v>
      </c>
      <c r="K296" s="11">
        <f t="shared" si="4"/>
        <v>1.5682572275503848E-3</v>
      </c>
    </row>
    <row r="297" spans="1:11" x14ac:dyDescent="0.2">
      <c r="A297" s="2">
        <v>42894</v>
      </c>
      <c r="B297">
        <v>2434.27001953125</v>
      </c>
      <c r="C297">
        <v>2439.27001953125</v>
      </c>
      <c r="D297">
        <v>2427.93994140625</v>
      </c>
      <c r="E297">
        <v>2433.7900390625</v>
      </c>
      <c r="F297">
        <v>2433.7900390625</v>
      </c>
      <c r="G297">
        <v>3735980000</v>
      </c>
      <c r="H297">
        <v>0</v>
      </c>
      <c r="I297">
        <v>0</v>
      </c>
      <c r="K297" s="11">
        <f t="shared" si="4"/>
        <v>2.6720472849017796E-4</v>
      </c>
    </row>
    <row r="298" spans="1:11" x14ac:dyDescent="0.2">
      <c r="A298" s="2">
        <v>42895</v>
      </c>
      <c r="B298">
        <v>2436.389892578125</v>
      </c>
      <c r="C298">
        <v>2446.199951171875</v>
      </c>
      <c r="D298">
        <v>2415.699951171875</v>
      </c>
      <c r="E298">
        <v>2431.77001953125</v>
      </c>
      <c r="F298">
        <v>2431.77001953125</v>
      </c>
      <c r="G298">
        <v>4029860000</v>
      </c>
      <c r="H298">
        <v>0</v>
      </c>
      <c r="I298">
        <v>0</v>
      </c>
      <c r="K298" s="11">
        <f t="shared" si="4"/>
        <v>-8.2998923441568451E-4</v>
      </c>
    </row>
    <row r="299" spans="1:11" x14ac:dyDescent="0.2">
      <c r="A299" s="2">
        <v>42898</v>
      </c>
      <c r="B299">
        <v>2425.8798828125</v>
      </c>
      <c r="C299">
        <v>2430.3798828125</v>
      </c>
      <c r="D299">
        <v>2419.969970703125</v>
      </c>
      <c r="E299">
        <v>2429.389892578125</v>
      </c>
      <c r="F299">
        <v>2429.389892578125</v>
      </c>
      <c r="G299">
        <v>4031840000</v>
      </c>
      <c r="H299">
        <v>0</v>
      </c>
      <c r="I299">
        <v>0</v>
      </c>
      <c r="K299" s="11">
        <f t="shared" si="4"/>
        <v>-9.7876317826461889E-4</v>
      </c>
    </row>
    <row r="300" spans="1:11" x14ac:dyDescent="0.2">
      <c r="A300" s="2">
        <v>42899</v>
      </c>
      <c r="B300">
        <v>2434.14990234375</v>
      </c>
      <c r="C300">
        <v>2441.489990234375</v>
      </c>
      <c r="D300">
        <v>2431.280029296875</v>
      </c>
      <c r="E300">
        <v>2440.35009765625</v>
      </c>
      <c r="F300">
        <v>2440.35009765625</v>
      </c>
      <c r="G300">
        <v>3278240000</v>
      </c>
      <c r="H300">
        <v>0</v>
      </c>
      <c r="I300">
        <v>0</v>
      </c>
      <c r="K300" s="11">
        <f t="shared" si="4"/>
        <v>4.5115051773323422E-3</v>
      </c>
    </row>
    <row r="301" spans="1:11" x14ac:dyDescent="0.2">
      <c r="A301" s="2">
        <v>42900</v>
      </c>
      <c r="B301">
        <v>2443.75</v>
      </c>
      <c r="C301">
        <v>2443.75</v>
      </c>
      <c r="D301">
        <v>2428.340087890625</v>
      </c>
      <c r="E301">
        <v>2437.919921875</v>
      </c>
      <c r="F301">
        <v>2437.919921875</v>
      </c>
      <c r="G301">
        <v>3558640000</v>
      </c>
      <c r="H301">
        <v>0</v>
      </c>
      <c r="I301">
        <v>0</v>
      </c>
      <c r="K301" s="11">
        <f t="shared" si="4"/>
        <v>-9.9583079640253036E-4</v>
      </c>
    </row>
    <row r="302" spans="1:11" x14ac:dyDescent="0.2">
      <c r="A302" s="2">
        <v>42901</v>
      </c>
      <c r="B302">
        <v>2424.139892578125</v>
      </c>
      <c r="C302">
        <v>2433.949951171875</v>
      </c>
      <c r="D302">
        <v>2418.530029296875</v>
      </c>
      <c r="E302">
        <v>2432.4599609375</v>
      </c>
      <c r="F302">
        <v>2432.4599609375</v>
      </c>
      <c r="G302">
        <v>3371980000</v>
      </c>
      <c r="H302">
        <v>0</v>
      </c>
      <c r="I302">
        <v>0</v>
      </c>
      <c r="K302" s="11">
        <f t="shared" si="4"/>
        <v>-2.2395981461527104E-3</v>
      </c>
    </row>
    <row r="303" spans="1:11" x14ac:dyDescent="0.2">
      <c r="A303" s="2">
        <v>42902</v>
      </c>
      <c r="B303">
        <v>2431.239990234375</v>
      </c>
      <c r="C303">
        <v>2433.14990234375</v>
      </c>
      <c r="D303">
        <v>2422.8798828125</v>
      </c>
      <c r="E303">
        <v>2433.14990234375</v>
      </c>
      <c r="F303">
        <v>2433.14990234375</v>
      </c>
      <c r="G303">
        <v>5299380000</v>
      </c>
      <c r="H303">
        <v>0</v>
      </c>
      <c r="I303">
        <v>0</v>
      </c>
      <c r="K303" s="11">
        <f t="shared" si="4"/>
        <v>2.8363936810049672E-4</v>
      </c>
    </row>
    <row r="304" spans="1:11" x14ac:dyDescent="0.2">
      <c r="A304" s="2">
        <v>42905</v>
      </c>
      <c r="B304">
        <v>2442.550048828125</v>
      </c>
      <c r="C304">
        <v>2453.820068359375</v>
      </c>
      <c r="D304">
        <v>2441.7900390625</v>
      </c>
      <c r="E304">
        <v>2453.4599609375</v>
      </c>
      <c r="F304">
        <v>2453.4599609375</v>
      </c>
      <c r="G304">
        <v>3271480000</v>
      </c>
      <c r="H304">
        <v>0</v>
      </c>
      <c r="I304">
        <v>0</v>
      </c>
      <c r="K304" s="11">
        <f t="shared" si="4"/>
        <v>8.3472286578751831E-3</v>
      </c>
    </row>
    <row r="305" spans="1:11" x14ac:dyDescent="0.2">
      <c r="A305" s="2">
        <v>42906</v>
      </c>
      <c r="B305">
        <v>2450.659912109375</v>
      </c>
      <c r="C305">
        <v>2450.659912109375</v>
      </c>
      <c r="D305">
        <v>2436.60009765625</v>
      </c>
      <c r="E305">
        <v>2437.030029296875</v>
      </c>
      <c r="F305">
        <v>2437.030029296875</v>
      </c>
      <c r="G305">
        <v>3422700000</v>
      </c>
      <c r="H305">
        <v>0</v>
      </c>
      <c r="I305">
        <v>0</v>
      </c>
      <c r="K305" s="11">
        <f t="shared" si="4"/>
        <v>-6.6966373620162001E-3</v>
      </c>
    </row>
    <row r="306" spans="1:11" x14ac:dyDescent="0.2">
      <c r="A306" s="2">
        <v>42907</v>
      </c>
      <c r="B306">
        <v>2439.31005859375</v>
      </c>
      <c r="C306">
        <v>2442.22998046875</v>
      </c>
      <c r="D306">
        <v>2430.739990234375</v>
      </c>
      <c r="E306">
        <v>2435.610107421875</v>
      </c>
      <c r="F306">
        <v>2435.610107421875</v>
      </c>
      <c r="G306">
        <v>3599190000</v>
      </c>
      <c r="H306">
        <v>0</v>
      </c>
      <c r="I306">
        <v>0</v>
      </c>
      <c r="K306" s="11">
        <f t="shared" si="4"/>
        <v>-5.8264439006916469E-4</v>
      </c>
    </row>
    <row r="307" spans="1:11" x14ac:dyDescent="0.2">
      <c r="A307" s="2">
        <v>42908</v>
      </c>
      <c r="B307">
        <v>2437.39990234375</v>
      </c>
      <c r="C307">
        <v>2441.6201171875</v>
      </c>
      <c r="D307">
        <v>2433.27001953125</v>
      </c>
      <c r="E307">
        <v>2434.5</v>
      </c>
      <c r="F307">
        <v>2434.5</v>
      </c>
      <c r="G307">
        <v>3477250000</v>
      </c>
      <c r="H307">
        <v>0</v>
      </c>
      <c r="I307">
        <v>0</v>
      </c>
      <c r="K307" s="11">
        <f t="shared" si="4"/>
        <v>-4.5578207221763645E-4</v>
      </c>
    </row>
    <row r="308" spans="1:11" x14ac:dyDescent="0.2">
      <c r="A308" s="2">
        <v>42909</v>
      </c>
      <c r="B308">
        <v>2434.64990234375</v>
      </c>
      <c r="C308">
        <v>2441.39990234375</v>
      </c>
      <c r="D308">
        <v>2431.110107421875</v>
      </c>
      <c r="E308">
        <v>2438.300048828125</v>
      </c>
      <c r="F308">
        <v>2438.300048828125</v>
      </c>
      <c r="G308">
        <v>5282460000</v>
      </c>
      <c r="H308">
        <v>0</v>
      </c>
      <c r="I308">
        <v>0</v>
      </c>
      <c r="K308" s="11">
        <f t="shared" si="4"/>
        <v>1.5609155178168965E-3</v>
      </c>
    </row>
    <row r="309" spans="1:11" x14ac:dyDescent="0.2">
      <c r="A309" s="2">
        <v>42912</v>
      </c>
      <c r="B309">
        <v>2443.320068359375</v>
      </c>
      <c r="C309">
        <v>2450.419921875</v>
      </c>
      <c r="D309">
        <v>2437.030029296875</v>
      </c>
      <c r="E309">
        <v>2439.070068359375</v>
      </c>
      <c r="F309">
        <v>2439.070068359375</v>
      </c>
      <c r="G309">
        <v>3243660000</v>
      </c>
      <c r="H309">
        <v>0</v>
      </c>
      <c r="I309">
        <v>0</v>
      </c>
      <c r="K309" s="11">
        <f t="shared" si="4"/>
        <v>3.1580179462320501E-4</v>
      </c>
    </row>
    <row r="310" spans="1:11" x14ac:dyDescent="0.2">
      <c r="A310" s="2">
        <v>42913</v>
      </c>
      <c r="B310">
        <v>2436.340087890625</v>
      </c>
      <c r="C310">
        <v>2440.14990234375</v>
      </c>
      <c r="D310">
        <v>2419.3798828125</v>
      </c>
      <c r="E310">
        <v>2419.3798828125</v>
      </c>
      <c r="F310">
        <v>2419.3798828125</v>
      </c>
      <c r="G310">
        <v>3564770000</v>
      </c>
      <c r="H310">
        <v>0</v>
      </c>
      <c r="I310">
        <v>0</v>
      </c>
      <c r="K310" s="11">
        <f t="shared" si="4"/>
        <v>-8.0728248861335894E-3</v>
      </c>
    </row>
    <row r="311" spans="1:11" x14ac:dyDescent="0.2">
      <c r="A311" s="2">
        <v>42914</v>
      </c>
      <c r="B311">
        <v>2428.699951171875</v>
      </c>
      <c r="C311">
        <v>2442.969970703125</v>
      </c>
      <c r="D311">
        <v>2428.02001953125</v>
      </c>
      <c r="E311">
        <v>2440.68994140625</v>
      </c>
      <c r="F311">
        <v>2440.68994140625</v>
      </c>
      <c r="G311">
        <v>3479980000</v>
      </c>
      <c r="H311">
        <v>0</v>
      </c>
      <c r="I311">
        <v>0</v>
      </c>
      <c r="K311" s="11">
        <f t="shared" si="4"/>
        <v>8.8080663748337784E-3</v>
      </c>
    </row>
    <row r="312" spans="1:11" x14ac:dyDescent="0.2">
      <c r="A312" s="2">
        <v>42915</v>
      </c>
      <c r="B312">
        <v>2442.3798828125</v>
      </c>
      <c r="C312">
        <v>2442.72998046875</v>
      </c>
      <c r="D312">
        <v>2405.699951171875</v>
      </c>
      <c r="E312">
        <v>2419.699951171875</v>
      </c>
      <c r="F312">
        <v>2419.699951171875</v>
      </c>
      <c r="G312">
        <v>3869560000</v>
      </c>
      <c r="H312">
        <v>0</v>
      </c>
      <c r="I312">
        <v>0</v>
      </c>
      <c r="K312" s="11">
        <f t="shared" si="4"/>
        <v>-8.6000232468206317E-3</v>
      </c>
    </row>
    <row r="313" spans="1:11" x14ac:dyDescent="0.2">
      <c r="A313" s="2">
        <v>42916</v>
      </c>
      <c r="B313">
        <v>2429.199951171875</v>
      </c>
      <c r="C313">
        <v>2432.7099609375</v>
      </c>
      <c r="D313">
        <v>2421.64990234375</v>
      </c>
      <c r="E313">
        <v>2423.409912109375</v>
      </c>
      <c r="F313">
        <v>2423.409912109375</v>
      </c>
      <c r="G313">
        <v>3366030000</v>
      </c>
      <c r="H313">
        <v>0</v>
      </c>
      <c r="I313">
        <v>0</v>
      </c>
      <c r="K313" s="11">
        <f t="shared" si="4"/>
        <v>1.5332318107057485E-3</v>
      </c>
    </row>
    <row r="314" spans="1:11" x14ac:dyDescent="0.2">
      <c r="A314" s="2">
        <v>42919</v>
      </c>
      <c r="B314">
        <v>2431.389892578125</v>
      </c>
      <c r="C314">
        <v>2439.169921875</v>
      </c>
      <c r="D314">
        <v>2428.68994140625</v>
      </c>
      <c r="E314">
        <v>2429.010009765625</v>
      </c>
      <c r="F314">
        <v>2429.010009765625</v>
      </c>
      <c r="G314">
        <v>1901480000</v>
      </c>
      <c r="H314">
        <v>0</v>
      </c>
      <c r="I314">
        <v>0</v>
      </c>
      <c r="K314" s="11">
        <f t="shared" si="4"/>
        <v>2.3108338495552161E-3</v>
      </c>
    </row>
    <row r="315" spans="1:11" x14ac:dyDescent="0.2">
      <c r="A315" s="2">
        <v>42921</v>
      </c>
      <c r="B315">
        <v>2430.780029296875</v>
      </c>
      <c r="C315">
        <v>2434.89990234375</v>
      </c>
      <c r="D315">
        <v>2422.050048828125</v>
      </c>
      <c r="E315">
        <v>2432.5400390625</v>
      </c>
      <c r="F315">
        <v>2432.5400390625</v>
      </c>
      <c r="G315">
        <v>3368150000</v>
      </c>
      <c r="H315">
        <v>0</v>
      </c>
      <c r="I315">
        <v>0</v>
      </c>
      <c r="K315" s="11">
        <f t="shared" si="4"/>
        <v>1.453279024245635E-3</v>
      </c>
    </row>
    <row r="316" spans="1:11" x14ac:dyDescent="0.2">
      <c r="A316" s="2">
        <v>42922</v>
      </c>
      <c r="B316">
        <v>2423.43994140625</v>
      </c>
      <c r="C316">
        <v>2424.280029296875</v>
      </c>
      <c r="D316">
        <v>2407.699951171875</v>
      </c>
      <c r="E316">
        <v>2409.75</v>
      </c>
      <c r="F316">
        <v>2409.75</v>
      </c>
      <c r="G316">
        <v>3368710000</v>
      </c>
      <c r="H316">
        <v>0</v>
      </c>
      <c r="I316">
        <v>0</v>
      </c>
      <c r="K316" s="11">
        <f t="shared" si="4"/>
        <v>-9.3688238205867913E-3</v>
      </c>
    </row>
    <row r="317" spans="1:11" x14ac:dyDescent="0.2">
      <c r="A317" s="2">
        <v>42923</v>
      </c>
      <c r="B317">
        <v>2413.52001953125</v>
      </c>
      <c r="C317">
        <v>2426.919921875</v>
      </c>
      <c r="D317">
        <v>2413.52001953125</v>
      </c>
      <c r="E317">
        <v>2425.179931640625</v>
      </c>
      <c r="F317">
        <v>2425.179931640625</v>
      </c>
      <c r="G317">
        <v>2929390000</v>
      </c>
      <c r="H317">
        <v>0</v>
      </c>
      <c r="I317">
        <v>0</v>
      </c>
      <c r="K317" s="11">
        <f t="shared" si="4"/>
        <v>6.4031254863057274E-3</v>
      </c>
    </row>
    <row r="318" spans="1:11" x14ac:dyDescent="0.2">
      <c r="A318" s="2">
        <v>42926</v>
      </c>
      <c r="B318">
        <v>2424.510009765625</v>
      </c>
      <c r="C318">
        <v>2432</v>
      </c>
      <c r="D318">
        <v>2422.27001953125</v>
      </c>
      <c r="E318">
        <v>2427.429931640625</v>
      </c>
      <c r="F318">
        <v>2427.429931640625</v>
      </c>
      <c r="G318">
        <v>3009880000</v>
      </c>
      <c r="H318">
        <v>0</v>
      </c>
      <c r="I318">
        <v>0</v>
      </c>
      <c r="K318" s="11">
        <f t="shared" si="4"/>
        <v>9.2776621257861791E-4</v>
      </c>
    </row>
    <row r="319" spans="1:11" x14ac:dyDescent="0.2">
      <c r="A319" s="2">
        <v>42927</v>
      </c>
      <c r="B319">
        <v>2427.35009765625</v>
      </c>
      <c r="C319">
        <v>2429.300048828125</v>
      </c>
      <c r="D319">
        <v>2412.7900390625</v>
      </c>
      <c r="E319">
        <v>2425.530029296875</v>
      </c>
      <c r="F319">
        <v>2425.530029296875</v>
      </c>
      <c r="G319">
        <v>3108800000</v>
      </c>
      <c r="H319">
        <v>0</v>
      </c>
      <c r="I319">
        <v>0</v>
      </c>
      <c r="K319" s="11">
        <f t="shared" si="4"/>
        <v>-7.8268061169783909E-4</v>
      </c>
    </row>
    <row r="320" spans="1:11" x14ac:dyDescent="0.2">
      <c r="A320" s="2">
        <v>42928</v>
      </c>
      <c r="B320">
        <v>2435.75</v>
      </c>
      <c r="C320">
        <v>2445.760009765625</v>
      </c>
      <c r="D320">
        <v>2435.75</v>
      </c>
      <c r="E320">
        <v>2443.25</v>
      </c>
      <c r="F320">
        <v>2443.25</v>
      </c>
      <c r="G320">
        <v>3176900000</v>
      </c>
      <c r="H320">
        <v>0</v>
      </c>
      <c r="I320">
        <v>0</v>
      </c>
      <c r="K320" s="11">
        <f t="shared" si="4"/>
        <v>7.3056076358954947E-3</v>
      </c>
    </row>
    <row r="321" spans="1:11" x14ac:dyDescent="0.2">
      <c r="A321" s="2">
        <v>42929</v>
      </c>
      <c r="B321">
        <v>2444.989990234375</v>
      </c>
      <c r="C321">
        <v>2449.320068359375</v>
      </c>
      <c r="D321">
        <v>2441.68994140625</v>
      </c>
      <c r="E321">
        <v>2447.830078125</v>
      </c>
      <c r="F321">
        <v>2447.830078125</v>
      </c>
      <c r="G321">
        <v>3068510000</v>
      </c>
      <c r="H321">
        <v>0</v>
      </c>
      <c r="I321">
        <v>0</v>
      </c>
      <c r="K321" s="11">
        <f t="shared" si="4"/>
        <v>1.8745843139260643E-3</v>
      </c>
    </row>
    <row r="322" spans="1:11" x14ac:dyDescent="0.2">
      <c r="A322" s="2">
        <v>42930</v>
      </c>
      <c r="B322">
        <v>2449.159912109375</v>
      </c>
      <c r="C322">
        <v>2463.5400390625</v>
      </c>
      <c r="D322">
        <v>2446.68994140625</v>
      </c>
      <c r="E322">
        <v>2459.27001953125</v>
      </c>
      <c r="F322">
        <v>2459.27001953125</v>
      </c>
      <c r="G322">
        <v>2738460000</v>
      </c>
      <c r="H322">
        <v>0</v>
      </c>
      <c r="I322">
        <v>0</v>
      </c>
      <c r="K322" s="11">
        <f t="shared" si="4"/>
        <v>4.6735030786992926E-3</v>
      </c>
    </row>
    <row r="323" spans="1:11" x14ac:dyDescent="0.2">
      <c r="A323" s="2">
        <v>42933</v>
      </c>
      <c r="B323">
        <v>2459.5</v>
      </c>
      <c r="C323">
        <v>2462.820068359375</v>
      </c>
      <c r="D323">
        <v>2457.159912109375</v>
      </c>
      <c r="E323">
        <v>2459.139892578125</v>
      </c>
      <c r="F323">
        <v>2459.139892578125</v>
      </c>
      <c r="G323">
        <v>2800580000</v>
      </c>
      <c r="H323">
        <v>0</v>
      </c>
      <c r="I323">
        <v>0</v>
      </c>
      <c r="K323" s="11">
        <f t="shared" si="4"/>
        <v>-5.291283677333336E-5</v>
      </c>
    </row>
    <row r="324" spans="1:11" x14ac:dyDescent="0.2">
      <c r="A324" s="2">
        <v>42934</v>
      </c>
      <c r="B324">
        <v>2455.8798828125</v>
      </c>
      <c r="C324">
        <v>2460.919921875</v>
      </c>
      <c r="D324">
        <v>2450.340087890625</v>
      </c>
      <c r="E324">
        <v>2460.610107421875</v>
      </c>
      <c r="F324">
        <v>2460.610107421875</v>
      </c>
      <c r="G324">
        <v>2974090000</v>
      </c>
      <c r="H324">
        <v>0</v>
      </c>
      <c r="I324">
        <v>0</v>
      </c>
      <c r="K324" s="11">
        <f t="shared" ref="K324:K387" si="5">(E324/E323)-1</f>
        <v>5.9785734361317289E-4</v>
      </c>
    </row>
    <row r="325" spans="1:11" x14ac:dyDescent="0.2">
      <c r="A325" s="2">
        <v>42935</v>
      </c>
      <c r="B325">
        <v>2463.85009765625</v>
      </c>
      <c r="C325">
        <v>2473.830078125</v>
      </c>
      <c r="D325">
        <v>2463.85009765625</v>
      </c>
      <c r="E325">
        <v>2473.830078125</v>
      </c>
      <c r="F325">
        <v>2473.830078125</v>
      </c>
      <c r="G325">
        <v>3063810000</v>
      </c>
      <c r="H325">
        <v>0</v>
      </c>
      <c r="I325">
        <v>0</v>
      </c>
      <c r="K325" s="11">
        <f t="shared" si="5"/>
        <v>5.372639356088893E-3</v>
      </c>
    </row>
    <row r="326" spans="1:11" x14ac:dyDescent="0.2">
      <c r="A326" s="2">
        <v>42936</v>
      </c>
      <c r="B326">
        <v>2475.56005859375</v>
      </c>
      <c r="C326">
        <v>2477.6201171875</v>
      </c>
      <c r="D326">
        <v>2468.429931640625</v>
      </c>
      <c r="E326">
        <v>2473.449951171875</v>
      </c>
      <c r="F326">
        <v>2473.449951171875</v>
      </c>
      <c r="G326">
        <v>3223820000</v>
      </c>
      <c r="H326">
        <v>0</v>
      </c>
      <c r="I326">
        <v>0</v>
      </c>
      <c r="K326" s="11">
        <f t="shared" si="5"/>
        <v>-1.5365928181010347E-4</v>
      </c>
    </row>
    <row r="327" spans="1:11" x14ac:dyDescent="0.2">
      <c r="A327" s="2">
        <v>42937</v>
      </c>
      <c r="B327">
        <v>2467.39990234375</v>
      </c>
      <c r="C327">
        <v>2472.5400390625</v>
      </c>
      <c r="D327">
        <v>2465.06005859375</v>
      </c>
      <c r="E327">
        <v>2472.5400390625</v>
      </c>
      <c r="F327">
        <v>2472.5400390625</v>
      </c>
      <c r="G327">
        <v>3066880000</v>
      </c>
      <c r="H327">
        <v>0</v>
      </c>
      <c r="I327">
        <v>0</v>
      </c>
      <c r="K327" s="11">
        <f t="shared" si="5"/>
        <v>-3.6787164783502746E-4</v>
      </c>
    </row>
    <row r="328" spans="1:11" x14ac:dyDescent="0.2">
      <c r="A328" s="2">
        <v>42940</v>
      </c>
      <c r="B328">
        <v>2472.0400390625</v>
      </c>
      <c r="C328">
        <v>2473.10009765625</v>
      </c>
      <c r="D328">
        <v>2466.320068359375</v>
      </c>
      <c r="E328">
        <v>2469.909912109375</v>
      </c>
      <c r="F328">
        <v>2469.909912109375</v>
      </c>
      <c r="G328">
        <v>3019920000</v>
      </c>
      <c r="H328">
        <v>0</v>
      </c>
      <c r="I328">
        <v>0</v>
      </c>
      <c r="K328" s="11">
        <f t="shared" si="5"/>
        <v>-1.0637348279797232E-3</v>
      </c>
    </row>
    <row r="329" spans="1:11" x14ac:dyDescent="0.2">
      <c r="A329" s="2">
        <v>42941</v>
      </c>
      <c r="B329">
        <v>2477.8798828125</v>
      </c>
      <c r="C329">
        <v>2481.239990234375</v>
      </c>
      <c r="D329">
        <v>2474.909912109375</v>
      </c>
      <c r="E329">
        <v>2477.1298828125</v>
      </c>
      <c r="F329">
        <v>2477.1298828125</v>
      </c>
      <c r="G329">
        <v>4116360000</v>
      </c>
      <c r="H329">
        <v>0</v>
      </c>
      <c r="I329">
        <v>0</v>
      </c>
      <c r="K329" s="11">
        <f t="shared" si="5"/>
        <v>2.9231716783382211E-3</v>
      </c>
    </row>
    <row r="330" spans="1:11" x14ac:dyDescent="0.2">
      <c r="A330" s="2">
        <v>42942</v>
      </c>
      <c r="B330">
        <v>2479.969970703125</v>
      </c>
      <c r="C330">
        <v>2481.68994140625</v>
      </c>
      <c r="D330">
        <v>2474.93994140625</v>
      </c>
      <c r="E330">
        <v>2477.830078125</v>
      </c>
      <c r="F330">
        <v>2477.830078125</v>
      </c>
      <c r="G330">
        <v>3597830000</v>
      </c>
      <c r="H330">
        <v>0</v>
      </c>
      <c r="I330">
        <v>0</v>
      </c>
      <c r="K330" s="11">
        <f t="shared" si="5"/>
        <v>2.8266394804665751E-4</v>
      </c>
    </row>
    <row r="331" spans="1:11" x14ac:dyDescent="0.2">
      <c r="A331" s="2">
        <v>42943</v>
      </c>
      <c r="B331">
        <v>2482.760009765625</v>
      </c>
      <c r="C331">
        <v>2484.0400390625</v>
      </c>
      <c r="D331">
        <v>2459.929931640625</v>
      </c>
      <c r="E331">
        <v>2475.419921875</v>
      </c>
      <c r="F331">
        <v>2475.419921875</v>
      </c>
      <c r="G331">
        <v>4035740000</v>
      </c>
      <c r="H331">
        <v>0</v>
      </c>
      <c r="I331">
        <v>0</v>
      </c>
      <c r="K331" s="11">
        <f t="shared" si="5"/>
        <v>-9.7268826917451534E-4</v>
      </c>
    </row>
    <row r="332" spans="1:11" x14ac:dyDescent="0.2">
      <c r="A332" s="2">
        <v>42944</v>
      </c>
      <c r="B332">
        <v>2469.1201171875</v>
      </c>
      <c r="C332">
        <v>2473.530029296875</v>
      </c>
      <c r="D332">
        <v>2464.659912109375</v>
      </c>
      <c r="E332">
        <v>2472.10009765625</v>
      </c>
      <c r="F332">
        <v>2472.10009765625</v>
      </c>
      <c r="G332">
        <v>3302850000</v>
      </c>
      <c r="H332">
        <v>0</v>
      </c>
      <c r="I332">
        <v>0</v>
      </c>
      <c r="K332" s="11">
        <f t="shared" si="5"/>
        <v>-1.3411155777705019E-3</v>
      </c>
    </row>
    <row r="333" spans="1:11" x14ac:dyDescent="0.2">
      <c r="A333" s="2">
        <v>42947</v>
      </c>
      <c r="B333">
        <v>2475.93994140625</v>
      </c>
      <c r="C333">
        <v>2477.9599609375</v>
      </c>
      <c r="D333">
        <v>2468.530029296875</v>
      </c>
      <c r="E333">
        <v>2470.300048828125</v>
      </c>
      <c r="F333">
        <v>2470.300048828125</v>
      </c>
      <c r="G333">
        <v>3475930000</v>
      </c>
      <c r="H333">
        <v>0</v>
      </c>
      <c r="I333">
        <v>0</v>
      </c>
      <c r="K333" s="11">
        <f t="shared" si="5"/>
        <v>-7.2814560778977633E-4</v>
      </c>
    </row>
    <row r="334" spans="1:11" x14ac:dyDescent="0.2">
      <c r="A334" s="2">
        <v>42948</v>
      </c>
      <c r="B334">
        <v>2477.10009765625</v>
      </c>
      <c r="C334">
        <v>2478.510009765625</v>
      </c>
      <c r="D334">
        <v>2471.139892578125</v>
      </c>
      <c r="E334">
        <v>2476.35009765625</v>
      </c>
      <c r="F334">
        <v>2476.35009765625</v>
      </c>
      <c r="G334">
        <v>3470260000</v>
      </c>
      <c r="H334">
        <v>0</v>
      </c>
      <c r="I334">
        <v>0</v>
      </c>
      <c r="K334" s="11">
        <f t="shared" si="5"/>
        <v>2.4491149692504877E-3</v>
      </c>
    </row>
    <row r="335" spans="1:11" x14ac:dyDescent="0.2">
      <c r="A335" s="2">
        <v>42949</v>
      </c>
      <c r="B335">
        <v>2480.3798828125</v>
      </c>
      <c r="C335">
        <v>2480.3798828125</v>
      </c>
      <c r="D335">
        <v>2466.47998046875</v>
      </c>
      <c r="E335">
        <v>2477.570068359375</v>
      </c>
      <c r="F335">
        <v>2477.570068359375</v>
      </c>
      <c r="G335">
        <v>3487150000</v>
      </c>
      <c r="H335">
        <v>0</v>
      </c>
      <c r="I335">
        <v>0</v>
      </c>
      <c r="K335" s="11">
        <f t="shared" si="5"/>
        <v>4.9264871888654582E-4</v>
      </c>
    </row>
    <row r="336" spans="1:11" x14ac:dyDescent="0.2">
      <c r="A336" s="2">
        <v>42950</v>
      </c>
      <c r="B336">
        <v>2476.030029296875</v>
      </c>
      <c r="C336">
        <v>2476.030029296875</v>
      </c>
      <c r="D336">
        <v>2468.85009765625</v>
      </c>
      <c r="E336">
        <v>2472.159912109375</v>
      </c>
      <c r="F336">
        <v>2472.159912109375</v>
      </c>
      <c r="G336">
        <v>3662410000</v>
      </c>
      <c r="H336">
        <v>0</v>
      </c>
      <c r="I336">
        <v>0</v>
      </c>
      <c r="K336" s="11">
        <f t="shared" si="5"/>
        <v>-2.1836541856442571E-3</v>
      </c>
    </row>
    <row r="337" spans="1:11" x14ac:dyDescent="0.2">
      <c r="A337" s="2">
        <v>42951</v>
      </c>
      <c r="B337">
        <v>2476.8798828125</v>
      </c>
      <c r="C337">
        <v>2480</v>
      </c>
      <c r="D337">
        <v>2472.080078125</v>
      </c>
      <c r="E337">
        <v>2476.830078125</v>
      </c>
      <c r="F337">
        <v>2476.830078125</v>
      </c>
      <c r="G337">
        <v>3239980000</v>
      </c>
      <c r="H337">
        <v>0</v>
      </c>
      <c r="I337">
        <v>0</v>
      </c>
      <c r="K337" s="11">
        <f t="shared" si="5"/>
        <v>1.8891035295691694E-3</v>
      </c>
    </row>
    <row r="338" spans="1:11" x14ac:dyDescent="0.2">
      <c r="A338" s="2">
        <v>42954</v>
      </c>
      <c r="B338">
        <v>2477.139892578125</v>
      </c>
      <c r="C338">
        <v>2480.949951171875</v>
      </c>
      <c r="D338">
        <v>2475.8798828125</v>
      </c>
      <c r="E338">
        <v>2480.909912109375</v>
      </c>
      <c r="F338">
        <v>2480.909912109375</v>
      </c>
      <c r="G338">
        <v>2935130000</v>
      </c>
      <c r="H338">
        <v>0</v>
      </c>
      <c r="I338">
        <v>0</v>
      </c>
      <c r="K338" s="11">
        <f t="shared" si="5"/>
        <v>1.647199789928111E-3</v>
      </c>
    </row>
    <row r="339" spans="1:11" x14ac:dyDescent="0.2">
      <c r="A339" s="2">
        <v>42955</v>
      </c>
      <c r="B339">
        <v>2478.35009765625</v>
      </c>
      <c r="C339">
        <v>2490.8701171875</v>
      </c>
      <c r="D339">
        <v>2470.320068359375</v>
      </c>
      <c r="E339">
        <v>2474.919921875</v>
      </c>
      <c r="F339">
        <v>2474.919921875</v>
      </c>
      <c r="G339">
        <v>3347480000</v>
      </c>
      <c r="H339">
        <v>0</v>
      </c>
      <c r="I339">
        <v>0</v>
      </c>
      <c r="K339" s="11">
        <f t="shared" si="5"/>
        <v>-2.4144327873969473E-3</v>
      </c>
    </row>
    <row r="340" spans="1:11" x14ac:dyDescent="0.2">
      <c r="A340" s="2">
        <v>42956</v>
      </c>
      <c r="B340">
        <v>2465.35009765625</v>
      </c>
      <c r="C340">
        <v>2474.409912109375</v>
      </c>
      <c r="D340">
        <v>2462.080078125</v>
      </c>
      <c r="E340">
        <v>2474.02001953125</v>
      </c>
      <c r="F340">
        <v>2474.02001953125</v>
      </c>
      <c r="G340">
        <v>3310960000</v>
      </c>
      <c r="H340">
        <v>0</v>
      </c>
      <c r="I340">
        <v>0</v>
      </c>
      <c r="K340" s="11">
        <f t="shared" si="5"/>
        <v>-3.6360867105078576E-4</v>
      </c>
    </row>
    <row r="341" spans="1:11" x14ac:dyDescent="0.2">
      <c r="A341" s="2">
        <v>42957</v>
      </c>
      <c r="B341">
        <v>2465.3798828125</v>
      </c>
      <c r="C341">
        <v>2465.3798828125</v>
      </c>
      <c r="D341">
        <v>2437.75</v>
      </c>
      <c r="E341">
        <v>2438.2099609375</v>
      </c>
      <c r="F341">
        <v>2438.2099609375</v>
      </c>
      <c r="G341">
        <v>3635820000</v>
      </c>
      <c r="H341">
        <v>0</v>
      </c>
      <c r="I341">
        <v>0</v>
      </c>
      <c r="K341" s="11">
        <f t="shared" si="5"/>
        <v>-1.4474441722801767E-2</v>
      </c>
    </row>
    <row r="342" spans="1:11" x14ac:dyDescent="0.2">
      <c r="A342" s="2">
        <v>42958</v>
      </c>
      <c r="B342">
        <v>2441.0400390625</v>
      </c>
      <c r="C342">
        <v>2448.090087890625</v>
      </c>
      <c r="D342">
        <v>2437.85009765625</v>
      </c>
      <c r="E342">
        <v>2441.320068359375</v>
      </c>
      <c r="F342">
        <v>2441.320068359375</v>
      </c>
      <c r="G342">
        <v>3161830000</v>
      </c>
      <c r="H342">
        <v>0</v>
      </c>
      <c r="I342">
        <v>0</v>
      </c>
      <c r="K342" s="11">
        <f t="shared" si="5"/>
        <v>1.2755699762128092E-3</v>
      </c>
    </row>
    <row r="343" spans="1:11" x14ac:dyDescent="0.2">
      <c r="A343" s="2">
        <v>42961</v>
      </c>
      <c r="B343">
        <v>2454.9599609375</v>
      </c>
      <c r="C343">
        <v>2468.219970703125</v>
      </c>
      <c r="D343">
        <v>2454.9599609375</v>
      </c>
      <c r="E343">
        <v>2465.840087890625</v>
      </c>
      <c r="F343">
        <v>2465.840087890625</v>
      </c>
      <c r="G343">
        <v>2824320000</v>
      </c>
      <c r="H343">
        <v>0</v>
      </c>
      <c r="I343">
        <v>0</v>
      </c>
      <c r="K343" s="11">
        <f t="shared" si="5"/>
        <v>1.0043754544535322E-2</v>
      </c>
    </row>
    <row r="344" spans="1:11" x14ac:dyDescent="0.2">
      <c r="A344" s="2">
        <v>42962</v>
      </c>
      <c r="B344">
        <v>2468.659912109375</v>
      </c>
      <c r="C344">
        <v>2468.89990234375</v>
      </c>
      <c r="D344">
        <v>2461.610107421875</v>
      </c>
      <c r="E344">
        <v>2464.610107421875</v>
      </c>
      <c r="F344">
        <v>2464.610107421875</v>
      </c>
      <c r="G344">
        <v>2922430000</v>
      </c>
      <c r="H344">
        <v>0</v>
      </c>
      <c r="I344">
        <v>0</v>
      </c>
      <c r="K344" s="11">
        <f t="shared" si="5"/>
        <v>-4.9880788084766259E-4</v>
      </c>
    </row>
    <row r="345" spans="1:11" x14ac:dyDescent="0.2">
      <c r="A345" s="2">
        <v>42963</v>
      </c>
      <c r="B345">
        <v>2468.6298828125</v>
      </c>
      <c r="C345">
        <v>2474.929931640625</v>
      </c>
      <c r="D345">
        <v>2463.860107421875</v>
      </c>
      <c r="E345">
        <v>2468.110107421875</v>
      </c>
      <c r="F345">
        <v>2468.110107421875</v>
      </c>
      <c r="G345">
        <v>2956570000</v>
      </c>
      <c r="H345">
        <v>0</v>
      </c>
      <c r="I345">
        <v>0</v>
      </c>
      <c r="K345" s="11">
        <f t="shared" si="5"/>
        <v>1.4201029158569245E-3</v>
      </c>
    </row>
    <row r="346" spans="1:11" x14ac:dyDescent="0.2">
      <c r="A346" s="2">
        <v>42964</v>
      </c>
      <c r="B346">
        <v>2462.949951171875</v>
      </c>
      <c r="C346">
        <v>2465.02001953125</v>
      </c>
      <c r="D346">
        <v>2430.010009765625</v>
      </c>
      <c r="E346">
        <v>2430.010009765625</v>
      </c>
      <c r="F346">
        <v>2430.010009765625</v>
      </c>
      <c r="G346">
        <v>3164950000</v>
      </c>
      <c r="H346">
        <v>0</v>
      </c>
      <c r="I346">
        <v>0</v>
      </c>
      <c r="K346" s="11">
        <f t="shared" si="5"/>
        <v>-1.5436952160958639E-2</v>
      </c>
    </row>
    <row r="347" spans="1:11" x14ac:dyDescent="0.2">
      <c r="A347" s="2">
        <v>42965</v>
      </c>
      <c r="B347">
        <v>2427.639892578125</v>
      </c>
      <c r="C347">
        <v>2440.27001953125</v>
      </c>
      <c r="D347">
        <v>2420.68994140625</v>
      </c>
      <c r="E347">
        <v>2425.550048828125</v>
      </c>
      <c r="F347">
        <v>2425.550048828125</v>
      </c>
      <c r="G347">
        <v>3426970000</v>
      </c>
      <c r="H347">
        <v>0</v>
      </c>
      <c r="I347">
        <v>0</v>
      </c>
      <c r="K347" s="11">
        <f t="shared" si="5"/>
        <v>-1.8353673110713675E-3</v>
      </c>
    </row>
    <row r="348" spans="1:11" x14ac:dyDescent="0.2">
      <c r="A348" s="2">
        <v>42968</v>
      </c>
      <c r="B348">
        <v>2425.5</v>
      </c>
      <c r="C348">
        <v>2430.580078125</v>
      </c>
      <c r="D348">
        <v>2417.35009765625</v>
      </c>
      <c r="E348">
        <v>2428.3701171875</v>
      </c>
      <c r="F348">
        <v>2428.3701171875</v>
      </c>
      <c r="G348">
        <v>2803650000</v>
      </c>
      <c r="H348">
        <v>0</v>
      </c>
      <c r="I348">
        <v>0</v>
      </c>
      <c r="K348" s="11">
        <f t="shared" si="5"/>
        <v>1.162651069903653E-3</v>
      </c>
    </row>
    <row r="349" spans="1:11" x14ac:dyDescent="0.2">
      <c r="A349" s="2">
        <v>42969</v>
      </c>
      <c r="B349">
        <v>2433.75</v>
      </c>
      <c r="C349">
        <v>2454.77001953125</v>
      </c>
      <c r="D349">
        <v>2433.669921875</v>
      </c>
      <c r="E349">
        <v>2452.510009765625</v>
      </c>
      <c r="F349">
        <v>2452.510009765625</v>
      </c>
      <c r="G349">
        <v>2780990000</v>
      </c>
      <c r="H349">
        <v>0</v>
      </c>
      <c r="I349">
        <v>0</v>
      </c>
      <c r="K349" s="11">
        <f t="shared" si="5"/>
        <v>9.94077978775465E-3</v>
      </c>
    </row>
    <row r="350" spans="1:11" x14ac:dyDescent="0.2">
      <c r="A350" s="2">
        <v>42970</v>
      </c>
      <c r="B350">
        <v>2444.8798828125</v>
      </c>
      <c r="C350">
        <v>2448.909912109375</v>
      </c>
      <c r="D350">
        <v>2441.419921875</v>
      </c>
      <c r="E350">
        <v>2444.0400390625</v>
      </c>
      <c r="F350">
        <v>2444.0400390625</v>
      </c>
      <c r="G350">
        <v>2796950000</v>
      </c>
      <c r="H350">
        <v>0</v>
      </c>
      <c r="I350">
        <v>0</v>
      </c>
      <c r="K350" s="11">
        <f t="shared" si="5"/>
        <v>-3.4535927149730306E-3</v>
      </c>
    </row>
    <row r="351" spans="1:11" x14ac:dyDescent="0.2">
      <c r="A351" s="2">
        <v>42971</v>
      </c>
      <c r="B351">
        <v>2447.909912109375</v>
      </c>
      <c r="C351">
        <v>2450.389892578125</v>
      </c>
      <c r="D351">
        <v>2436.18994140625</v>
      </c>
      <c r="E351">
        <v>2438.969970703125</v>
      </c>
      <c r="F351">
        <v>2438.969970703125</v>
      </c>
      <c r="G351">
        <v>2849680000</v>
      </c>
      <c r="H351">
        <v>0</v>
      </c>
      <c r="I351">
        <v>0</v>
      </c>
      <c r="K351" s="11">
        <f t="shared" si="5"/>
        <v>-2.0744620703185834E-3</v>
      </c>
    </row>
    <row r="352" spans="1:11" x14ac:dyDescent="0.2">
      <c r="A352" s="2">
        <v>42972</v>
      </c>
      <c r="B352">
        <v>2444.719970703125</v>
      </c>
      <c r="C352">
        <v>2453.9599609375</v>
      </c>
      <c r="D352">
        <v>2442.219970703125</v>
      </c>
      <c r="E352">
        <v>2443.050048828125</v>
      </c>
      <c r="F352">
        <v>2443.050048828125</v>
      </c>
      <c r="G352">
        <v>2593350000</v>
      </c>
      <c r="H352">
        <v>0</v>
      </c>
      <c r="I352">
        <v>0</v>
      </c>
      <c r="K352" s="11">
        <f t="shared" si="5"/>
        <v>1.6728693563305974E-3</v>
      </c>
    </row>
    <row r="353" spans="1:11" x14ac:dyDescent="0.2">
      <c r="A353" s="2">
        <v>42975</v>
      </c>
      <c r="B353">
        <v>2447.35009765625</v>
      </c>
      <c r="C353">
        <v>2449.1201171875</v>
      </c>
      <c r="D353">
        <v>2439.030029296875</v>
      </c>
      <c r="E353">
        <v>2444.239990234375</v>
      </c>
      <c r="F353">
        <v>2444.239990234375</v>
      </c>
      <c r="G353">
        <v>2682920000</v>
      </c>
      <c r="H353">
        <v>0</v>
      </c>
      <c r="I353">
        <v>0</v>
      </c>
      <c r="K353" s="11">
        <f t="shared" si="5"/>
        <v>4.8707205438569545E-4</v>
      </c>
    </row>
    <row r="354" spans="1:11" x14ac:dyDescent="0.2">
      <c r="A354" s="2">
        <v>42976</v>
      </c>
      <c r="B354">
        <v>2431.93994140625</v>
      </c>
      <c r="C354">
        <v>2449.18994140625</v>
      </c>
      <c r="D354">
        <v>2428.199951171875</v>
      </c>
      <c r="E354">
        <v>2446.300048828125</v>
      </c>
      <c r="F354">
        <v>2446.300048828125</v>
      </c>
      <c r="G354">
        <v>2739460000</v>
      </c>
      <c r="H354">
        <v>0</v>
      </c>
      <c r="I354">
        <v>0</v>
      </c>
      <c r="K354" s="11">
        <f t="shared" si="5"/>
        <v>8.4282173681016204E-4</v>
      </c>
    </row>
    <row r="355" spans="1:11" x14ac:dyDescent="0.2">
      <c r="A355" s="2">
        <v>42977</v>
      </c>
      <c r="B355">
        <v>2446.06005859375</v>
      </c>
      <c r="C355">
        <v>2460.31005859375</v>
      </c>
      <c r="D355">
        <v>2443.77001953125</v>
      </c>
      <c r="E355">
        <v>2457.590087890625</v>
      </c>
      <c r="F355">
        <v>2457.590087890625</v>
      </c>
      <c r="G355">
        <v>2637780000</v>
      </c>
      <c r="H355">
        <v>0</v>
      </c>
      <c r="I355">
        <v>0</v>
      </c>
      <c r="K355" s="11">
        <f t="shared" si="5"/>
        <v>4.6151489339618657E-3</v>
      </c>
    </row>
    <row r="356" spans="1:11" x14ac:dyDescent="0.2">
      <c r="A356" s="2">
        <v>42978</v>
      </c>
      <c r="B356">
        <v>2462.64990234375</v>
      </c>
      <c r="C356">
        <v>2475.010009765625</v>
      </c>
      <c r="D356">
        <v>2462.64990234375</v>
      </c>
      <c r="E356">
        <v>2471.64990234375</v>
      </c>
      <c r="F356">
        <v>2471.64990234375</v>
      </c>
      <c r="G356">
        <v>3353860000</v>
      </c>
      <c r="H356">
        <v>0</v>
      </c>
      <c r="I356">
        <v>0</v>
      </c>
      <c r="K356" s="11">
        <f t="shared" si="5"/>
        <v>5.7209762207304227E-3</v>
      </c>
    </row>
    <row r="357" spans="1:11" x14ac:dyDescent="0.2">
      <c r="A357" s="2">
        <v>42979</v>
      </c>
      <c r="B357">
        <v>2474.419921875</v>
      </c>
      <c r="C357">
        <v>2480.3798828125</v>
      </c>
      <c r="D357">
        <v>2473.85009765625</v>
      </c>
      <c r="E357">
        <v>2476.550048828125</v>
      </c>
      <c r="F357">
        <v>2476.550048828125</v>
      </c>
      <c r="G357">
        <v>2712780000</v>
      </c>
      <c r="H357">
        <v>0</v>
      </c>
      <c r="I357">
        <v>0</v>
      </c>
      <c r="K357" s="11">
        <f t="shared" si="5"/>
        <v>1.9825406825328962E-3</v>
      </c>
    </row>
    <row r="358" spans="1:11" x14ac:dyDescent="0.2">
      <c r="A358" s="2">
        <v>42983</v>
      </c>
      <c r="B358">
        <v>2470.35009765625</v>
      </c>
      <c r="C358">
        <v>2471.969970703125</v>
      </c>
      <c r="D358">
        <v>2446.550048828125</v>
      </c>
      <c r="E358">
        <v>2457.85009765625</v>
      </c>
      <c r="F358">
        <v>2457.85009765625</v>
      </c>
      <c r="G358">
        <v>3502190000</v>
      </c>
      <c r="H358">
        <v>0</v>
      </c>
      <c r="I358">
        <v>0</v>
      </c>
      <c r="K358" s="11">
        <f t="shared" si="5"/>
        <v>-7.5508068899006187E-3</v>
      </c>
    </row>
    <row r="359" spans="1:11" x14ac:dyDescent="0.2">
      <c r="A359" s="2">
        <v>42984</v>
      </c>
      <c r="B359">
        <v>2463.830078125</v>
      </c>
      <c r="C359">
        <v>2469.639892578125</v>
      </c>
      <c r="D359">
        <v>2459.199951171875</v>
      </c>
      <c r="E359">
        <v>2465.5400390625</v>
      </c>
      <c r="F359">
        <v>2465.5400390625</v>
      </c>
      <c r="G359">
        <v>3400200000</v>
      </c>
      <c r="H359">
        <v>0</v>
      </c>
      <c r="I359">
        <v>0</v>
      </c>
      <c r="K359" s="11">
        <f t="shared" si="5"/>
        <v>3.1287267736885838E-3</v>
      </c>
    </row>
    <row r="360" spans="1:11" x14ac:dyDescent="0.2">
      <c r="A360" s="2">
        <v>42985</v>
      </c>
      <c r="B360">
        <v>2468.06005859375</v>
      </c>
      <c r="C360">
        <v>2468.6201171875</v>
      </c>
      <c r="D360">
        <v>2460.2900390625</v>
      </c>
      <c r="E360">
        <v>2465.10009765625</v>
      </c>
      <c r="F360">
        <v>2465.10009765625</v>
      </c>
      <c r="G360">
        <v>3365780000</v>
      </c>
      <c r="H360">
        <v>0</v>
      </c>
      <c r="I360">
        <v>0</v>
      </c>
      <c r="K360" s="11">
        <f t="shared" si="5"/>
        <v>-1.7843612323464875E-4</v>
      </c>
    </row>
    <row r="361" spans="1:11" x14ac:dyDescent="0.2">
      <c r="A361" s="2">
        <v>42986</v>
      </c>
      <c r="B361">
        <v>2462.25</v>
      </c>
      <c r="C361">
        <v>2467.110107421875</v>
      </c>
      <c r="D361">
        <v>2459.39990234375</v>
      </c>
      <c r="E361">
        <v>2461.429931640625</v>
      </c>
      <c r="F361">
        <v>2461.429931640625</v>
      </c>
      <c r="G361">
        <v>3308360000</v>
      </c>
      <c r="H361">
        <v>0</v>
      </c>
      <c r="I361">
        <v>0</v>
      </c>
      <c r="K361" s="11">
        <f t="shared" si="5"/>
        <v>-1.4888507039184651E-3</v>
      </c>
    </row>
    <row r="362" spans="1:11" x14ac:dyDescent="0.2">
      <c r="A362" s="2">
        <v>42989</v>
      </c>
      <c r="B362">
        <v>2474.52001953125</v>
      </c>
      <c r="C362">
        <v>2488.949951171875</v>
      </c>
      <c r="D362">
        <v>2474.52001953125</v>
      </c>
      <c r="E362">
        <v>2488.110107421875</v>
      </c>
      <c r="F362">
        <v>2488.110107421875</v>
      </c>
      <c r="G362">
        <v>3293460000</v>
      </c>
      <c r="H362">
        <v>0</v>
      </c>
      <c r="I362">
        <v>0</v>
      </c>
      <c r="K362" s="11">
        <f t="shared" si="5"/>
        <v>1.083929931877714E-2</v>
      </c>
    </row>
    <row r="363" spans="1:11" x14ac:dyDescent="0.2">
      <c r="A363" s="2">
        <v>42990</v>
      </c>
      <c r="B363">
        <v>2491.93994140625</v>
      </c>
      <c r="C363">
        <v>2496.77001953125</v>
      </c>
      <c r="D363">
        <v>2490.3701171875</v>
      </c>
      <c r="E363">
        <v>2496.47998046875</v>
      </c>
      <c r="F363">
        <v>2496.47998046875</v>
      </c>
      <c r="G363">
        <v>3234280000</v>
      </c>
      <c r="H363">
        <v>0</v>
      </c>
      <c r="I363">
        <v>0</v>
      </c>
      <c r="K363" s="11">
        <f t="shared" si="5"/>
        <v>3.3639480109453057E-3</v>
      </c>
    </row>
    <row r="364" spans="1:11" x14ac:dyDescent="0.2">
      <c r="A364" s="2">
        <v>42991</v>
      </c>
      <c r="B364">
        <v>2493.889892578125</v>
      </c>
      <c r="C364">
        <v>2498.3701171875</v>
      </c>
      <c r="D364">
        <v>2492.139892578125</v>
      </c>
      <c r="E364">
        <v>2498.3701171875</v>
      </c>
      <c r="F364">
        <v>2498.3701171875</v>
      </c>
      <c r="G364">
        <v>3371370000</v>
      </c>
      <c r="H364">
        <v>0</v>
      </c>
      <c r="I364">
        <v>0</v>
      </c>
      <c r="K364" s="11">
        <f t="shared" si="5"/>
        <v>7.5712071938793812E-4</v>
      </c>
    </row>
    <row r="365" spans="1:11" x14ac:dyDescent="0.2">
      <c r="A365" s="2">
        <v>42992</v>
      </c>
      <c r="B365">
        <v>2494.56005859375</v>
      </c>
      <c r="C365">
        <v>2498.429931640625</v>
      </c>
      <c r="D365">
        <v>2491.35009765625</v>
      </c>
      <c r="E365">
        <v>2495.6201171875</v>
      </c>
      <c r="F365">
        <v>2495.6201171875</v>
      </c>
      <c r="G365">
        <v>3422470000</v>
      </c>
      <c r="H365">
        <v>0</v>
      </c>
      <c r="I365">
        <v>0</v>
      </c>
      <c r="K365" s="11">
        <f t="shared" si="5"/>
        <v>-1.1007176162897148E-3</v>
      </c>
    </row>
    <row r="366" spans="1:11" x14ac:dyDescent="0.2">
      <c r="A366" s="2">
        <v>42993</v>
      </c>
      <c r="B366">
        <v>2495.669921875</v>
      </c>
      <c r="C366">
        <v>2500.22998046875</v>
      </c>
      <c r="D366">
        <v>2493.159912109375</v>
      </c>
      <c r="E366">
        <v>2500.22998046875</v>
      </c>
      <c r="F366">
        <v>2500.22998046875</v>
      </c>
      <c r="G366">
        <v>4862970000</v>
      </c>
      <c r="H366">
        <v>0</v>
      </c>
      <c r="I366">
        <v>0</v>
      </c>
      <c r="K366" s="11">
        <f t="shared" si="5"/>
        <v>1.8471814878802117E-3</v>
      </c>
    </row>
    <row r="367" spans="1:11" x14ac:dyDescent="0.2">
      <c r="A367" s="2">
        <v>42996</v>
      </c>
      <c r="B367">
        <v>2502.510009765625</v>
      </c>
      <c r="C367">
        <v>2508.320068359375</v>
      </c>
      <c r="D367">
        <v>2499.919921875</v>
      </c>
      <c r="E367">
        <v>2503.8701171875</v>
      </c>
      <c r="F367">
        <v>2503.8701171875</v>
      </c>
      <c r="G367">
        <v>3204700000</v>
      </c>
      <c r="H367">
        <v>0</v>
      </c>
      <c r="I367">
        <v>0</v>
      </c>
      <c r="K367" s="11">
        <f t="shared" si="5"/>
        <v>1.4559207541648966E-3</v>
      </c>
    </row>
    <row r="368" spans="1:11" x14ac:dyDescent="0.2">
      <c r="A368" s="2">
        <v>42997</v>
      </c>
      <c r="B368">
        <v>2506.2900390625</v>
      </c>
      <c r="C368">
        <v>2507.840087890625</v>
      </c>
      <c r="D368">
        <v>2503.18994140625</v>
      </c>
      <c r="E368">
        <v>2506.64990234375</v>
      </c>
      <c r="F368">
        <v>2506.64990234375</v>
      </c>
      <c r="G368">
        <v>3253760000</v>
      </c>
      <c r="H368">
        <v>0</v>
      </c>
      <c r="I368">
        <v>0</v>
      </c>
      <c r="K368" s="11">
        <f t="shared" si="5"/>
        <v>1.1101954279371107E-3</v>
      </c>
    </row>
    <row r="369" spans="1:11" x14ac:dyDescent="0.2">
      <c r="A369" s="2">
        <v>42998</v>
      </c>
      <c r="B369">
        <v>2506.840087890625</v>
      </c>
      <c r="C369">
        <v>2508.85009765625</v>
      </c>
      <c r="D369">
        <v>2496.669921875</v>
      </c>
      <c r="E369">
        <v>2508.239990234375</v>
      </c>
      <c r="F369">
        <v>2508.239990234375</v>
      </c>
      <c r="G369">
        <v>3584570000</v>
      </c>
      <c r="H369">
        <v>0</v>
      </c>
      <c r="I369">
        <v>0</v>
      </c>
      <c r="K369" s="11">
        <f t="shared" si="5"/>
        <v>6.3434781583904254E-4</v>
      </c>
    </row>
    <row r="370" spans="1:11" x14ac:dyDescent="0.2">
      <c r="A370" s="2">
        <v>42999</v>
      </c>
      <c r="B370">
        <v>2507.159912109375</v>
      </c>
      <c r="C370">
        <v>2507.159912109375</v>
      </c>
      <c r="D370">
        <v>2499</v>
      </c>
      <c r="E370">
        <v>2500.60009765625</v>
      </c>
      <c r="F370">
        <v>2500.60009765625</v>
      </c>
      <c r="G370">
        <v>2965590000</v>
      </c>
      <c r="H370">
        <v>0</v>
      </c>
      <c r="I370">
        <v>0</v>
      </c>
      <c r="K370" s="11">
        <f t="shared" si="5"/>
        <v>-3.0459176984141134E-3</v>
      </c>
    </row>
    <row r="371" spans="1:11" x14ac:dyDescent="0.2">
      <c r="A371" s="2">
        <v>43000</v>
      </c>
      <c r="B371">
        <v>2497.260009765625</v>
      </c>
      <c r="C371">
        <v>2503.469970703125</v>
      </c>
      <c r="D371">
        <v>2496.5400390625</v>
      </c>
      <c r="E371">
        <v>2502.219970703125</v>
      </c>
      <c r="F371">
        <v>2502.219970703125</v>
      </c>
      <c r="G371">
        <v>2877980000</v>
      </c>
      <c r="H371">
        <v>0</v>
      </c>
      <c r="I371">
        <v>0</v>
      </c>
      <c r="K371" s="11">
        <f t="shared" si="5"/>
        <v>6.477937229520947E-4</v>
      </c>
    </row>
    <row r="372" spans="1:11" x14ac:dyDescent="0.2">
      <c r="A372" s="2">
        <v>43003</v>
      </c>
      <c r="B372">
        <v>2499.389892578125</v>
      </c>
      <c r="C372">
        <v>2502.5400390625</v>
      </c>
      <c r="D372">
        <v>2488.030029296875</v>
      </c>
      <c r="E372">
        <v>2496.659912109375</v>
      </c>
      <c r="F372">
        <v>2496.659912109375</v>
      </c>
      <c r="G372">
        <v>3314530000</v>
      </c>
      <c r="H372">
        <v>0</v>
      </c>
      <c r="I372">
        <v>0</v>
      </c>
      <c r="K372" s="11">
        <f t="shared" si="5"/>
        <v>-2.2220502828884658E-3</v>
      </c>
    </row>
    <row r="373" spans="1:11" x14ac:dyDescent="0.2">
      <c r="A373" s="2">
        <v>43004</v>
      </c>
      <c r="B373">
        <v>2501.0400390625</v>
      </c>
      <c r="C373">
        <v>2503.510009765625</v>
      </c>
      <c r="D373">
        <v>2495.1201171875</v>
      </c>
      <c r="E373">
        <v>2496.840087890625</v>
      </c>
      <c r="F373">
        <v>2496.840087890625</v>
      </c>
      <c r="G373">
        <v>3070770000</v>
      </c>
      <c r="H373">
        <v>0</v>
      </c>
      <c r="I373">
        <v>0</v>
      </c>
      <c r="K373" s="11">
        <f t="shared" si="5"/>
        <v>7.2166729788047945E-5</v>
      </c>
    </row>
    <row r="374" spans="1:11" x14ac:dyDescent="0.2">
      <c r="A374" s="2">
        <v>43005</v>
      </c>
      <c r="B374">
        <v>2503.300048828125</v>
      </c>
      <c r="C374">
        <v>2511.75</v>
      </c>
      <c r="D374">
        <v>2495.909912109375</v>
      </c>
      <c r="E374">
        <v>2507.0400390625</v>
      </c>
      <c r="F374">
        <v>2507.0400390625</v>
      </c>
      <c r="G374">
        <v>3485070000</v>
      </c>
      <c r="H374">
        <v>0</v>
      </c>
      <c r="I374">
        <v>0</v>
      </c>
      <c r="K374" s="11">
        <f t="shared" si="5"/>
        <v>4.085143947080816E-3</v>
      </c>
    </row>
    <row r="375" spans="1:11" x14ac:dyDescent="0.2">
      <c r="A375" s="2">
        <v>43006</v>
      </c>
      <c r="B375">
        <v>2503.409912109375</v>
      </c>
      <c r="C375">
        <v>2510.81005859375</v>
      </c>
      <c r="D375">
        <v>2502.929931640625</v>
      </c>
      <c r="E375">
        <v>2510.06005859375</v>
      </c>
      <c r="F375">
        <v>2510.06005859375</v>
      </c>
      <c r="G375">
        <v>3173030000</v>
      </c>
      <c r="H375">
        <v>0</v>
      </c>
      <c r="I375">
        <v>0</v>
      </c>
      <c r="K375" s="11">
        <f t="shared" si="5"/>
        <v>1.204615596159142E-3</v>
      </c>
    </row>
    <row r="376" spans="1:11" x14ac:dyDescent="0.2">
      <c r="A376" s="2">
        <v>43007</v>
      </c>
      <c r="B376">
        <v>2509.9599609375</v>
      </c>
      <c r="C376">
        <v>2519.43994140625</v>
      </c>
      <c r="D376">
        <v>2507.989990234375</v>
      </c>
      <c r="E376">
        <v>2519.360107421875</v>
      </c>
      <c r="F376">
        <v>2519.360107421875</v>
      </c>
      <c r="G376">
        <v>3220260000</v>
      </c>
      <c r="H376">
        <v>0</v>
      </c>
      <c r="I376">
        <v>0</v>
      </c>
      <c r="K376" s="11">
        <f t="shared" si="5"/>
        <v>3.7051100814438076E-3</v>
      </c>
    </row>
    <row r="377" spans="1:11" x14ac:dyDescent="0.2">
      <c r="A377" s="2">
        <v>43010</v>
      </c>
      <c r="B377">
        <v>2521.199951171875</v>
      </c>
      <c r="C377">
        <v>2529.22998046875</v>
      </c>
      <c r="D377">
        <v>2520.39990234375</v>
      </c>
      <c r="E377">
        <v>2529.1201171875</v>
      </c>
      <c r="F377">
        <v>2529.1201171875</v>
      </c>
      <c r="G377">
        <v>3226370000</v>
      </c>
      <c r="H377">
        <v>0</v>
      </c>
      <c r="I377">
        <v>0</v>
      </c>
      <c r="K377" s="11">
        <f t="shared" si="5"/>
        <v>3.8740034570177162E-3</v>
      </c>
    </row>
    <row r="378" spans="1:11" x14ac:dyDescent="0.2">
      <c r="A378" s="2">
        <v>43011</v>
      </c>
      <c r="B378">
        <v>2530.340087890625</v>
      </c>
      <c r="C378">
        <v>2535.1298828125</v>
      </c>
      <c r="D378">
        <v>2528.85009765625</v>
      </c>
      <c r="E378">
        <v>2534.580078125</v>
      </c>
      <c r="F378">
        <v>2534.580078125</v>
      </c>
      <c r="G378">
        <v>3073480000</v>
      </c>
      <c r="H378">
        <v>0</v>
      </c>
      <c r="I378">
        <v>0</v>
      </c>
      <c r="K378" s="11">
        <f t="shared" si="5"/>
        <v>2.1588381272976687E-3</v>
      </c>
    </row>
    <row r="379" spans="1:11" x14ac:dyDescent="0.2">
      <c r="A379" s="2">
        <v>43012</v>
      </c>
      <c r="B379">
        <v>2533.47998046875</v>
      </c>
      <c r="C379">
        <v>2540.530029296875</v>
      </c>
      <c r="D379">
        <v>2531.800048828125</v>
      </c>
      <c r="E379">
        <v>2537.739990234375</v>
      </c>
      <c r="F379">
        <v>2537.739990234375</v>
      </c>
      <c r="G379">
        <v>3020770000</v>
      </c>
      <c r="H379">
        <v>0</v>
      </c>
      <c r="I379">
        <v>0</v>
      </c>
      <c r="K379" s="11">
        <f t="shared" si="5"/>
        <v>1.2467201713795006E-3</v>
      </c>
    </row>
    <row r="380" spans="1:11" x14ac:dyDescent="0.2">
      <c r="A380" s="2">
        <v>43013</v>
      </c>
      <c r="B380">
        <v>2540.860107421875</v>
      </c>
      <c r="C380">
        <v>2552.510009765625</v>
      </c>
      <c r="D380">
        <v>2540.02001953125</v>
      </c>
      <c r="E380">
        <v>2552.070068359375</v>
      </c>
      <c r="F380">
        <v>2552.070068359375</v>
      </c>
      <c r="G380">
        <v>3059730000</v>
      </c>
      <c r="H380">
        <v>0</v>
      </c>
      <c r="I380">
        <v>0</v>
      </c>
      <c r="K380" s="11">
        <f t="shared" si="5"/>
        <v>5.6467873699215243E-3</v>
      </c>
    </row>
    <row r="381" spans="1:11" x14ac:dyDescent="0.2">
      <c r="A381" s="2">
        <v>43014</v>
      </c>
      <c r="B381">
        <v>2547.43994140625</v>
      </c>
      <c r="C381">
        <v>2549.409912109375</v>
      </c>
      <c r="D381">
        <v>2543.7900390625</v>
      </c>
      <c r="E381">
        <v>2549.330078125</v>
      </c>
      <c r="F381">
        <v>2549.330078125</v>
      </c>
      <c r="G381">
        <v>2898270000</v>
      </c>
      <c r="H381">
        <v>0</v>
      </c>
      <c r="I381">
        <v>0</v>
      </c>
      <c r="K381" s="11">
        <f t="shared" si="5"/>
        <v>-1.0736344069645076E-3</v>
      </c>
    </row>
    <row r="382" spans="1:11" x14ac:dyDescent="0.2">
      <c r="A382" s="2">
        <v>43017</v>
      </c>
      <c r="B382">
        <v>2551.389892578125</v>
      </c>
      <c r="C382">
        <v>2551.820068359375</v>
      </c>
      <c r="D382">
        <v>2541.60009765625</v>
      </c>
      <c r="E382">
        <v>2544.72998046875</v>
      </c>
      <c r="F382">
        <v>2544.72998046875</v>
      </c>
      <c r="G382">
        <v>2486940000</v>
      </c>
      <c r="H382">
        <v>0</v>
      </c>
      <c r="I382">
        <v>0</v>
      </c>
      <c r="K382" s="11">
        <f t="shared" si="5"/>
        <v>-1.8044339160793177E-3</v>
      </c>
    </row>
    <row r="383" spans="1:11" x14ac:dyDescent="0.2">
      <c r="A383" s="2">
        <v>43018</v>
      </c>
      <c r="B383">
        <v>2549.989990234375</v>
      </c>
      <c r="C383">
        <v>2555.22998046875</v>
      </c>
      <c r="D383">
        <v>2544.860107421875</v>
      </c>
      <c r="E383">
        <v>2550.639892578125</v>
      </c>
      <c r="F383">
        <v>2550.639892578125</v>
      </c>
      <c r="G383">
        <v>2962610000</v>
      </c>
      <c r="H383">
        <v>0</v>
      </c>
      <c r="I383">
        <v>0</v>
      </c>
      <c r="K383" s="11">
        <f t="shared" si="5"/>
        <v>2.3224122617073739E-3</v>
      </c>
    </row>
    <row r="384" spans="1:11" x14ac:dyDescent="0.2">
      <c r="A384" s="2">
        <v>43019</v>
      </c>
      <c r="B384">
        <v>2550.6201171875</v>
      </c>
      <c r="C384">
        <v>2555.239990234375</v>
      </c>
      <c r="D384">
        <v>2547.949951171875</v>
      </c>
      <c r="E384">
        <v>2555.239990234375</v>
      </c>
      <c r="F384">
        <v>2555.239990234375</v>
      </c>
      <c r="G384">
        <v>2991320000</v>
      </c>
      <c r="H384">
        <v>0</v>
      </c>
      <c r="I384">
        <v>0</v>
      </c>
      <c r="K384" s="11">
        <f t="shared" si="5"/>
        <v>1.8035072962026E-3</v>
      </c>
    </row>
    <row r="385" spans="1:11" x14ac:dyDescent="0.2">
      <c r="A385" s="2">
        <v>43020</v>
      </c>
      <c r="B385">
        <v>2552.8798828125</v>
      </c>
      <c r="C385">
        <v>2555.330078125</v>
      </c>
      <c r="D385">
        <v>2548.31005859375</v>
      </c>
      <c r="E385">
        <v>2550.929931640625</v>
      </c>
      <c r="F385">
        <v>2550.929931640625</v>
      </c>
      <c r="G385">
        <v>3157280000</v>
      </c>
      <c r="H385">
        <v>0</v>
      </c>
      <c r="I385">
        <v>0</v>
      </c>
      <c r="K385" s="11">
        <f t="shared" si="5"/>
        <v>-1.6867529508860502E-3</v>
      </c>
    </row>
    <row r="386" spans="1:11" x14ac:dyDescent="0.2">
      <c r="A386" s="2">
        <v>43021</v>
      </c>
      <c r="B386">
        <v>2555.659912109375</v>
      </c>
      <c r="C386">
        <v>2557.64990234375</v>
      </c>
      <c r="D386">
        <v>2552.090087890625</v>
      </c>
      <c r="E386">
        <v>2553.169921875</v>
      </c>
      <c r="F386">
        <v>2553.169921875</v>
      </c>
      <c r="G386">
        <v>3150470000</v>
      </c>
      <c r="H386">
        <v>0</v>
      </c>
      <c r="I386">
        <v>0</v>
      </c>
      <c r="K386" s="11">
        <f t="shared" si="5"/>
        <v>8.7810731552884214E-4</v>
      </c>
    </row>
    <row r="387" spans="1:11" x14ac:dyDescent="0.2">
      <c r="A387" s="2">
        <v>43024</v>
      </c>
      <c r="B387">
        <v>2555.570068359375</v>
      </c>
      <c r="C387">
        <v>2559.469970703125</v>
      </c>
      <c r="D387">
        <v>2552.639892578125</v>
      </c>
      <c r="E387">
        <v>2557.639892578125</v>
      </c>
      <c r="F387">
        <v>2557.639892578125</v>
      </c>
      <c r="G387">
        <v>2918030000</v>
      </c>
      <c r="H387">
        <v>0</v>
      </c>
      <c r="I387">
        <v>0</v>
      </c>
      <c r="K387" s="11">
        <f t="shared" si="5"/>
        <v>1.7507533144689447E-3</v>
      </c>
    </row>
    <row r="388" spans="1:11" x14ac:dyDescent="0.2">
      <c r="A388" s="2">
        <v>43025</v>
      </c>
      <c r="B388">
        <v>2557.169921875</v>
      </c>
      <c r="C388">
        <v>2559.7099609375</v>
      </c>
      <c r="D388">
        <v>2554.68994140625</v>
      </c>
      <c r="E388">
        <v>2559.360107421875</v>
      </c>
      <c r="F388">
        <v>2559.360107421875</v>
      </c>
      <c r="G388">
        <v>2901890000</v>
      </c>
      <c r="H388">
        <v>0</v>
      </c>
      <c r="I388">
        <v>0</v>
      </c>
      <c r="K388" s="11">
        <f t="shared" ref="K388:K451" si="6">(E388/E387)-1</f>
        <v>6.7257898531436489E-4</v>
      </c>
    </row>
    <row r="389" spans="1:11" x14ac:dyDescent="0.2">
      <c r="A389" s="2">
        <v>43026</v>
      </c>
      <c r="B389">
        <v>2562.8701171875</v>
      </c>
      <c r="C389">
        <v>2564.110107421875</v>
      </c>
      <c r="D389">
        <v>2559.669921875</v>
      </c>
      <c r="E389">
        <v>2561.260009765625</v>
      </c>
      <c r="F389">
        <v>2561.260009765625</v>
      </c>
      <c r="G389">
        <v>2999320000</v>
      </c>
      <c r="H389">
        <v>0</v>
      </c>
      <c r="I389">
        <v>0</v>
      </c>
      <c r="K389" s="11">
        <f t="shared" si="6"/>
        <v>7.4233490560415838E-4</v>
      </c>
    </row>
    <row r="390" spans="1:11" x14ac:dyDescent="0.2">
      <c r="A390" s="2">
        <v>43027</v>
      </c>
      <c r="B390">
        <v>2553.389892578125</v>
      </c>
      <c r="C390">
        <v>2562.360107421875</v>
      </c>
      <c r="D390">
        <v>2547.919921875</v>
      </c>
      <c r="E390">
        <v>2562.10009765625</v>
      </c>
      <c r="F390">
        <v>2562.10009765625</v>
      </c>
      <c r="G390">
        <v>3019520000</v>
      </c>
      <c r="H390">
        <v>0</v>
      </c>
      <c r="I390">
        <v>0</v>
      </c>
      <c r="K390" s="11">
        <f t="shared" si="6"/>
        <v>3.2799789456050554E-4</v>
      </c>
    </row>
    <row r="391" spans="1:11" x14ac:dyDescent="0.2">
      <c r="A391" s="2">
        <v>43028</v>
      </c>
      <c r="B391">
        <v>2567.56005859375</v>
      </c>
      <c r="C391">
        <v>2575.43994140625</v>
      </c>
      <c r="D391">
        <v>2567.56005859375</v>
      </c>
      <c r="E391">
        <v>2575.2099609375</v>
      </c>
      <c r="F391">
        <v>2575.2099609375</v>
      </c>
      <c r="G391">
        <v>3394450000</v>
      </c>
      <c r="H391">
        <v>0</v>
      </c>
      <c r="I391">
        <v>0</v>
      </c>
      <c r="K391" s="11">
        <f t="shared" si="6"/>
        <v>5.1168427389869375E-3</v>
      </c>
    </row>
    <row r="392" spans="1:11" x14ac:dyDescent="0.2">
      <c r="A392" s="2">
        <v>43031</v>
      </c>
      <c r="B392">
        <v>2578.080078125</v>
      </c>
      <c r="C392">
        <v>2578.2900390625</v>
      </c>
      <c r="D392">
        <v>2564.330078125</v>
      </c>
      <c r="E392">
        <v>2564.97998046875</v>
      </c>
      <c r="F392">
        <v>2564.97998046875</v>
      </c>
      <c r="G392">
        <v>3214470000</v>
      </c>
      <c r="H392">
        <v>0</v>
      </c>
      <c r="I392">
        <v>0</v>
      </c>
      <c r="K392" s="11">
        <f t="shared" si="6"/>
        <v>-3.9724840397191707E-3</v>
      </c>
    </row>
    <row r="393" spans="1:11" x14ac:dyDescent="0.2">
      <c r="A393" s="2">
        <v>43032</v>
      </c>
      <c r="B393">
        <v>2568.659912109375</v>
      </c>
      <c r="C393">
        <v>2572.179931640625</v>
      </c>
      <c r="D393">
        <v>2565.580078125</v>
      </c>
      <c r="E393">
        <v>2569.1298828125</v>
      </c>
      <c r="F393">
        <v>2569.1298828125</v>
      </c>
      <c r="G393">
        <v>3435660000</v>
      </c>
      <c r="H393">
        <v>0</v>
      </c>
      <c r="I393">
        <v>0</v>
      </c>
      <c r="K393" s="11">
        <f t="shared" si="6"/>
        <v>1.617908278173541E-3</v>
      </c>
    </row>
    <row r="394" spans="1:11" x14ac:dyDescent="0.2">
      <c r="A394" s="2">
        <v>43033</v>
      </c>
      <c r="B394">
        <v>2566.52001953125</v>
      </c>
      <c r="C394">
        <v>2567.39990234375</v>
      </c>
      <c r="D394">
        <v>2544</v>
      </c>
      <c r="E394">
        <v>2557.14990234375</v>
      </c>
      <c r="F394">
        <v>2557.14990234375</v>
      </c>
      <c r="G394">
        <v>3885470000</v>
      </c>
      <c r="H394">
        <v>0</v>
      </c>
      <c r="I394">
        <v>0</v>
      </c>
      <c r="K394" s="11">
        <f t="shared" si="6"/>
        <v>-4.6630497542752281E-3</v>
      </c>
    </row>
    <row r="395" spans="1:11" x14ac:dyDescent="0.2">
      <c r="A395" s="2">
        <v>43034</v>
      </c>
      <c r="B395">
        <v>2560.080078125</v>
      </c>
      <c r="C395">
        <v>2567.070068359375</v>
      </c>
      <c r="D395">
        <v>2559.800048828125</v>
      </c>
      <c r="E395">
        <v>2560.39990234375</v>
      </c>
      <c r="F395">
        <v>2560.39990234375</v>
      </c>
      <c r="G395">
        <v>3891750000</v>
      </c>
      <c r="H395">
        <v>0</v>
      </c>
      <c r="I395">
        <v>0</v>
      </c>
      <c r="K395" s="11">
        <f t="shared" si="6"/>
        <v>1.2709462190783061E-3</v>
      </c>
    </row>
    <row r="396" spans="1:11" x14ac:dyDescent="0.2">
      <c r="A396" s="2">
        <v>43035</v>
      </c>
      <c r="B396">
        <v>2570.260009765625</v>
      </c>
      <c r="C396">
        <v>2582.97998046875</v>
      </c>
      <c r="D396">
        <v>2565.93994140625</v>
      </c>
      <c r="E396">
        <v>2581.070068359375</v>
      </c>
      <c r="F396">
        <v>2581.070068359375</v>
      </c>
      <c r="G396">
        <v>3896100000</v>
      </c>
      <c r="H396">
        <v>0</v>
      </c>
      <c r="I396">
        <v>0</v>
      </c>
      <c r="K396" s="11">
        <f t="shared" si="6"/>
        <v>8.0730224980496423E-3</v>
      </c>
    </row>
    <row r="397" spans="1:11" x14ac:dyDescent="0.2">
      <c r="A397" s="2">
        <v>43038</v>
      </c>
      <c r="B397">
        <v>2577.75</v>
      </c>
      <c r="C397">
        <v>2580.030029296875</v>
      </c>
      <c r="D397">
        <v>2568.25</v>
      </c>
      <c r="E397">
        <v>2572.830078125</v>
      </c>
      <c r="F397">
        <v>2572.830078125</v>
      </c>
      <c r="G397">
        <v>3660230000</v>
      </c>
      <c r="H397">
        <v>0</v>
      </c>
      <c r="I397">
        <v>0</v>
      </c>
      <c r="K397" s="11">
        <f t="shared" si="6"/>
        <v>-3.1924705707864209E-3</v>
      </c>
    </row>
    <row r="398" spans="1:11" x14ac:dyDescent="0.2">
      <c r="A398" s="2">
        <v>43039</v>
      </c>
      <c r="B398">
        <v>2575.989990234375</v>
      </c>
      <c r="C398">
        <v>2578.2900390625</v>
      </c>
      <c r="D398">
        <v>2572.14990234375</v>
      </c>
      <c r="E398">
        <v>2575.260009765625</v>
      </c>
      <c r="F398">
        <v>2575.260009765625</v>
      </c>
      <c r="G398">
        <v>3844420000</v>
      </c>
      <c r="H398">
        <v>0</v>
      </c>
      <c r="I398">
        <v>0</v>
      </c>
      <c r="K398" s="11">
        <f t="shared" si="6"/>
        <v>9.4445865713588262E-4</v>
      </c>
    </row>
    <row r="399" spans="1:11" x14ac:dyDescent="0.2">
      <c r="A399" s="2">
        <v>43040</v>
      </c>
      <c r="B399">
        <v>2583.2099609375</v>
      </c>
      <c r="C399">
        <v>2588.39990234375</v>
      </c>
      <c r="D399">
        <v>2574.919921875</v>
      </c>
      <c r="E399">
        <v>2579.360107421875</v>
      </c>
      <c r="F399">
        <v>2579.360107421875</v>
      </c>
      <c r="G399">
        <v>3841200000</v>
      </c>
      <c r="H399">
        <v>0</v>
      </c>
      <c r="I399">
        <v>0</v>
      </c>
      <c r="K399" s="11">
        <f t="shared" si="6"/>
        <v>1.5921101716727115E-3</v>
      </c>
    </row>
    <row r="400" spans="1:11" x14ac:dyDescent="0.2">
      <c r="A400" s="2">
        <v>43041</v>
      </c>
      <c r="B400">
        <v>2579.4599609375</v>
      </c>
      <c r="C400">
        <v>2581.110107421875</v>
      </c>
      <c r="D400">
        <v>2566.169921875</v>
      </c>
      <c r="E400">
        <v>2579.85009765625</v>
      </c>
      <c r="F400">
        <v>2579.85009765625</v>
      </c>
      <c r="G400">
        <v>4050140000</v>
      </c>
      <c r="H400">
        <v>0</v>
      </c>
      <c r="I400">
        <v>0</v>
      </c>
      <c r="K400" s="11">
        <f t="shared" si="6"/>
        <v>1.8996581088659426E-4</v>
      </c>
    </row>
    <row r="401" spans="1:11" x14ac:dyDescent="0.2">
      <c r="A401" s="2">
        <v>43042</v>
      </c>
      <c r="B401">
        <v>2581.929931640625</v>
      </c>
      <c r="C401">
        <v>2588.419921875</v>
      </c>
      <c r="D401">
        <v>2576.77001953125</v>
      </c>
      <c r="E401">
        <v>2587.840087890625</v>
      </c>
      <c r="F401">
        <v>2587.840087890625</v>
      </c>
      <c r="G401">
        <v>3568710000</v>
      </c>
      <c r="H401">
        <v>0</v>
      </c>
      <c r="I401">
        <v>0</v>
      </c>
      <c r="K401" s="11">
        <f t="shared" si="6"/>
        <v>3.0970753849743904E-3</v>
      </c>
    </row>
    <row r="402" spans="1:11" x14ac:dyDescent="0.2">
      <c r="A402" s="2">
        <v>43045</v>
      </c>
      <c r="B402">
        <v>2587.469970703125</v>
      </c>
      <c r="C402">
        <v>2593.3798828125</v>
      </c>
      <c r="D402">
        <v>2585.659912109375</v>
      </c>
      <c r="E402">
        <v>2591.1298828125</v>
      </c>
      <c r="F402">
        <v>2591.1298828125</v>
      </c>
      <c r="G402">
        <v>3541970000</v>
      </c>
      <c r="H402">
        <v>0</v>
      </c>
      <c r="I402">
        <v>0</v>
      </c>
      <c r="K402" s="11">
        <f t="shared" si="6"/>
        <v>1.2712512404724485E-3</v>
      </c>
    </row>
    <row r="403" spans="1:11" x14ac:dyDescent="0.2">
      <c r="A403" s="2">
        <v>43046</v>
      </c>
      <c r="B403">
        <v>2592.110107421875</v>
      </c>
      <c r="C403">
        <v>2597.02001953125</v>
      </c>
      <c r="D403">
        <v>2584.35009765625</v>
      </c>
      <c r="E403">
        <v>2590.639892578125</v>
      </c>
      <c r="F403">
        <v>2590.639892578125</v>
      </c>
      <c r="G403">
        <v>3815190000</v>
      </c>
      <c r="H403">
        <v>0</v>
      </c>
      <c r="I403">
        <v>0</v>
      </c>
      <c r="K403" s="11">
        <f t="shared" si="6"/>
        <v>-1.8910292286977715E-4</v>
      </c>
    </row>
    <row r="404" spans="1:11" x14ac:dyDescent="0.2">
      <c r="A404" s="2">
        <v>43047</v>
      </c>
      <c r="B404">
        <v>2588.7099609375</v>
      </c>
      <c r="C404">
        <v>2595.469970703125</v>
      </c>
      <c r="D404">
        <v>2585.02001953125</v>
      </c>
      <c r="E404">
        <v>2594.3798828125</v>
      </c>
      <c r="F404">
        <v>2594.3798828125</v>
      </c>
      <c r="G404">
        <v>3898450000</v>
      </c>
      <c r="H404">
        <v>0</v>
      </c>
      <c r="I404">
        <v>0</v>
      </c>
      <c r="K404" s="11">
        <f t="shared" si="6"/>
        <v>1.4436550000984649E-3</v>
      </c>
    </row>
    <row r="405" spans="1:11" x14ac:dyDescent="0.2">
      <c r="A405" s="2">
        <v>43048</v>
      </c>
      <c r="B405">
        <v>2584</v>
      </c>
      <c r="C405">
        <v>2586.5</v>
      </c>
      <c r="D405">
        <v>2566.330078125</v>
      </c>
      <c r="E405">
        <v>2584.6201171875</v>
      </c>
      <c r="F405">
        <v>2584.6201171875</v>
      </c>
      <c r="G405">
        <v>3844100000</v>
      </c>
      <c r="H405">
        <v>0</v>
      </c>
      <c r="I405">
        <v>0</v>
      </c>
      <c r="K405" s="11">
        <f t="shared" si="6"/>
        <v>-3.7618876440020932E-3</v>
      </c>
    </row>
    <row r="406" spans="1:11" x14ac:dyDescent="0.2">
      <c r="A406" s="2">
        <v>43049</v>
      </c>
      <c r="B406">
        <v>2580.179931640625</v>
      </c>
      <c r="C406">
        <v>2583.81005859375</v>
      </c>
      <c r="D406">
        <v>2575.570068359375</v>
      </c>
      <c r="E406">
        <v>2582.300048828125</v>
      </c>
      <c r="F406">
        <v>2582.300048828125</v>
      </c>
      <c r="G406">
        <v>3489740000</v>
      </c>
      <c r="H406">
        <v>0</v>
      </c>
      <c r="I406">
        <v>0</v>
      </c>
      <c r="K406" s="11">
        <f t="shared" si="6"/>
        <v>-8.9764385255175494E-4</v>
      </c>
    </row>
    <row r="407" spans="1:11" x14ac:dyDescent="0.2">
      <c r="A407" s="2">
        <v>43052</v>
      </c>
      <c r="B407">
        <v>2576.530029296875</v>
      </c>
      <c r="C407">
        <v>2587.659912109375</v>
      </c>
      <c r="D407">
        <v>2574.47998046875</v>
      </c>
      <c r="E407">
        <v>2584.840087890625</v>
      </c>
      <c r="F407">
        <v>2584.840087890625</v>
      </c>
      <c r="G407">
        <v>3405200000</v>
      </c>
      <c r="H407">
        <v>0</v>
      </c>
      <c r="I407">
        <v>0</v>
      </c>
      <c r="K407" s="11">
        <f t="shared" si="6"/>
        <v>9.8363436257242753E-4</v>
      </c>
    </row>
    <row r="408" spans="1:11" x14ac:dyDescent="0.2">
      <c r="A408" s="2">
        <v>43053</v>
      </c>
      <c r="B408">
        <v>2577.75</v>
      </c>
      <c r="C408">
        <v>2579.659912109375</v>
      </c>
      <c r="D408">
        <v>2566.56005859375</v>
      </c>
      <c r="E408">
        <v>2578.8701171875</v>
      </c>
      <c r="F408">
        <v>2578.8701171875</v>
      </c>
      <c r="G408">
        <v>3643580000</v>
      </c>
      <c r="H408">
        <v>0</v>
      </c>
      <c r="I408">
        <v>0</v>
      </c>
      <c r="K408" s="11">
        <f t="shared" si="6"/>
        <v>-2.3096092988857952E-3</v>
      </c>
    </row>
    <row r="409" spans="1:11" x14ac:dyDescent="0.2">
      <c r="A409" s="2">
        <v>43054</v>
      </c>
      <c r="B409">
        <v>2569.449951171875</v>
      </c>
      <c r="C409">
        <v>2572.840087890625</v>
      </c>
      <c r="D409">
        <v>2557.449951171875</v>
      </c>
      <c r="E409">
        <v>2564.6201171875</v>
      </c>
      <c r="F409">
        <v>2564.6201171875</v>
      </c>
      <c r="G409">
        <v>3586590000</v>
      </c>
      <c r="H409">
        <v>0</v>
      </c>
      <c r="I409">
        <v>0</v>
      </c>
      <c r="K409" s="11">
        <f t="shared" si="6"/>
        <v>-5.5256757232663434E-3</v>
      </c>
    </row>
    <row r="410" spans="1:11" x14ac:dyDescent="0.2">
      <c r="A410" s="2">
        <v>43055</v>
      </c>
      <c r="B410">
        <v>2572.949951171875</v>
      </c>
      <c r="C410">
        <v>2590.090087890625</v>
      </c>
      <c r="D410">
        <v>2572.949951171875</v>
      </c>
      <c r="E410">
        <v>2585.639892578125</v>
      </c>
      <c r="F410">
        <v>2585.639892578125</v>
      </c>
      <c r="G410">
        <v>3329730000</v>
      </c>
      <c r="H410">
        <v>0</v>
      </c>
      <c r="I410">
        <v>0</v>
      </c>
      <c r="K410" s="11">
        <f t="shared" si="6"/>
        <v>8.1960580632411961E-3</v>
      </c>
    </row>
    <row r="411" spans="1:11" x14ac:dyDescent="0.2">
      <c r="A411" s="2">
        <v>43056</v>
      </c>
      <c r="B411">
        <v>2582.93994140625</v>
      </c>
      <c r="C411">
        <v>2583.9599609375</v>
      </c>
      <c r="D411">
        <v>2577.6201171875</v>
      </c>
      <c r="E411">
        <v>2578.85009765625</v>
      </c>
      <c r="F411">
        <v>2578.85009765625</v>
      </c>
      <c r="G411">
        <v>3309800000</v>
      </c>
      <c r="H411">
        <v>0</v>
      </c>
      <c r="I411">
        <v>0</v>
      </c>
      <c r="K411" s="11">
        <f t="shared" si="6"/>
        <v>-2.6259630899742037E-3</v>
      </c>
    </row>
    <row r="412" spans="1:11" x14ac:dyDescent="0.2">
      <c r="A412" s="2">
        <v>43059</v>
      </c>
      <c r="B412">
        <v>2579.489990234375</v>
      </c>
      <c r="C412">
        <v>2584.639892578125</v>
      </c>
      <c r="D412">
        <v>2578.239990234375</v>
      </c>
      <c r="E412">
        <v>2582.139892578125</v>
      </c>
      <c r="F412">
        <v>2582.139892578125</v>
      </c>
      <c r="G412">
        <v>3023940000</v>
      </c>
      <c r="H412">
        <v>0</v>
      </c>
      <c r="I412">
        <v>0</v>
      </c>
      <c r="K412" s="11">
        <f t="shared" si="6"/>
        <v>1.2756828808564435E-3</v>
      </c>
    </row>
    <row r="413" spans="1:11" x14ac:dyDescent="0.2">
      <c r="A413" s="2">
        <v>43060</v>
      </c>
      <c r="B413">
        <v>2589.169921875</v>
      </c>
      <c r="C413">
        <v>2601.18994140625</v>
      </c>
      <c r="D413">
        <v>2589.169921875</v>
      </c>
      <c r="E413">
        <v>2599.030029296875</v>
      </c>
      <c r="F413">
        <v>2599.030029296875</v>
      </c>
      <c r="G413">
        <v>3351230000</v>
      </c>
      <c r="H413">
        <v>0</v>
      </c>
      <c r="I413">
        <v>0</v>
      </c>
      <c r="K413" s="11">
        <f t="shared" si="6"/>
        <v>6.5411392958598658E-3</v>
      </c>
    </row>
    <row r="414" spans="1:11" x14ac:dyDescent="0.2">
      <c r="A414" s="2">
        <v>43061</v>
      </c>
      <c r="B414">
        <v>2600.31005859375</v>
      </c>
      <c r="C414">
        <v>2600.93994140625</v>
      </c>
      <c r="D414">
        <v>2595.22998046875</v>
      </c>
      <c r="E414">
        <v>2597.080078125</v>
      </c>
      <c r="F414">
        <v>2597.080078125</v>
      </c>
      <c r="G414">
        <v>2764110000</v>
      </c>
      <c r="H414">
        <v>0</v>
      </c>
      <c r="I414">
        <v>0</v>
      </c>
      <c r="K414" s="11">
        <f t="shared" si="6"/>
        <v>-7.5026111660680961E-4</v>
      </c>
    </row>
    <row r="415" spans="1:11" x14ac:dyDescent="0.2">
      <c r="A415" s="2">
        <v>43063</v>
      </c>
      <c r="B415">
        <v>2600.419921875</v>
      </c>
      <c r="C415">
        <v>2604.2099609375</v>
      </c>
      <c r="D415">
        <v>2600.419921875</v>
      </c>
      <c r="E415">
        <v>2602.419921875</v>
      </c>
      <c r="F415">
        <v>2602.419921875</v>
      </c>
      <c r="G415">
        <v>1385890000</v>
      </c>
      <c r="H415">
        <v>0</v>
      </c>
      <c r="I415">
        <v>0</v>
      </c>
      <c r="K415" s="11">
        <f t="shared" si="6"/>
        <v>2.0560951489239088E-3</v>
      </c>
    </row>
    <row r="416" spans="1:11" x14ac:dyDescent="0.2">
      <c r="A416" s="2">
        <v>43066</v>
      </c>
      <c r="B416">
        <v>2602.659912109375</v>
      </c>
      <c r="C416">
        <v>2606.409912109375</v>
      </c>
      <c r="D416">
        <v>2598.8701171875</v>
      </c>
      <c r="E416">
        <v>2601.419921875</v>
      </c>
      <c r="F416">
        <v>2601.419921875</v>
      </c>
      <c r="G416">
        <v>3017720000</v>
      </c>
      <c r="H416">
        <v>0</v>
      </c>
      <c r="I416">
        <v>0</v>
      </c>
      <c r="K416" s="11">
        <f t="shared" si="6"/>
        <v>-3.8425774087968989E-4</v>
      </c>
    </row>
    <row r="417" spans="1:11" x14ac:dyDescent="0.2">
      <c r="A417" s="2">
        <v>43067</v>
      </c>
      <c r="B417">
        <v>2605.93994140625</v>
      </c>
      <c r="C417">
        <v>2627.68994140625</v>
      </c>
      <c r="D417">
        <v>2605.43994140625</v>
      </c>
      <c r="E417">
        <v>2627.0400390625</v>
      </c>
      <c r="F417">
        <v>2627.0400390625</v>
      </c>
      <c r="G417">
        <v>3493340000</v>
      </c>
      <c r="H417">
        <v>0</v>
      </c>
      <c r="I417">
        <v>0</v>
      </c>
      <c r="K417" s="11">
        <f t="shared" si="6"/>
        <v>9.84851271879017E-3</v>
      </c>
    </row>
    <row r="418" spans="1:11" x14ac:dyDescent="0.2">
      <c r="A418" s="2">
        <v>43068</v>
      </c>
      <c r="B418">
        <v>2627.820068359375</v>
      </c>
      <c r="C418">
        <v>2634.889892578125</v>
      </c>
      <c r="D418">
        <v>2620.320068359375</v>
      </c>
      <c r="E418">
        <v>2626.070068359375</v>
      </c>
      <c r="F418">
        <v>2626.070068359375</v>
      </c>
      <c r="G418">
        <v>4090630000</v>
      </c>
      <c r="H418">
        <v>0</v>
      </c>
      <c r="I418">
        <v>0</v>
      </c>
      <c r="K418" s="11">
        <f t="shared" si="6"/>
        <v>-3.69225702197995E-4</v>
      </c>
    </row>
    <row r="419" spans="1:11" x14ac:dyDescent="0.2">
      <c r="A419" s="2">
        <v>43069</v>
      </c>
      <c r="B419">
        <v>2633.929931640625</v>
      </c>
      <c r="C419">
        <v>2657.739990234375</v>
      </c>
      <c r="D419">
        <v>2633.929931640625</v>
      </c>
      <c r="E419">
        <v>2647.580078125</v>
      </c>
      <c r="F419">
        <v>2647.580078125</v>
      </c>
      <c r="G419">
        <v>4965700000</v>
      </c>
      <c r="H419">
        <v>0</v>
      </c>
      <c r="I419">
        <v>0</v>
      </c>
      <c r="K419" s="11">
        <f t="shared" si="6"/>
        <v>8.1909504338029127E-3</v>
      </c>
    </row>
    <row r="420" spans="1:11" x14ac:dyDescent="0.2">
      <c r="A420" s="2">
        <v>43070</v>
      </c>
      <c r="B420">
        <v>2645.10009765625</v>
      </c>
      <c r="C420">
        <v>2650.6201171875</v>
      </c>
      <c r="D420">
        <v>2605.52001953125</v>
      </c>
      <c r="E420">
        <v>2642.219970703125</v>
      </c>
      <c r="F420">
        <v>2642.219970703125</v>
      </c>
      <c r="G420">
        <v>3950930000</v>
      </c>
      <c r="H420">
        <v>0</v>
      </c>
      <c r="I420">
        <v>0</v>
      </c>
      <c r="K420" s="11">
        <f t="shared" si="6"/>
        <v>-2.0245308031139331E-3</v>
      </c>
    </row>
    <row r="421" spans="1:11" x14ac:dyDescent="0.2">
      <c r="A421" s="2">
        <v>43073</v>
      </c>
      <c r="B421">
        <v>2657.18994140625</v>
      </c>
      <c r="C421">
        <v>2665.18994140625</v>
      </c>
      <c r="D421">
        <v>2639.030029296875</v>
      </c>
      <c r="E421">
        <v>2639.43994140625</v>
      </c>
      <c r="F421">
        <v>2639.43994140625</v>
      </c>
      <c r="G421">
        <v>4025840000</v>
      </c>
      <c r="H421">
        <v>0</v>
      </c>
      <c r="I421">
        <v>0</v>
      </c>
      <c r="K421" s="11">
        <f t="shared" si="6"/>
        <v>-1.0521566439205543E-3</v>
      </c>
    </row>
    <row r="422" spans="1:11" x14ac:dyDescent="0.2">
      <c r="A422" s="2">
        <v>43074</v>
      </c>
      <c r="B422">
        <v>2639.780029296875</v>
      </c>
      <c r="C422">
        <v>2648.719970703125</v>
      </c>
      <c r="D422">
        <v>2627.72998046875</v>
      </c>
      <c r="E422">
        <v>2629.570068359375</v>
      </c>
      <c r="F422">
        <v>2629.570068359375</v>
      </c>
      <c r="G422">
        <v>3547570000</v>
      </c>
      <c r="H422">
        <v>0</v>
      </c>
      <c r="I422">
        <v>0</v>
      </c>
      <c r="K422" s="11">
        <f t="shared" si="6"/>
        <v>-3.7393815604747083E-3</v>
      </c>
    </row>
    <row r="423" spans="1:11" x14ac:dyDescent="0.2">
      <c r="A423" s="2">
        <v>43075</v>
      </c>
      <c r="B423">
        <v>2626.239990234375</v>
      </c>
      <c r="C423">
        <v>2634.409912109375</v>
      </c>
      <c r="D423">
        <v>2624.75</v>
      </c>
      <c r="E423">
        <v>2629.27001953125</v>
      </c>
      <c r="F423">
        <v>2629.27001953125</v>
      </c>
      <c r="G423">
        <v>3253080000</v>
      </c>
      <c r="H423">
        <v>0</v>
      </c>
      <c r="I423">
        <v>0</v>
      </c>
      <c r="K423" s="11">
        <f t="shared" si="6"/>
        <v>-1.1410565998426492E-4</v>
      </c>
    </row>
    <row r="424" spans="1:11" x14ac:dyDescent="0.2">
      <c r="A424" s="2">
        <v>43076</v>
      </c>
      <c r="B424">
        <v>2628.3798828125</v>
      </c>
      <c r="C424">
        <v>2640.989990234375</v>
      </c>
      <c r="D424">
        <v>2626.530029296875</v>
      </c>
      <c r="E424">
        <v>2636.97998046875</v>
      </c>
      <c r="F424">
        <v>2636.97998046875</v>
      </c>
      <c r="G424">
        <v>3297060000</v>
      </c>
      <c r="H424">
        <v>0</v>
      </c>
      <c r="I424">
        <v>0</v>
      </c>
      <c r="K424" s="11">
        <f t="shared" si="6"/>
        <v>2.9323579853828274E-3</v>
      </c>
    </row>
    <row r="425" spans="1:11" x14ac:dyDescent="0.2">
      <c r="A425" s="2">
        <v>43077</v>
      </c>
      <c r="B425">
        <v>2646.2099609375</v>
      </c>
      <c r="C425">
        <v>2651.64990234375</v>
      </c>
      <c r="D425">
        <v>2644.10009765625</v>
      </c>
      <c r="E425">
        <v>2651.5</v>
      </c>
      <c r="F425">
        <v>2651.5</v>
      </c>
      <c r="G425">
        <v>3126750000</v>
      </c>
      <c r="H425">
        <v>0</v>
      </c>
      <c r="I425">
        <v>0</v>
      </c>
      <c r="K425" s="11">
        <f t="shared" si="6"/>
        <v>5.5063063196516548E-3</v>
      </c>
    </row>
    <row r="426" spans="1:11" x14ac:dyDescent="0.2">
      <c r="A426" s="2">
        <v>43080</v>
      </c>
      <c r="B426">
        <v>2652.18994140625</v>
      </c>
      <c r="C426">
        <v>2660.330078125</v>
      </c>
      <c r="D426">
        <v>2651.469970703125</v>
      </c>
      <c r="E426">
        <v>2659.989990234375</v>
      </c>
      <c r="F426">
        <v>2659.989990234375</v>
      </c>
      <c r="G426">
        <v>3141480000</v>
      </c>
      <c r="H426">
        <v>0</v>
      </c>
      <c r="I426">
        <v>0</v>
      </c>
      <c r="K426" s="11">
        <f t="shared" si="6"/>
        <v>3.2019574710069332E-3</v>
      </c>
    </row>
    <row r="427" spans="1:11" x14ac:dyDescent="0.2">
      <c r="A427" s="2">
        <v>43081</v>
      </c>
      <c r="B427">
        <v>2661.72998046875</v>
      </c>
      <c r="C427">
        <v>2669.719970703125</v>
      </c>
      <c r="D427">
        <v>2659.780029296875</v>
      </c>
      <c r="E427">
        <v>2664.110107421875</v>
      </c>
      <c r="F427">
        <v>2664.110107421875</v>
      </c>
      <c r="G427">
        <v>3568910000</v>
      </c>
      <c r="H427">
        <v>0</v>
      </c>
      <c r="I427">
        <v>0</v>
      </c>
      <c r="K427" s="11">
        <f t="shared" si="6"/>
        <v>1.548922064604108E-3</v>
      </c>
    </row>
    <row r="428" spans="1:11" x14ac:dyDescent="0.2">
      <c r="A428" s="2">
        <v>43082</v>
      </c>
      <c r="B428">
        <v>2667.590087890625</v>
      </c>
      <c r="C428">
        <v>2671.8798828125</v>
      </c>
      <c r="D428">
        <v>2662.85009765625</v>
      </c>
      <c r="E428">
        <v>2662.85009765625</v>
      </c>
      <c r="F428">
        <v>2662.85009765625</v>
      </c>
      <c r="G428">
        <v>3568360000</v>
      </c>
      <c r="H428">
        <v>0</v>
      </c>
      <c r="I428">
        <v>0</v>
      </c>
      <c r="K428" s="11">
        <f t="shared" si="6"/>
        <v>-4.7295709066785818E-4</v>
      </c>
    </row>
    <row r="429" spans="1:11" x14ac:dyDescent="0.2">
      <c r="A429" s="2">
        <v>43083</v>
      </c>
      <c r="B429">
        <v>2665.8701171875</v>
      </c>
      <c r="C429">
        <v>2668.090087890625</v>
      </c>
      <c r="D429">
        <v>2652.010009765625</v>
      </c>
      <c r="E429">
        <v>2652.010009765625</v>
      </c>
      <c r="F429">
        <v>2652.010009765625</v>
      </c>
      <c r="G429">
        <v>3442760000</v>
      </c>
      <c r="H429">
        <v>0</v>
      </c>
      <c r="I429">
        <v>0</v>
      </c>
      <c r="K429" s="11">
        <f t="shared" si="6"/>
        <v>-4.0708592271739841E-3</v>
      </c>
    </row>
    <row r="430" spans="1:11" x14ac:dyDescent="0.2">
      <c r="A430" s="2">
        <v>43084</v>
      </c>
      <c r="B430">
        <v>2660.6298828125</v>
      </c>
      <c r="C430">
        <v>2679.6298828125</v>
      </c>
      <c r="D430">
        <v>2659.139892578125</v>
      </c>
      <c r="E430">
        <v>2675.81005859375</v>
      </c>
      <c r="F430">
        <v>2675.81005859375</v>
      </c>
      <c r="G430">
        <v>5736910000</v>
      </c>
      <c r="H430">
        <v>0</v>
      </c>
      <c r="I430">
        <v>0</v>
      </c>
      <c r="K430" s="11">
        <f t="shared" si="6"/>
        <v>8.974343513216354E-3</v>
      </c>
    </row>
    <row r="431" spans="1:11" x14ac:dyDescent="0.2">
      <c r="A431" s="2">
        <v>43087</v>
      </c>
      <c r="B431">
        <v>2685.919921875</v>
      </c>
      <c r="C431">
        <v>2694.969970703125</v>
      </c>
      <c r="D431">
        <v>2685.919921875</v>
      </c>
      <c r="E431">
        <v>2690.159912109375</v>
      </c>
      <c r="F431">
        <v>2690.159912109375</v>
      </c>
      <c r="G431">
        <v>3727770000</v>
      </c>
      <c r="H431">
        <v>0</v>
      </c>
      <c r="I431">
        <v>0</v>
      </c>
      <c r="K431" s="11">
        <f t="shared" si="6"/>
        <v>5.3628072252507319E-3</v>
      </c>
    </row>
    <row r="432" spans="1:11" x14ac:dyDescent="0.2">
      <c r="A432" s="2">
        <v>43088</v>
      </c>
      <c r="B432">
        <v>2692.7099609375</v>
      </c>
      <c r="C432">
        <v>2694.43994140625</v>
      </c>
      <c r="D432">
        <v>2680.739990234375</v>
      </c>
      <c r="E432">
        <v>2681.469970703125</v>
      </c>
      <c r="F432">
        <v>2681.469970703125</v>
      </c>
      <c r="G432">
        <v>3407680000</v>
      </c>
      <c r="H432">
        <v>0</v>
      </c>
      <c r="I432">
        <v>0</v>
      </c>
      <c r="K432" s="11">
        <f t="shared" si="6"/>
        <v>-3.2302694598687065E-3</v>
      </c>
    </row>
    <row r="433" spans="1:11" x14ac:dyDescent="0.2">
      <c r="A433" s="2">
        <v>43089</v>
      </c>
      <c r="B433">
        <v>2688.179931640625</v>
      </c>
      <c r="C433">
        <v>2691.010009765625</v>
      </c>
      <c r="D433">
        <v>2676.110107421875</v>
      </c>
      <c r="E433">
        <v>2679.25</v>
      </c>
      <c r="F433">
        <v>2679.25</v>
      </c>
      <c r="G433">
        <v>3246230000</v>
      </c>
      <c r="H433">
        <v>0</v>
      </c>
      <c r="I433">
        <v>0</v>
      </c>
      <c r="K433" s="11">
        <f t="shared" si="6"/>
        <v>-8.2789318074771856E-4</v>
      </c>
    </row>
    <row r="434" spans="1:11" x14ac:dyDescent="0.2">
      <c r="A434" s="2">
        <v>43090</v>
      </c>
      <c r="B434">
        <v>2683.02001953125</v>
      </c>
      <c r="C434">
        <v>2692.639892578125</v>
      </c>
      <c r="D434">
        <v>2682.39990234375</v>
      </c>
      <c r="E434">
        <v>2684.570068359375</v>
      </c>
      <c r="F434">
        <v>2684.570068359375</v>
      </c>
      <c r="G434">
        <v>3293130000</v>
      </c>
      <c r="H434">
        <v>0</v>
      </c>
      <c r="I434">
        <v>0</v>
      </c>
      <c r="K434" s="11">
        <f t="shared" si="6"/>
        <v>1.9856558213586784E-3</v>
      </c>
    </row>
    <row r="435" spans="1:11" x14ac:dyDescent="0.2">
      <c r="A435" s="2">
        <v>43091</v>
      </c>
      <c r="B435">
        <v>2684.219970703125</v>
      </c>
      <c r="C435">
        <v>2685.35009765625</v>
      </c>
      <c r="D435">
        <v>2678.1298828125</v>
      </c>
      <c r="E435">
        <v>2683.340087890625</v>
      </c>
      <c r="F435">
        <v>2683.340087890625</v>
      </c>
      <c r="G435">
        <v>2401030000</v>
      </c>
      <c r="H435">
        <v>0</v>
      </c>
      <c r="I435">
        <v>0</v>
      </c>
      <c r="K435" s="11">
        <f t="shared" si="6"/>
        <v>-4.5816664770526039E-4</v>
      </c>
    </row>
    <row r="436" spans="1:11" x14ac:dyDescent="0.2">
      <c r="A436" s="2">
        <v>43095</v>
      </c>
      <c r="B436">
        <v>2679.090087890625</v>
      </c>
      <c r="C436">
        <v>2682.739990234375</v>
      </c>
      <c r="D436">
        <v>2677.9599609375</v>
      </c>
      <c r="E436">
        <v>2680.5</v>
      </c>
      <c r="F436">
        <v>2680.5</v>
      </c>
      <c r="G436">
        <v>1970660000</v>
      </c>
      <c r="H436">
        <v>0</v>
      </c>
      <c r="I436">
        <v>0</v>
      </c>
      <c r="K436" s="11">
        <f t="shared" si="6"/>
        <v>-1.0584151831672939E-3</v>
      </c>
    </row>
    <row r="437" spans="1:11" x14ac:dyDescent="0.2">
      <c r="A437" s="2">
        <v>43096</v>
      </c>
      <c r="B437">
        <v>2682.10009765625</v>
      </c>
      <c r="C437">
        <v>2685.639892578125</v>
      </c>
      <c r="D437">
        <v>2678.909912109375</v>
      </c>
      <c r="E437">
        <v>2682.6201171875</v>
      </c>
      <c r="F437">
        <v>2682.6201171875</v>
      </c>
      <c r="G437">
        <v>2202900000</v>
      </c>
      <c r="H437">
        <v>0</v>
      </c>
      <c r="I437">
        <v>0</v>
      </c>
      <c r="K437" s="11">
        <f t="shared" si="6"/>
        <v>7.9094093919040986E-4</v>
      </c>
    </row>
    <row r="438" spans="1:11" x14ac:dyDescent="0.2">
      <c r="A438" s="2">
        <v>43097</v>
      </c>
      <c r="B438">
        <v>2686.10009765625</v>
      </c>
      <c r="C438">
        <v>2687.659912109375</v>
      </c>
      <c r="D438">
        <v>2682.68994140625</v>
      </c>
      <c r="E438">
        <v>2687.5400390625</v>
      </c>
      <c r="F438">
        <v>2687.5400390625</v>
      </c>
      <c r="G438">
        <v>2174890000</v>
      </c>
      <c r="H438">
        <v>0</v>
      </c>
      <c r="I438">
        <v>0</v>
      </c>
      <c r="K438" s="11">
        <f t="shared" si="6"/>
        <v>1.8339987251561052E-3</v>
      </c>
    </row>
    <row r="439" spans="1:11" x14ac:dyDescent="0.2">
      <c r="A439" s="2">
        <v>43098</v>
      </c>
      <c r="B439">
        <v>2689.14990234375</v>
      </c>
      <c r="C439">
        <v>2692.1201171875</v>
      </c>
      <c r="D439">
        <v>2673.610107421875</v>
      </c>
      <c r="E439">
        <v>2673.610107421875</v>
      </c>
      <c r="F439">
        <v>2673.610107421875</v>
      </c>
      <c r="G439">
        <v>2447760000</v>
      </c>
      <c r="H439">
        <v>0</v>
      </c>
      <c r="I439">
        <v>0</v>
      </c>
      <c r="K439" s="11">
        <f t="shared" si="6"/>
        <v>-5.1831531579653589E-3</v>
      </c>
    </row>
    <row r="440" spans="1:11" x14ac:dyDescent="0.2">
      <c r="A440" s="2">
        <v>43102</v>
      </c>
      <c r="B440">
        <v>2683.72998046875</v>
      </c>
      <c r="C440">
        <v>2695.889892578125</v>
      </c>
      <c r="D440">
        <v>2682.360107421875</v>
      </c>
      <c r="E440">
        <v>2695.81005859375</v>
      </c>
      <c r="F440">
        <v>2695.81005859375</v>
      </c>
      <c r="G440">
        <v>3397430000</v>
      </c>
      <c r="H440">
        <v>0</v>
      </c>
      <c r="I440">
        <v>0</v>
      </c>
      <c r="K440" s="11">
        <f t="shared" si="6"/>
        <v>8.3033614775200881E-3</v>
      </c>
    </row>
    <row r="441" spans="1:11" x14ac:dyDescent="0.2">
      <c r="A441" s="2">
        <v>43103</v>
      </c>
      <c r="B441">
        <v>2697.85009765625</v>
      </c>
      <c r="C441">
        <v>2714.3701171875</v>
      </c>
      <c r="D441">
        <v>2697.77001953125</v>
      </c>
      <c r="E441">
        <v>2713.06005859375</v>
      </c>
      <c r="F441">
        <v>2713.06005859375</v>
      </c>
      <c r="G441">
        <v>3544030000</v>
      </c>
      <c r="H441">
        <v>0</v>
      </c>
      <c r="I441">
        <v>0</v>
      </c>
      <c r="K441" s="11">
        <f t="shared" si="6"/>
        <v>6.3988187687815667E-3</v>
      </c>
    </row>
    <row r="442" spans="1:11" x14ac:dyDescent="0.2">
      <c r="A442" s="2">
        <v>43104</v>
      </c>
      <c r="B442">
        <v>2719.31005859375</v>
      </c>
      <c r="C442">
        <v>2729.2900390625</v>
      </c>
      <c r="D442">
        <v>2719.070068359375</v>
      </c>
      <c r="E442">
        <v>2723.989990234375</v>
      </c>
      <c r="F442">
        <v>2723.989990234375</v>
      </c>
      <c r="G442">
        <v>3697340000</v>
      </c>
      <c r="H442">
        <v>0</v>
      </c>
      <c r="I442">
        <v>0</v>
      </c>
      <c r="K442" s="11">
        <f t="shared" si="6"/>
        <v>4.0286360805039667E-3</v>
      </c>
    </row>
    <row r="443" spans="1:11" x14ac:dyDescent="0.2">
      <c r="A443" s="2">
        <v>43105</v>
      </c>
      <c r="B443">
        <v>2731.330078125</v>
      </c>
      <c r="C443">
        <v>2743.449951171875</v>
      </c>
      <c r="D443">
        <v>2727.919921875</v>
      </c>
      <c r="E443">
        <v>2743.14990234375</v>
      </c>
      <c r="F443">
        <v>2743.14990234375</v>
      </c>
      <c r="G443">
        <v>3239280000</v>
      </c>
      <c r="H443">
        <v>0</v>
      </c>
      <c r="I443">
        <v>0</v>
      </c>
      <c r="K443" s="11">
        <f t="shared" si="6"/>
        <v>7.0337674433695874E-3</v>
      </c>
    </row>
    <row r="444" spans="1:11" x14ac:dyDescent="0.2">
      <c r="A444" s="2">
        <v>43108</v>
      </c>
      <c r="B444">
        <v>2742.669921875</v>
      </c>
      <c r="C444">
        <v>2748.510009765625</v>
      </c>
      <c r="D444">
        <v>2737.60009765625</v>
      </c>
      <c r="E444">
        <v>2747.7099609375</v>
      </c>
      <c r="F444">
        <v>2747.7099609375</v>
      </c>
      <c r="G444">
        <v>3246160000</v>
      </c>
      <c r="H444">
        <v>0</v>
      </c>
      <c r="I444">
        <v>0</v>
      </c>
      <c r="K444" s="11">
        <f t="shared" si="6"/>
        <v>1.6623439316436617E-3</v>
      </c>
    </row>
    <row r="445" spans="1:11" x14ac:dyDescent="0.2">
      <c r="A445" s="2">
        <v>43109</v>
      </c>
      <c r="B445">
        <v>2751.14990234375</v>
      </c>
      <c r="C445">
        <v>2759.139892578125</v>
      </c>
      <c r="D445">
        <v>2747.860107421875</v>
      </c>
      <c r="E445">
        <v>2751.2900390625</v>
      </c>
      <c r="F445">
        <v>2751.2900390625</v>
      </c>
      <c r="G445">
        <v>3467460000</v>
      </c>
      <c r="H445">
        <v>0</v>
      </c>
      <c r="I445">
        <v>0</v>
      </c>
      <c r="K445" s="11">
        <f t="shared" si="6"/>
        <v>1.3029315960912946E-3</v>
      </c>
    </row>
    <row r="446" spans="1:11" x14ac:dyDescent="0.2">
      <c r="A446" s="2">
        <v>43110</v>
      </c>
      <c r="B446">
        <v>2745.550048828125</v>
      </c>
      <c r="C446">
        <v>2750.800048828125</v>
      </c>
      <c r="D446">
        <v>2736.06005859375</v>
      </c>
      <c r="E446">
        <v>2748.22998046875</v>
      </c>
      <c r="F446">
        <v>2748.22998046875</v>
      </c>
      <c r="G446">
        <v>3579900000</v>
      </c>
      <c r="H446">
        <v>0</v>
      </c>
      <c r="I446">
        <v>0</v>
      </c>
      <c r="K446" s="11">
        <f t="shared" si="6"/>
        <v>-1.1122268282528491E-3</v>
      </c>
    </row>
    <row r="447" spans="1:11" x14ac:dyDescent="0.2">
      <c r="A447" s="2">
        <v>43111</v>
      </c>
      <c r="B447">
        <v>2752.969970703125</v>
      </c>
      <c r="C447">
        <v>2767.56005859375</v>
      </c>
      <c r="D447">
        <v>2752.780029296875</v>
      </c>
      <c r="E447">
        <v>2767.56005859375</v>
      </c>
      <c r="F447">
        <v>2767.56005859375</v>
      </c>
      <c r="G447">
        <v>3645690000</v>
      </c>
      <c r="H447">
        <v>0</v>
      </c>
      <c r="I447">
        <v>0</v>
      </c>
      <c r="K447" s="11">
        <f t="shared" si="6"/>
        <v>7.033646478779465E-3</v>
      </c>
    </row>
    <row r="448" spans="1:11" x14ac:dyDescent="0.2">
      <c r="A448" s="2">
        <v>43112</v>
      </c>
      <c r="B448">
        <v>2770.179931640625</v>
      </c>
      <c r="C448">
        <v>2787.85009765625</v>
      </c>
      <c r="D448">
        <v>2769.639892578125</v>
      </c>
      <c r="E448">
        <v>2786.239990234375</v>
      </c>
      <c r="F448">
        <v>2786.239990234375</v>
      </c>
      <c r="G448">
        <v>3587220000</v>
      </c>
      <c r="H448">
        <v>0</v>
      </c>
      <c r="I448">
        <v>0</v>
      </c>
      <c r="K448" s="11">
        <f t="shared" si="6"/>
        <v>6.7496029878810759E-3</v>
      </c>
    </row>
    <row r="449" spans="1:11" x14ac:dyDescent="0.2">
      <c r="A449" s="2">
        <v>43116</v>
      </c>
      <c r="B449">
        <v>2798.9599609375</v>
      </c>
      <c r="C449">
        <v>2807.5400390625</v>
      </c>
      <c r="D449">
        <v>2768.639892578125</v>
      </c>
      <c r="E449">
        <v>2776.419921875</v>
      </c>
      <c r="F449">
        <v>2776.419921875</v>
      </c>
      <c r="G449">
        <v>4362880000</v>
      </c>
      <c r="H449">
        <v>0</v>
      </c>
      <c r="I449">
        <v>0</v>
      </c>
      <c r="K449" s="11">
        <f t="shared" si="6"/>
        <v>-3.5244876226721011E-3</v>
      </c>
    </row>
    <row r="450" spans="1:11" x14ac:dyDescent="0.2">
      <c r="A450" s="2">
        <v>43117</v>
      </c>
      <c r="B450">
        <v>2784.989990234375</v>
      </c>
      <c r="C450">
        <v>2807.0400390625</v>
      </c>
      <c r="D450">
        <v>2778.3798828125</v>
      </c>
      <c r="E450">
        <v>2802.56005859375</v>
      </c>
      <c r="F450">
        <v>2802.56005859375</v>
      </c>
      <c r="G450">
        <v>3790340000</v>
      </c>
      <c r="H450">
        <v>0</v>
      </c>
      <c r="I450">
        <v>0</v>
      </c>
      <c r="K450" s="11">
        <f t="shared" si="6"/>
        <v>9.4150515607511753E-3</v>
      </c>
    </row>
    <row r="451" spans="1:11" x14ac:dyDescent="0.2">
      <c r="A451" s="2">
        <v>43118</v>
      </c>
      <c r="B451">
        <v>2802.39990234375</v>
      </c>
      <c r="C451">
        <v>2805.830078125</v>
      </c>
      <c r="D451">
        <v>2792.56005859375</v>
      </c>
      <c r="E451">
        <v>2798.030029296875</v>
      </c>
      <c r="F451">
        <v>2798.030029296875</v>
      </c>
      <c r="G451">
        <v>3703300000</v>
      </c>
      <c r="H451">
        <v>0</v>
      </c>
      <c r="I451">
        <v>0</v>
      </c>
      <c r="K451" s="11">
        <f t="shared" si="6"/>
        <v>-1.6163897301626484E-3</v>
      </c>
    </row>
    <row r="452" spans="1:11" x14ac:dyDescent="0.2">
      <c r="A452" s="2">
        <v>43119</v>
      </c>
      <c r="B452">
        <v>2802.60009765625</v>
      </c>
      <c r="C452">
        <v>2810.330078125</v>
      </c>
      <c r="D452">
        <v>2798.080078125</v>
      </c>
      <c r="E452">
        <v>2810.300048828125</v>
      </c>
      <c r="F452">
        <v>2810.300048828125</v>
      </c>
      <c r="G452">
        <v>3724230000</v>
      </c>
      <c r="H452">
        <v>0</v>
      </c>
      <c r="I452">
        <v>0</v>
      </c>
      <c r="K452" s="11">
        <f t="shared" ref="K452:K515" si="7">(E452/E451)-1</f>
        <v>4.3852351128388367E-3</v>
      </c>
    </row>
    <row r="453" spans="1:11" x14ac:dyDescent="0.2">
      <c r="A453" s="2">
        <v>43122</v>
      </c>
      <c r="B453">
        <v>2809.159912109375</v>
      </c>
      <c r="C453">
        <v>2833.030029296875</v>
      </c>
      <c r="D453">
        <v>2808.1201171875</v>
      </c>
      <c r="E453">
        <v>2832.969970703125</v>
      </c>
      <c r="F453">
        <v>2832.969970703125</v>
      </c>
      <c r="G453">
        <v>3489480000</v>
      </c>
      <c r="H453">
        <v>0</v>
      </c>
      <c r="I453">
        <v>0</v>
      </c>
      <c r="K453" s="11">
        <f t="shared" si="7"/>
        <v>8.0667264993476984E-3</v>
      </c>
    </row>
    <row r="454" spans="1:11" x14ac:dyDescent="0.2">
      <c r="A454" s="2">
        <v>43123</v>
      </c>
      <c r="B454">
        <v>2835.050048828125</v>
      </c>
      <c r="C454">
        <v>2842.239990234375</v>
      </c>
      <c r="D454">
        <v>2830.590087890625</v>
      </c>
      <c r="E454">
        <v>2839.1298828125</v>
      </c>
      <c r="F454">
        <v>2839.1298828125</v>
      </c>
      <c r="G454">
        <v>3541140000</v>
      </c>
      <c r="H454">
        <v>0</v>
      </c>
      <c r="I454">
        <v>0</v>
      </c>
      <c r="K454" s="11">
        <f t="shared" si="7"/>
        <v>2.1743654797181655E-3</v>
      </c>
    </row>
    <row r="455" spans="1:11" x14ac:dyDescent="0.2">
      <c r="A455" s="2">
        <v>43124</v>
      </c>
      <c r="B455">
        <v>2845.419921875</v>
      </c>
      <c r="C455">
        <v>2852.969970703125</v>
      </c>
      <c r="D455">
        <v>2824.81005859375</v>
      </c>
      <c r="E455">
        <v>2837.5400390625</v>
      </c>
      <c r="F455">
        <v>2837.5400390625</v>
      </c>
      <c r="G455">
        <v>4079270000</v>
      </c>
      <c r="H455">
        <v>0</v>
      </c>
      <c r="I455">
        <v>0</v>
      </c>
      <c r="K455" s="11">
        <f t="shared" si="7"/>
        <v>-5.5997570228283333E-4</v>
      </c>
    </row>
    <row r="456" spans="1:11" x14ac:dyDescent="0.2">
      <c r="A456" s="2">
        <v>43125</v>
      </c>
      <c r="B456">
        <v>2846.239990234375</v>
      </c>
      <c r="C456">
        <v>2848.56005859375</v>
      </c>
      <c r="D456">
        <v>2830.93994140625</v>
      </c>
      <c r="E456">
        <v>2839.25</v>
      </c>
      <c r="F456">
        <v>2839.25</v>
      </c>
      <c r="G456">
        <v>3873100000</v>
      </c>
      <c r="H456">
        <v>0</v>
      </c>
      <c r="I456">
        <v>0</v>
      </c>
      <c r="K456" s="11">
        <f t="shared" si="7"/>
        <v>6.0262090189389106E-4</v>
      </c>
    </row>
    <row r="457" spans="1:11" x14ac:dyDescent="0.2">
      <c r="A457" s="2">
        <v>43126</v>
      </c>
      <c r="B457">
        <v>2847.47998046875</v>
      </c>
      <c r="C457">
        <v>2872.8701171875</v>
      </c>
      <c r="D457">
        <v>2846.179931640625</v>
      </c>
      <c r="E457">
        <v>2872.8701171875</v>
      </c>
      <c r="F457">
        <v>2872.8701171875</v>
      </c>
      <c r="G457">
        <v>3474680000</v>
      </c>
      <c r="H457">
        <v>0</v>
      </c>
      <c r="I457">
        <v>0</v>
      </c>
      <c r="K457" s="11">
        <f t="shared" si="7"/>
        <v>1.1841196508761032E-2</v>
      </c>
    </row>
    <row r="458" spans="1:11" x14ac:dyDescent="0.2">
      <c r="A458" s="2">
        <v>43129</v>
      </c>
      <c r="B458">
        <v>2867.22998046875</v>
      </c>
      <c r="C458">
        <v>2870.6201171875</v>
      </c>
      <c r="D458">
        <v>2851.47998046875</v>
      </c>
      <c r="E458">
        <v>2853.530029296875</v>
      </c>
      <c r="F458">
        <v>2853.530029296875</v>
      </c>
      <c r="G458">
        <v>3587420000</v>
      </c>
      <c r="H458">
        <v>0</v>
      </c>
      <c r="I458">
        <v>0</v>
      </c>
      <c r="K458" s="11">
        <f t="shared" si="7"/>
        <v>-6.7319743328871917E-3</v>
      </c>
    </row>
    <row r="459" spans="1:11" x14ac:dyDescent="0.2">
      <c r="A459" s="2">
        <v>43130</v>
      </c>
      <c r="B459">
        <v>2832.739990234375</v>
      </c>
      <c r="C459">
        <v>2837.75</v>
      </c>
      <c r="D459">
        <v>2818.27001953125</v>
      </c>
      <c r="E459">
        <v>2822.429931640625</v>
      </c>
      <c r="F459">
        <v>2822.429931640625</v>
      </c>
      <c r="G459">
        <v>4012070000</v>
      </c>
      <c r="H459">
        <v>0</v>
      </c>
      <c r="I459">
        <v>0</v>
      </c>
      <c r="K459" s="11">
        <f t="shared" si="7"/>
        <v>-1.0898815620283941E-2</v>
      </c>
    </row>
    <row r="460" spans="1:11" x14ac:dyDescent="0.2">
      <c r="A460" s="2">
        <v>43131</v>
      </c>
      <c r="B460">
        <v>2832.409912109375</v>
      </c>
      <c r="C460">
        <v>2839.260009765625</v>
      </c>
      <c r="D460">
        <v>2813.0400390625</v>
      </c>
      <c r="E460">
        <v>2823.81005859375</v>
      </c>
      <c r="F460">
        <v>2823.81005859375</v>
      </c>
      <c r="G460">
        <v>4276270000</v>
      </c>
      <c r="H460">
        <v>0</v>
      </c>
      <c r="I460">
        <v>0</v>
      </c>
      <c r="K460" s="11">
        <f t="shared" si="7"/>
        <v>4.8898537308339485E-4</v>
      </c>
    </row>
    <row r="461" spans="1:11" x14ac:dyDescent="0.2">
      <c r="A461" s="2">
        <v>43132</v>
      </c>
      <c r="B461">
        <v>2816.449951171875</v>
      </c>
      <c r="C461">
        <v>2835.9599609375</v>
      </c>
      <c r="D461">
        <v>2812.699951171875</v>
      </c>
      <c r="E461">
        <v>2821.97998046875</v>
      </c>
      <c r="F461">
        <v>2821.97998046875</v>
      </c>
      <c r="G461">
        <v>3977380000</v>
      </c>
      <c r="H461">
        <v>0</v>
      </c>
      <c r="I461">
        <v>0</v>
      </c>
      <c r="K461" s="11">
        <f t="shared" si="7"/>
        <v>-6.4808825205164844E-4</v>
      </c>
    </row>
    <row r="462" spans="1:11" x14ac:dyDescent="0.2">
      <c r="A462" s="2">
        <v>43133</v>
      </c>
      <c r="B462">
        <v>2808.919921875</v>
      </c>
      <c r="C462">
        <v>2808.919921875</v>
      </c>
      <c r="D462">
        <v>2759.969970703125</v>
      </c>
      <c r="E462">
        <v>2762.1298828125</v>
      </c>
      <c r="F462">
        <v>2762.1298828125</v>
      </c>
      <c r="G462">
        <v>4340220000</v>
      </c>
      <c r="H462">
        <v>0</v>
      </c>
      <c r="I462">
        <v>0</v>
      </c>
      <c r="K462" s="11">
        <f t="shared" si="7"/>
        <v>-2.1208547923968091E-2</v>
      </c>
    </row>
    <row r="463" spans="1:11" x14ac:dyDescent="0.2">
      <c r="A463" s="2">
        <v>43136</v>
      </c>
      <c r="B463">
        <v>2741.06005859375</v>
      </c>
      <c r="C463">
        <v>2763.389892578125</v>
      </c>
      <c r="D463">
        <v>2638.169921875</v>
      </c>
      <c r="E463">
        <v>2648.93994140625</v>
      </c>
      <c r="F463">
        <v>2648.93994140625</v>
      </c>
      <c r="G463">
        <v>5310840000</v>
      </c>
      <c r="H463">
        <v>0</v>
      </c>
      <c r="I463">
        <v>0</v>
      </c>
      <c r="K463" s="11">
        <f t="shared" si="7"/>
        <v>-4.097922480422822E-2</v>
      </c>
    </row>
    <row r="464" spans="1:11" x14ac:dyDescent="0.2">
      <c r="A464" s="2">
        <v>43137</v>
      </c>
      <c r="B464">
        <v>2614.780029296875</v>
      </c>
      <c r="C464">
        <v>2701.0400390625</v>
      </c>
      <c r="D464">
        <v>2593.070068359375</v>
      </c>
      <c r="E464">
        <v>2695.139892578125</v>
      </c>
      <c r="F464">
        <v>2695.139892578125</v>
      </c>
      <c r="G464">
        <v>5917350000</v>
      </c>
      <c r="H464">
        <v>0</v>
      </c>
      <c r="I464">
        <v>0</v>
      </c>
      <c r="K464" s="11">
        <f t="shared" si="7"/>
        <v>1.7440920592313836E-2</v>
      </c>
    </row>
    <row r="465" spans="1:11" x14ac:dyDescent="0.2">
      <c r="A465" s="2">
        <v>43138</v>
      </c>
      <c r="B465">
        <v>2690.949951171875</v>
      </c>
      <c r="C465">
        <v>2727.669921875</v>
      </c>
      <c r="D465">
        <v>2681.330078125</v>
      </c>
      <c r="E465">
        <v>2681.659912109375</v>
      </c>
      <c r="F465">
        <v>2681.659912109375</v>
      </c>
      <c r="G465">
        <v>4646300000</v>
      </c>
      <c r="H465">
        <v>0</v>
      </c>
      <c r="I465">
        <v>0</v>
      </c>
      <c r="K465" s="11">
        <f t="shared" si="7"/>
        <v>-5.0015884169394287E-3</v>
      </c>
    </row>
    <row r="466" spans="1:11" x14ac:dyDescent="0.2">
      <c r="A466" s="2">
        <v>43139</v>
      </c>
      <c r="B466">
        <v>2685.010009765625</v>
      </c>
      <c r="C466">
        <v>2685.27001953125</v>
      </c>
      <c r="D466">
        <v>2580.56005859375</v>
      </c>
      <c r="E466">
        <v>2581</v>
      </c>
      <c r="F466">
        <v>2581</v>
      </c>
      <c r="G466">
        <v>5333840000</v>
      </c>
      <c r="H466">
        <v>0</v>
      </c>
      <c r="I466">
        <v>0</v>
      </c>
      <c r="K466" s="11">
        <f t="shared" si="7"/>
        <v>-3.753641975808808E-2</v>
      </c>
    </row>
    <row r="467" spans="1:11" x14ac:dyDescent="0.2">
      <c r="A467" s="2">
        <v>43140</v>
      </c>
      <c r="B467">
        <v>2601.780029296875</v>
      </c>
      <c r="C467">
        <v>2638.669921875</v>
      </c>
      <c r="D467">
        <v>2532.68994140625</v>
      </c>
      <c r="E467">
        <v>2619.550048828125</v>
      </c>
      <c r="F467">
        <v>2619.550048828125</v>
      </c>
      <c r="G467">
        <v>5690110000</v>
      </c>
      <c r="H467">
        <v>0</v>
      </c>
      <c r="I467">
        <v>0</v>
      </c>
      <c r="K467" s="11">
        <f t="shared" si="7"/>
        <v>1.4936090208494734E-2</v>
      </c>
    </row>
    <row r="468" spans="1:11" x14ac:dyDescent="0.2">
      <c r="A468" s="2">
        <v>43143</v>
      </c>
      <c r="B468">
        <v>2636.75</v>
      </c>
      <c r="C468">
        <v>2672.610107421875</v>
      </c>
      <c r="D468">
        <v>2622.449951171875</v>
      </c>
      <c r="E468">
        <v>2656</v>
      </c>
      <c r="F468">
        <v>2656</v>
      </c>
      <c r="G468">
        <v>4069220000</v>
      </c>
      <c r="H468">
        <v>0</v>
      </c>
      <c r="I468">
        <v>0</v>
      </c>
      <c r="K468" s="11">
        <f t="shared" si="7"/>
        <v>1.3914584754042503E-2</v>
      </c>
    </row>
    <row r="469" spans="1:11" x14ac:dyDescent="0.2">
      <c r="A469" s="2">
        <v>43144</v>
      </c>
      <c r="B469">
        <v>2646.27001953125</v>
      </c>
      <c r="C469">
        <v>2668.840087890625</v>
      </c>
      <c r="D469">
        <v>2637.080078125</v>
      </c>
      <c r="E469">
        <v>2662.93994140625</v>
      </c>
      <c r="F469">
        <v>2662.93994140625</v>
      </c>
      <c r="G469">
        <v>3503540000</v>
      </c>
      <c r="H469">
        <v>0</v>
      </c>
      <c r="I469">
        <v>0</v>
      </c>
      <c r="K469" s="11">
        <f t="shared" si="7"/>
        <v>2.6129297463290957E-3</v>
      </c>
    </row>
    <row r="470" spans="1:11" x14ac:dyDescent="0.2">
      <c r="A470" s="2">
        <v>43145</v>
      </c>
      <c r="B470">
        <v>2651.2099609375</v>
      </c>
      <c r="C470">
        <v>2702.10009765625</v>
      </c>
      <c r="D470">
        <v>2648.8701171875</v>
      </c>
      <c r="E470">
        <v>2698.6298828125</v>
      </c>
      <c r="F470">
        <v>2698.6298828125</v>
      </c>
      <c r="G470">
        <v>4011940000</v>
      </c>
      <c r="H470">
        <v>0</v>
      </c>
      <c r="I470">
        <v>0</v>
      </c>
      <c r="K470" s="11">
        <f t="shared" si="7"/>
        <v>1.3402458257245842E-2</v>
      </c>
    </row>
    <row r="471" spans="1:11" x14ac:dyDescent="0.2">
      <c r="A471" s="2">
        <v>43146</v>
      </c>
      <c r="B471">
        <v>2713.4599609375</v>
      </c>
      <c r="C471">
        <v>2731.510009765625</v>
      </c>
      <c r="D471">
        <v>2689.820068359375</v>
      </c>
      <c r="E471">
        <v>2731.199951171875</v>
      </c>
      <c r="F471">
        <v>2731.199951171875</v>
      </c>
      <c r="G471">
        <v>3696140000</v>
      </c>
      <c r="H471">
        <v>0</v>
      </c>
      <c r="I471">
        <v>0</v>
      </c>
      <c r="K471" s="11">
        <f t="shared" si="7"/>
        <v>1.2069112762299383E-2</v>
      </c>
    </row>
    <row r="472" spans="1:11" x14ac:dyDescent="0.2">
      <c r="A472" s="2">
        <v>43147</v>
      </c>
      <c r="B472">
        <v>2727.139892578125</v>
      </c>
      <c r="C472">
        <v>2754.419921875</v>
      </c>
      <c r="D472">
        <v>2725.110107421875</v>
      </c>
      <c r="E472">
        <v>2732.219970703125</v>
      </c>
      <c r="F472">
        <v>2732.219970703125</v>
      </c>
      <c r="G472">
        <v>3646920000</v>
      </c>
      <c r="H472">
        <v>0</v>
      </c>
      <c r="I472">
        <v>0</v>
      </c>
      <c r="K472" s="11">
        <f t="shared" si="7"/>
        <v>3.734693722488025E-4</v>
      </c>
    </row>
    <row r="473" spans="1:11" x14ac:dyDescent="0.2">
      <c r="A473" s="2">
        <v>43151</v>
      </c>
      <c r="B473">
        <v>2722.989990234375</v>
      </c>
      <c r="C473">
        <v>2737.60009765625</v>
      </c>
      <c r="D473">
        <v>2706.760009765625</v>
      </c>
      <c r="E473">
        <v>2716.260009765625</v>
      </c>
      <c r="F473">
        <v>2716.260009765625</v>
      </c>
      <c r="G473">
        <v>3646920000</v>
      </c>
      <c r="H473">
        <v>0</v>
      </c>
      <c r="I473">
        <v>0</v>
      </c>
      <c r="K473" s="11">
        <f t="shared" si="7"/>
        <v>-5.8413894593534188E-3</v>
      </c>
    </row>
    <row r="474" spans="1:11" x14ac:dyDescent="0.2">
      <c r="A474" s="2">
        <v>43152</v>
      </c>
      <c r="B474">
        <v>2720.530029296875</v>
      </c>
      <c r="C474">
        <v>2747.75</v>
      </c>
      <c r="D474">
        <v>2701.2900390625</v>
      </c>
      <c r="E474">
        <v>2701.330078125</v>
      </c>
      <c r="F474">
        <v>2701.330078125</v>
      </c>
      <c r="G474">
        <v>3789040000</v>
      </c>
      <c r="H474">
        <v>0</v>
      </c>
      <c r="I474">
        <v>0</v>
      </c>
      <c r="K474" s="11">
        <f t="shared" si="7"/>
        <v>-5.4965031281792864E-3</v>
      </c>
    </row>
    <row r="475" spans="1:11" x14ac:dyDescent="0.2">
      <c r="A475" s="2">
        <v>43153</v>
      </c>
      <c r="B475">
        <v>2710.419921875</v>
      </c>
      <c r="C475">
        <v>2731.260009765625</v>
      </c>
      <c r="D475">
        <v>2697.77001953125</v>
      </c>
      <c r="E475">
        <v>2703.9599609375</v>
      </c>
      <c r="F475">
        <v>2703.9599609375</v>
      </c>
      <c r="G475">
        <v>3720620000</v>
      </c>
      <c r="H475">
        <v>0</v>
      </c>
      <c r="I475">
        <v>0</v>
      </c>
      <c r="K475" s="11">
        <f t="shared" si="7"/>
        <v>9.7355107907626248E-4</v>
      </c>
    </row>
    <row r="476" spans="1:11" x14ac:dyDescent="0.2">
      <c r="A476" s="2">
        <v>43154</v>
      </c>
      <c r="B476">
        <v>2715.800048828125</v>
      </c>
      <c r="C476">
        <v>2747.760009765625</v>
      </c>
      <c r="D476">
        <v>2713.739990234375</v>
      </c>
      <c r="E476">
        <v>2747.300048828125</v>
      </c>
      <c r="F476">
        <v>2747.300048828125</v>
      </c>
      <c r="G476">
        <v>3200360000</v>
      </c>
      <c r="H476">
        <v>0</v>
      </c>
      <c r="I476">
        <v>0</v>
      </c>
      <c r="K476" s="11">
        <f t="shared" si="7"/>
        <v>1.6028376350513129E-2</v>
      </c>
    </row>
    <row r="477" spans="1:11" x14ac:dyDescent="0.2">
      <c r="A477" s="2">
        <v>43157</v>
      </c>
      <c r="B477">
        <v>2757.3701171875</v>
      </c>
      <c r="C477">
        <v>2780.639892578125</v>
      </c>
      <c r="D477">
        <v>2753.780029296875</v>
      </c>
      <c r="E477">
        <v>2779.60009765625</v>
      </c>
      <c r="F477">
        <v>2779.60009765625</v>
      </c>
      <c r="G477">
        <v>3436590000</v>
      </c>
      <c r="H477">
        <v>0</v>
      </c>
      <c r="I477">
        <v>0</v>
      </c>
      <c r="K477" s="11">
        <f t="shared" si="7"/>
        <v>1.1757015343810906E-2</v>
      </c>
    </row>
    <row r="478" spans="1:11" x14ac:dyDescent="0.2">
      <c r="A478" s="2">
        <v>43158</v>
      </c>
      <c r="B478">
        <v>2780.449951171875</v>
      </c>
      <c r="C478">
        <v>2789.14990234375</v>
      </c>
      <c r="D478">
        <v>2744.219970703125</v>
      </c>
      <c r="E478">
        <v>2744.280029296875</v>
      </c>
      <c r="F478">
        <v>2744.280029296875</v>
      </c>
      <c r="G478">
        <v>3752070000</v>
      </c>
      <c r="H478">
        <v>0</v>
      </c>
      <c r="I478">
        <v>0</v>
      </c>
      <c r="K478" s="11">
        <f t="shared" si="7"/>
        <v>-1.2706888443829278E-2</v>
      </c>
    </row>
    <row r="479" spans="1:11" x14ac:dyDescent="0.2">
      <c r="A479" s="2">
        <v>43159</v>
      </c>
      <c r="B479">
        <v>2753.780029296875</v>
      </c>
      <c r="C479">
        <v>2761.52001953125</v>
      </c>
      <c r="D479">
        <v>2713.5400390625</v>
      </c>
      <c r="E479">
        <v>2713.830078125</v>
      </c>
      <c r="F479">
        <v>2713.830078125</v>
      </c>
      <c r="G479">
        <v>4244570000</v>
      </c>
      <c r="H479">
        <v>0</v>
      </c>
      <c r="I479">
        <v>0</v>
      </c>
      <c r="K479" s="11">
        <f t="shared" si="7"/>
        <v>-1.1095788639207016E-2</v>
      </c>
    </row>
    <row r="480" spans="1:11" x14ac:dyDescent="0.2">
      <c r="A480" s="2">
        <v>43160</v>
      </c>
      <c r="B480">
        <v>2715.219970703125</v>
      </c>
      <c r="C480">
        <v>2730.889892578125</v>
      </c>
      <c r="D480">
        <v>2659.64990234375</v>
      </c>
      <c r="E480">
        <v>2677.669921875</v>
      </c>
      <c r="F480">
        <v>2677.669921875</v>
      </c>
      <c r="G480">
        <v>4514490000</v>
      </c>
      <c r="H480">
        <v>0</v>
      </c>
      <c r="I480">
        <v>0</v>
      </c>
      <c r="K480" s="11">
        <f t="shared" si="7"/>
        <v>-1.3324399541987275E-2</v>
      </c>
    </row>
    <row r="481" spans="1:11" x14ac:dyDescent="0.2">
      <c r="A481" s="2">
        <v>43161</v>
      </c>
      <c r="B481">
        <v>2658.889892578125</v>
      </c>
      <c r="C481">
        <v>2696.25</v>
      </c>
      <c r="D481">
        <v>2647.320068359375</v>
      </c>
      <c r="E481">
        <v>2691.25</v>
      </c>
      <c r="F481">
        <v>2691.25</v>
      </c>
      <c r="G481">
        <v>3891250000</v>
      </c>
      <c r="H481">
        <v>0</v>
      </c>
      <c r="I481">
        <v>0</v>
      </c>
      <c r="K481" s="11">
        <f t="shared" si="7"/>
        <v>5.0716027446320311E-3</v>
      </c>
    </row>
    <row r="482" spans="1:11" x14ac:dyDescent="0.2">
      <c r="A482" s="2">
        <v>43164</v>
      </c>
      <c r="B482">
        <v>2681.06005859375</v>
      </c>
      <c r="C482">
        <v>2728.090087890625</v>
      </c>
      <c r="D482">
        <v>2675.75</v>
      </c>
      <c r="E482">
        <v>2720.93994140625</v>
      </c>
      <c r="F482">
        <v>2720.93994140625</v>
      </c>
      <c r="G482">
        <v>3733640000</v>
      </c>
      <c r="H482">
        <v>0</v>
      </c>
      <c r="I482">
        <v>0</v>
      </c>
      <c r="K482" s="11">
        <f t="shared" si="7"/>
        <v>1.1032026532745043E-2</v>
      </c>
    </row>
    <row r="483" spans="1:11" x14ac:dyDescent="0.2">
      <c r="A483" s="2">
        <v>43165</v>
      </c>
      <c r="B483">
        <v>2730.179931640625</v>
      </c>
      <c r="C483">
        <v>2732.080078125</v>
      </c>
      <c r="D483">
        <v>2711.260009765625</v>
      </c>
      <c r="E483">
        <v>2728.1201171875</v>
      </c>
      <c r="F483">
        <v>2728.1201171875</v>
      </c>
      <c r="G483">
        <v>3389030000</v>
      </c>
      <c r="H483">
        <v>0</v>
      </c>
      <c r="I483">
        <v>0</v>
      </c>
      <c r="K483" s="11">
        <f t="shared" si="7"/>
        <v>2.6388586061694141E-3</v>
      </c>
    </row>
    <row r="484" spans="1:11" x14ac:dyDescent="0.2">
      <c r="A484" s="2">
        <v>43166</v>
      </c>
      <c r="B484">
        <v>2710.179931640625</v>
      </c>
      <c r="C484">
        <v>2730.60009765625</v>
      </c>
      <c r="D484">
        <v>2701.739990234375</v>
      </c>
      <c r="E484">
        <v>2726.800048828125</v>
      </c>
      <c r="F484">
        <v>2726.800048828125</v>
      </c>
      <c r="G484">
        <v>3406690000</v>
      </c>
      <c r="H484">
        <v>0</v>
      </c>
      <c r="I484">
        <v>0</v>
      </c>
      <c r="K484" s="11">
        <f t="shared" si="7"/>
        <v>-4.8387472056610203E-4</v>
      </c>
    </row>
    <row r="485" spans="1:11" x14ac:dyDescent="0.2">
      <c r="A485" s="2">
        <v>43167</v>
      </c>
      <c r="B485">
        <v>2732.75</v>
      </c>
      <c r="C485">
        <v>2740.449951171875</v>
      </c>
      <c r="D485">
        <v>2722.64990234375</v>
      </c>
      <c r="E485">
        <v>2738.969970703125</v>
      </c>
      <c r="F485">
        <v>2738.969970703125</v>
      </c>
      <c r="G485">
        <v>3206040000</v>
      </c>
      <c r="H485">
        <v>0</v>
      </c>
      <c r="I485">
        <v>0</v>
      </c>
      <c r="K485" s="11">
        <f t="shared" si="7"/>
        <v>4.4630782078172171E-3</v>
      </c>
    </row>
    <row r="486" spans="1:11" x14ac:dyDescent="0.2">
      <c r="A486" s="2">
        <v>43168</v>
      </c>
      <c r="B486">
        <v>2752.909912109375</v>
      </c>
      <c r="C486">
        <v>2786.570068359375</v>
      </c>
      <c r="D486">
        <v>2751.5400390625</v>
      </c>
      <c r="E486">
        <v>2786.570068359375</v>
      </c>
      <c r="F486">
        <v>2786.570068359375</v>
      </c>
      <c r="G486">
        <v>3376870000</v>
      </c>
      <c r="H486">
        <v>0</v>
      </c>
      <c r="I486">
        <v>0</v>
      </c>
      <c r="K486" s="11">
        <f t="shared" si="7"/>
        <v>1.737883151892694E-2</v>
      </c>
    </row>
    <row r="487" spans="1:11" x14ac:dyDescent="0.2">
      <c r="A487" s="2">
        <v>43171</v>
      </c>
      <c r="B487">
        <v>2790.5400390625</v>
      </c>
      <c r="C487">
        <v>2796.97998046875</v>
      </c>
      <c r="D487">
        <v>2779.260009765625</v>
      </c>
      <c r="E487">
        <v>2783.02001953125</v>
      </c>
      <c r="F487">
        <v>2783.02001953125</v>
      </c>
      <c r="G487">
        <v>3216960000</v>
      </c>
      <c r="H487">
        <v>0</v>
      </c>
      <c r="I487">
        <v>0</v>
      </c>
      <c r="K487" s="11">
        <f t="shared" si="7"/>
        <v>-1.2739851290425319E-3</v>
      </c>
    </row>
    <row r="488" spans="1:11" x14ac:dyDescent="0.2">
      <c r="A488" s="2">
        <v>43172</v>
      </c>
      <c r="B488">
        <v>2792.31005859375</v>
      </c>
      <c r="C488">
        <v>2801.89990234375</v>
      </c>
      <c r="D488">
        <v>2758.679931640625</v>
      </c>
      <c r="E488">
        <v>2765.31005859375</v>
      </c>
      <c r="F488">
        <v>2765.31005859375</v>
      </c>
      <c r="G488">
        <v>3324290000</v>
      </c>
      <c r="H488">
        <v>0</v>
      </c>
      <c r="I488">
        <v>0</v>
      </c>
      <c r="K488" s="11">
        <f t="shared" si="7"/>
        <v>-6.3635765510888787E-3</v>
      </c>
    </row>
    <row r="489" spans="1:11" x14ac:dyDescent="0.2">
      <c r="A489" s="2">
        <v>43173</v>
      </c>
      <c r="B489">
        <v>2774.06005859375</v>
      </c>
      <c r="C489">
        <v>2777.110107421875</v>
      </c>
      <c r="D489">
        <v>2744.3798828125</v>
      </c>
      <c r="E489">
        <v>2749.47998046875</v>
      </c>
      <c r="F489">
        <v>2749.47998046875</v>
      </c>
      <c r="G489">
        <v>3394630000</v>
      </c>
      <c r="H489">
        <v>0</v>
      </c>
      <c r="I489">
        <v>0</v>
      </c>
      <c r="K489" s="11">
        <f t="shared" si="7"/>
        <v>-5.7245219485623222E-3</v>
      </c>
    </row>
    <row r="490" spans="1:11" x14ac:dyDescent="0.2">
      <c r="A490" s="2">
        <v>43174</v>
      </c>
      <c r="B490">
        <v>2754.27001953125</v>
      </c>
      <c r="C490">
        <v>2763.030029296875</v>
      </c>
      <c r="D490">
        <v>2741.469970703125</v>
      </c>
      <c r="E490">
        <v>2747.330078125</v>
      </c>
      <c r="F490">
        <v>2747.330078125</v>
      </c>
      <c r="G490">
        <v>3543710000</v>
      </c>
      <c r="H490">
        <v>0</v>
      </c>
      <c r="I490">
        <v>0</v>
      </c>
      <c r="K490" s="11">
        <f t="shared" si="7"/>
        <v>-7.8193053196318196E-4</v>
      </c>
    </row>
    <row r="491" spans="1:11" x14ac:dyDescent="0.2">
      <c r="A491" s="2">
        <v>43175</v>
      </c>
      <c r="B491">
        <v>2750.570068359375</v>
      </c>
      <c r="C491">
        <v>2761.85009765625</v>
      </c>
      <c r="D491">
        <v>2749.969970703125</v>
      </c>
      <c r="E491">
        <v>2752.010009765625</v>
      </c>
      <c r="F491">
        <v>2752.010009765625</v>
      </c>
      <c r="G491">
        <v>5429140000</v>
      </c>
      <c r="H491">
        <v>0</v>
      </c>
      <c r="I491">
        <v>0</v>
      </c>
      <c r="K491" s="11">
        <f t="shared" si="7"/>
        <v>1.703447167811456E-3</v>
      </c>
    </row>
    <row r="492" spans="1:11" x14ac:dyDescent="0.2">
      <c r="A492" s="2">
        <v>43178</v>
      </c>
      <c r="B492">
        <v>2741.3798828125</v>
      </c>
      <c r="C492">
        <v>2741.3798828125</v>
      </c>
      <c r="D492">
        <v>2694.590087890625</v>
      </c>
      <c r="E492">
        <v>2712.919921875</v>
      </c>
      <c r="F492">
        <v>2712.919921875</v>
      </c>
      <c r="G492">
        <v>3327460000</v>
      </c>
      <c r="H492">
        <v>0</v>
      </c>
      <c r="I492">
        <v>0</v>
      </c>
      <c r="K492" s="11">
        <f t="shared" si="7"/>
        <v>-1.4204195388793028E-2</v>
      </c>
    </row>
    <row r="493" spans="1:11" x14ac:dyDescent="0.2">
      <c r="A493" s="2">
        <v>43179</v>
      </c>
      <c r="B493">
        <v>2715.050048828125</v>
      </c>
      <c r="C493">
        <v>2724.219970703125</v>
      </c>
      <c r="D493">
        <v>2710.050048828125</v>
      </c>
      <c r="E493">
        <v>2716.93994140625</v>
      </c>
      <c r="F493">
        <v>2716.93994140625</v>
      </c>
      <c r="G493">
        <v>3272590000</v>
      </c>
      <c r="H493">
        <v>0</v>
      </c>
      <c r="I493">
        <v>0</v>
      </c>
      <c r="K493" s="11">
        <f t="shared" si="7"/>
        <v>1.4818054520648882E-3</v>
      </c>
    </row>
    <row r="494" spans="1:11" x14ac:dyDescent="0.2">
      <c r="A494" s="2">
        <v>43180</v>
      </c>
      <c r="B494">
        <v>2714.989990234375</v>
      </c>
      <c r="C494">
        <v>2739.139892578125</v>
      </c>
      <c r="D494">
        <v>2709.7900390625</v>
      </c>
      <c r="E494">
        <v>2711.929931640625</v>
      </c>
      <c r="F494">
        <v>2711.929931640625</v>
      </c>
      <c r="G494">
        <v>3434780000</v>
      </c>
      <c r="H494">
        <v>0</v>
      </c>
      <c r="I494">
        <v>0</v>
      </c>
      <c r="K494" s="11">
        <f t="shared" si="7"/>
        <v>-1.8439898833508828E-3</v>
      </c>
    </row>
    <row r="495" spans="1:11" x14ac:dyDescent="0.2">
      <c r="A495" s="2">
        <v>43181</v>
      </c>
      <c r="B495">
        <v>2691.360107421875</v>
      </c>
      <c r="C495">
        <v>2695.679931640625</v>
      </c>
      <c r="D495">
        <v>2641.590087890625</v>
      </c>
      <c r="E495">
        <v>2643.68994140625</v>
      </c>
      <c r="F495">
        <v>2643.68994140625</v>
      </c>
      <c r="G495">
        <v>3765460000</v>
      </c>
      <c r="H495">
        <v>0</v>
      </c>
      <c r="I495">
        <v>0</v>
      </c>
      <c r="K495" s="11">
        <f t="shared" si="7"/>
        <v>-2.5162888405856454E-2</v>
      </c>
    </row>
    <row r="496" spans="1:11" x14ac:dyDescent="0.2">
      <c r="A496" s="2">
        <v>43182</v>
      </c>
      <c r="B496">
        <v>2646.7099609375</v>
      </c>
      <c r="C496">
        <v>2657.669921875</v>
      </c>
      <c r="D496">
        <v>2585.889892578125</v>
      </c>
      <c r="E496">
        <v>2588.260009765625</v>
      </c>
      <c r="F496">
        <v>2588.260009765625</v>
      </c>
      <c r="G496">
        <v>3829380000</v>
      </c>
      <c r="H496">
        <v>0</v>
      </c>
      <c r="I496">
        <v>0</v>
      </c>
      <c r="K496" s="11">
        <f t="shared" si="7"/>
        <v>-2.0966880711866032E-2</v>
      </c>
    </row>
    <row r="497" spans="1:11" x14ac:dyDescent="0.2">
      <c r="A497" s="2">
        <v>43185</v>
      </c>
      <c r="B497">
        <v>2619.35009765625</v>
      </c>
      <c r="C497">
        <v>2661.360107421875</v>
      </c>
      <c r="D497">
        <v>2601.81005859375</v>
      </c>
      <c r="E497">
        <v>2658.550048828125</v>
      </c>
      <c r="F497">
        <v>2658.550048828125</v>
      </c>
      <c r="G497">
        <v>3538080000</v>
      </c>
      <c r="H497">
        <v>0</v>
      </c>
      <c r="I497">
        <v>0</v>
      </c>
      <c r="K497" s="11">
        <f t="shared" si="7"/>
        <v>2.7157255761512511E-2</v>
      </c>
    </row>
    <row r="498" spans="1:11" x14ac:dyDescent="0.2">
      <c r="A498" s="2">
        <v>43186</v>
      </c>
      <c r="B498">
        <v>2667.570068359375</v>
      </c>
      <c r="C498">
        <v>2674.780029296875</v>
      </c>
      <c r="D498">
        <v>2596.1201171875</v>
      </c>
      <c r="E498">
        <v>2612.6201171875</v>
      </c>
      <c r="F498">
        <v>2612.6201171875</v>
      </c>
      <c r="G498">
        <v>3761320000</v>
      </c>
      <c r="H498">
        <v>0</v>
      </c>
      <c r="I498">
        <v>0</v>
      </c>
      <c r="K498" s="11">
        <f t="shared" si="7"/>
        <v>-1.7276308813847896E-2</v>
      </c>
    </row>
    <row r="499" spans="1:11" x14ac:dyDescent="0.2">
      <c r="A499" s="2">
        <v>43187</v>
      </c>
      <c r="B499">
        <v>2611.300048828125</v>
      </c>
      <c r="C499">
        <v>2632.64990234375</v>
      </c>
      <c r="D499">
        <v>2593.06005859375</v>
      </c>
      <c r="E499">
        <v>2605</v>
      </c>
      <c r="F499">
        <v>2605</v>
      </c>
      <c r="G499">
        <v>3875720000</v>
      </c>
      <c r="H499">
        <v>0</v>
      </c>
      <c r="I499">
        <v>0</v>
      </c>
      <c r="K499" s="11">
        <f t="shared" si="7"/>
        <v>-2.9166571662562202E-3</v>
      </c>
    </row>
    <row r="500" spans="1:11" x14ac:dyDescent="0.2">
      <c r="A500" s="2">
        <v>43188</v>
      </c>
      <c r="B500">
        <v>2614.409912109375</v>
      </c>
      <c r="C500">
        <v>2659.070068359375</v>
      </c>
      <c r="D500">
        <v>2609.719970703125</v>
      </c>
      <c r="E500">
        <v>2640.8701171875</v>
      </c>
      <c r="F500">
        <v>2640.8701171875</v>
      </c>
      <c r="G500">
        <v>3572360000</v>
      </c>
      <c r="H500">
        <v>0</v>
      </c>
      <c r="I500">
        <v>0</v>
      </c>
      <c r="K500" s="11">
        <f t="shared" si="7"/>
        <v>1.3769718690019195E-2</v>
      </c>
    </row>
    <row r="501" spans="1:11" x14ac:dyDescent="0.2">
      <c r="A501" s="2">
        <v>43192</v>
      </c>
      <c r="B501">
        <v>2633.449951171875</v>
      </c>
      <c r="C501">
        <v>2638.300048828125</v>
      </c>
      <c r="D501">
        <v>2553.800048828125</v>
      </c>
      <c r="E501">
        <v>2581.8798828125</v>
      </c>
      <c r="F501">
        <v>2581.8798828125</v>
      </c>
      <c r="G501">
        <v>3635780000</v>
      </c>
      <c r="H501">
        <v>0</v>
      </c>
      <c r="I501">
        <v>0</v>
      </c>
      <c r="K501" s="11">
        <f t="shared" si="7"/>
        <v>-2.2337423560165104E-2</v>
      </c>
    </row>
    <row r="502" spans="1:11" x14ac:dyDescent="0.2">
      <c r="A502" s="2">
        <v>43193</v>
      </c>
      <c r="B502">
        <v>2592.169921875</v>
      </c>
      <c r="C502">
        <v>2619.139892578125</v>
      </c>
      <c r="D502">
        <v>2575.489990234375</v>
      </c>
      <c r="E502">
        <v>2614.449951171875</v>
      </c>
      <c r="F502">
        <v>2614.449951171875</v>
      </c>
      <c r="G502">
        <v>3395840000</v>
      </c>
      <c r="H502">
        <v>0</v>
      </c>
      <c r="I502">
        <v>0</v>
      </c>
      <c r="K502" s="11">
        <f t="shared" si="7"/>
        <v>1.2614865848792123E-2</v>
      </c>
    </row>
    <row r="503" spans="1:11" x14ac:dyDescent="0.2">
      <c r="A503" s="2">
        <v>43194</v>
      </c>
      <c r="B503">
        <v>2584.0400390625</v>
      </c>
      <c r="C503">
        <v>2649.860107421875</v>
      </c>
      <c r="D503">
        <v>2573.610107421875</v>
      </c>
      <c r="E503">
        <v>2644.68994140625</v>
      </c>
      <c r="F503">
        <v>2644.68994140625</v>
      </c>
      <c r="G503">
        <v>3369230000</v>
      </c>
      <c r="H503">
        <v>0</v>
      </c>
      <c r="I503">
        <v>0</v>
      </c>
      <c r="K503" s="11">
        <f t="shared" si="7"/>
        <v>1.1566482739828521E-2</v>
      </c>
    </row>
    <row r="504" spans="1:11" x14ac:dyDescent="0.2">
      <c r="A504" s="2">
        <v>43195</v>
      </c>
      <c r="B504">
        <v>2657.360107421875</v>
      </c>
      <c r="C504">
        <v>2672.080078125</v>
      </c>
      <c r="D504">
        <v>2649.580078125</v>
      </c>
      <c r="E504">
        <v>2662.840087890625</v>
      </c>
      <c r="F504">
        <v>2662.840087890625</v>
      </c>
      <c r="G504">
        <v>3230430000</v>
      </c>
      <c r="H504">
        <v>0</v>
      </c>
      <c r="I504">
        <v>0</v>
      </c>
      <c r="K504" s="11">
        <f t="shared" si="7"/>
        <v>6.8628636575538415E-3</v>
      </c>
    </row>
    <row r="505" spans="1:11" x14ac:dyDescent="0.2">
      <c r="A505" s="2">
        <v>43196</v>
      </c>
      <c r="B505">
        <v>2645.820068359375</v>
      </c>
      <c r="C505">
        <v>2656.8798828125</v>
      </c>
      <c r="D505">
        <v>2586.27001953125</v>
      </c>
      <c r="E505">
        <v>2604.469970703125</v>
      </c>
      <c r="F505">
        <v>2604.469970703125</v>
      </c>
      <c r="G505">
        <v>3312390000</v>
      </c>
      <c r="H505">
        <v>0</v>
      </c>
      <c r="I505">
        <v>0</v>
      </c>
      <c r="K505" s="11">
        <f t="shared" si="7"/>
        <v>-2.1920248779842444E-2</v>
      </c>
    </row>
    <row r="506" spans="1:11" x14ac:dyDescent="0.2">
      <c r="A506" s="2">
        <v>43199</v>
      </c>
      <c r="B506">
        <v>2617.179931640625</v>
      </c>
      <c r="C506">
        <v>2653.550048828125</v>
      </c>
      <c r="D506">
        <v>2610.7900390625</v>
      </c>
      <c r="E506">
        <v>2613.159912109375</v>
      </c>
      <c r="F506">
        <v>2613.159912109375</v>
      </c>
      <c r="G506">
        <v>3076140000</v>
      </c>
      <c r="H506">
        <v>0</v>
      </c>
      <c r="I506">
        <v>0</v>
      </c>
      <c r="K506" s="11">
        <f t="shared" si="7"/>
        <v>3.3365488963206236E-3</v>
      </c>
    </row>
    <row r="507" spans="1:11" x14ac:dyDescent="0.2">
      <c r="A507" s="2">
        <v>43200</v>
      </c>
      <c r="B507">
        <v>2638.409912109375</v>
      </c>
      <c r="C507">
        <v>2665.449951171875</v>
      </c>
      <c r="D507">
        <v>2635.780029296875</v>
      </c>
      <c r="E507">
        <v>2656.8701171875</v>
      </c>
      <c r="F507">
        <v>2656.8701171875</v>
      </c>
      <c r="G507">
        <v>3579130000</v>
      </c>
      <c r="H507">
        <v>0</v>
      </c>
      <c r="I507">
        <v>0</v>
      </c>
      <c r="K507" s="11">
        <f t="shared" si="7"/>
        <v>1.67269537832615E-2</v>
      </c>
    </row>
    <row r="508" spans="1:11" x14ac:dyDescent="0.2">
      <c r="A508" s="2">
        <v>43201</v>
      </c>
      <c r="B508">
        <v>2643.889892578125</v>
      </c>
      <c r="C508">
        <v>2661.429931640625</v>
      </c>
      <c r="D508">
        <v>2639.25</v>
      </c>
      <c r="E508">
        <v>2642.18994140625</v>
      </c>
      <c r="F508">
        <v>2642.18994140625</v>
      </c>
      <c r="G508">
        <v>3054520000</v>
      </c>
      <c r="H508">
        <v>0</v>
      </c>
      <c r="I508">
        <v>0</v>
      </c>
      <c r="K508" s="11">
        <f t="shared" si="7"/>
        <v>-5.5253644829240667E-3</v>
      </c>
    </row>
    <row r="509" spans="1:11" x14ac:dyDescent="0.2">
      <c r="A509" s="2">
        <v>43202</v>
      </c>
      <c r="B509">
        <v>2653.830078125</v>
      </c>
      <c r="C509">
        <v>2674.719970703125</v>
      </c>
      <c r="D509">
        <v>2653.830078125</v>
      </c>
      <c r="E509">
        <v>2663.989990234375</v>
      </c>
      <c r="F509">
        <v>2663.989990234375</v>
      </c>
      <c r="G509">
        <v>3045330000</v>
      </c>
      <c r="H509">
        <v>0</v>
      </c>
      <c r="I509">
        <v>0</v>
      </c>
      <c r="K509" s="11">
        <f t="shared" si="7"/>
        <v>8.2507500639876774E-3</v>
      </c>
    </row>
    <row r="510" spans="1:11" x14ac:dyDescent="0.2">
      <c r="A510" s="2">
        <v>43203</v>
      </c>
      <c r="B510">
        <v>2676.89990234375</v>
      </c>
      <c r="C510">
        <v>2680.260009765625</v>
      </c>
      <c r="D510">
        <v>2645.050048828125</v>
      </c>
      <c r="E510">
        <v>2656.300048828125</v>
      </c>
      <c r="F510">
        <v>2656.300048828125</v>
      </c>
      <c r="G510">
        <v>2988540000</v>
      </c>
      <c r="H510">
        <v>0</v>
      </c>
      <c r="I510">
        <v>0</v>
      </c>
      <c r="K510" s="11">
        <f t="shared" si="7"/>
        <v>-2.8866254882486952E-3</v>
      </c>
    </row>
    <row r="511" spans="1:11" x14ac:dyDescent="0.2">
      <c r="A511" s="2">
        <v>43206</v>
      </c>
      <c r="B511">
        <v>2670.10009765625</v>
      </c>
      <c r="C511">
        <v>2686.489990234375</v>
      </c>
      <c r="D511">
        <v>2665.159912109375</v>
      </c>
      <c r="E511">
        <v>2677.840087890625</v>
      </c>
      <c r="F511">
        <v>2677.840087890625</v>
      </c>
      <c r="G511">
        <v>3020740000</v>
      </c>
      <c r="H511">
        <v>0</v>
      </c>
      <c r="I511">
        <v>0</v>
      </c>
      <c r="K511" s="11">
        <f t="shared" si="7"/>
        <v>8.1090383866848637E-3</v>
      </c>
    </row>
    <row r="512" spans="1:11" x14ac:dyDescent="0.2">
      <c r="A512" s="2">
        <v>43207</v>
      </c>
      <c r="B512">
        <v>2692.739990234375</v>
      </c>
      <c r="C512">
        <v>2713.340087890625</v>
      </c>
      <c r="D512">
        <v>2692.050048828125</v>
      </c>
      <c r="E512">
        <v>2706.389892578125</v>
      </c>
      <c r="F512">
        <v>2706.389892578125</v>
      </c>
      <c r="G512">
        <v>3286190000</v>
      </c>
      <c r="H512">
        <v>0</v>
      </c>
      <c r="I512">
        <v>0</v>
      </c>
      <c r="K512" s="11">
        <f t="shared" si="7"/>
        <v>1.0661504701720004E-2</v>
      </c>
    </row>
    <row r="513" spans="1:11" x14ac:dyDescent="0.2">
      <c r="A513" s="2">
        <v>43208</v>
      </c>
      <c r="B513">
        <v>2710.110107421875</v>
      </c>
      <c r="C513">
        <v>2717.489990234375</v>
      </c>
      <c r="D513">
        <v>2703.6298828125</v>
      </c>
      <c r="E513">
        <v>2708.639892578125</v>
      </c>
      <c r="F513">
        <v>2708.639892578125</v>
      </c>
      <c r="G513">
        <v>3412030000</v>
      </c>
      <c r="H513">
        <v>0</v>
      </c>
      <c r="I513">
        <v>0</v>
      </c>
      <c r="K513" s="11">
        <f t="shared" si="7"/>
        <v>8.3136580068177146E-4</v>
      </c>
    </row>
    <row r="514" spans="1:11" x14ac:dyDescent="0.2">
      <c r="A514" s="2">
        <v>43209</v>
      </c>
      <c r="B514">
        <v>2701.159912109375</v>
      </c>
      <c r="C514">
        <v>2702.840087890625</v>
      </c>
      <c r="D514">
        <v>2681.89990234375</v>
      </c>
      <c r="E514">
        <v>2693.1298828125</v>
      </c>
      <c r="F514">
        <v>2693.1298828125</v>
      </c>
      <c r="G514">
        <v>3375120000</v>
      </c>
      <c r="H514">
        <v>0</v>
      </c>
      <c r="I514">
        <v>0</v>
      </c>
      <c r="K514" s="11">
        <f t="shared" si="7"/>
        <v>-5.7261246901529894E-3</v>
      </c>
    </row>
    <row r="515" spans="1:11" x14ac:dyDescent="0.2">
      <c r="A515" s="2">
        <v>43210</v>
      </c>
      <c r="B515">
        <v>2692.56005859375</v>
      </c>
      <c r="C515">
        <v>2693.93994140625</v>
      </c>
      <c r="D515">
        <v>2660.610107421875</v>
      </c>
      <c r="E515">
        <v>2670.139892578125</v>
      </c>
      <c r="F515">
        <v>2670.139892578125</v>
      </c>
      <c r="G515">
        <v>3428260000</v>
      </c>
      <c r="H515">
        <v>0</v>
      </c>
      <c r="I515">
        <v>0</v>
      </c>
      <c r="K515" s="11">
        <f t="shared" si="7"/>
        <v>-8.53653230061302E-3</v>
      </c>
    </row>
    <row r="516" spans="1:11" x14ac:dyDescent="0.2">
      <c r="A516" s="2">
        <v>43213</v>
      </c>
      <c r="B516">
        <v>2675.39990234375</v>
      </c>
      <c r="C516">
        <v>2682.860107421875</v>
      </c>
      <c r="D516">
        <v>2657.989990234375</v>
      </c>
      <c r="E516">
        <v>2670.2900390625</v>
      </c>
      <c r="F516">
        <v>2670.2900390625</v>
      </c>
      <c r="G516">
        <v>3030390000</v>
      </c>
      <c r="H516">
        <v>0</v>
      </c>
      <c r="I516">
        <v>0</v>
      </c>
      <c r="K516" s="11">
        <f t="shared" ref="K516:K579" si="8">(E516/E515)-1</f>
        <v>5.6231692126873511E-5</v>
      </c>
    </row>
    <row r="517" spans="1:11" x14ac:dyDescent="0.2">
      <c r="A517" s="2">
        <v>43214</v>
      </c>
      <c r="B517">
        <v>2680.800048828125</v>
      </c>
      <c r="C517">
        <v>2683.550048828125</v>
      </c>
      <c r="D517">
        <v>2617.320068359375</v>
      </c>
      <c r="E517">
        <v>2634.56005859375</v>
      </c>
      <c r="F517">
        <v>2634.56005859375</v>
      </c>
      <c r="G517">
        <v>3716020000</v>
      </c>
      <c r="H517">
        <v>0</v>
      </c>
      <c r="I517">
        <v>0</v>
      </c>
      <c r="K517" s="11">
        <f t="shared" si="8"/>
        <v>-1.338056164164636E-2</v>
      </c>
    </row>
    <row r="518" spans="1:11" x14ac:dyDescent="0.2">
      <c r="A518" s="2">
        <v>43215</v>
      </c>
      <c r="B518">
        <v>2634.919921875</v>
      </c>
      <c r="C518">
        <v>2645.300048828125</v>
      </c>
      <c r="D518">
        <v>2612.669921875</v>
      </c>
      <c r="E518">
        <v>2639.39990234375</v>
      </c>
      <c r="F518">
        <v>2639.39990234375</v>
      </c>
      <c r="G518">
        <v>3563680000</v>
      </c>
      <c r="H518">
        <v>0</v>
      </c>
      <c r="I518">
        <v>0</v>
      </c>
      <c r="K518" s="11">
        <f t="shared" si="8"/>
        <v>1.837059563023713E-3</v>
      </c>
    </row>
    <row r="519" spans="1:11" x14ac:dyDescent="0.2">
      <c r="A519" s="2">
        <v>43216</v>
      </c>
      <c r="B519">
        <v>2651.64990234375</v>
      </c>
      <c r="C519">
        <v>2676.47998046875</v>
      </c>
      <c r="D519">
        <v>2647.159912109375</v>
      </c>
      <c r="E519">
        <v>2666.93994140625</v>
      </c>
      <c r="F519">
        <v>2666.93994140625</v>
      </c>
      <c r="G519">
        <v>3690920000</v>
      </c>
      <c r="H519">
        <v>0</v>
      </c>
      <c r="I519">
        <v>0</v>
      </c>
      <c r="K519" s="11">
        <f t="shared" si="8"/>
        <v>1.0434204774367295E-2</v>
      </c>
    </row>
    <row r="520" spans="1:11" x14ac:dyDescent="0.2">
      <c r="A520" s="2">
        <v>43217</v>
      </c>
      <c r="B520">
        <v>2675.469970703125</v>
      </c>
      <c r="C520">
        <v>2677.35009765625</v>
      </c>
      <c r="D520">
        <v>2659.010009765625</v>
      </c>
      <c r="E520">
        <v>2669.909912109375</v>
      </c>
      <c r="F520">
        <v>2669.909912109375</v>
      </c>
      <c r="G520">
        <v>3234510000</v>
      </c>
      <c r="H520">
        <v>0</v>
      </c>
      <c r="I520">
        <v>0</v>
      </c>
      <c r="K520" s="11">
        <f t="shared" si="8"/>
        <v>1.1136248915897262E-3</v>
      </c>
    </row>
    <row r="521" spans="1:11" x14ac:dyDescent="0.2">
      <c r="A521" s="2">
        <v>43220</v>
      </c>
      <c r="B521">
        <v>2682.510009765625</v>
      </c>
      <c r="C521">
        <v>2682.8701171875</v>
      </c>
      <c r="D521">
        <v>2648.0400390625</v>
      </c>
      <c r="E521">
        <v>2648.050048828125</v>
      </c>
      <c r="F521">
        <v>2648.050048828125</v>
      </c>
      <c r="G521">
        <v>3749510000</v>
      </c>
      <c r="H521">
        <v>0</v>
      </c>
      <c r="I521">
        <v>0</v>
      </c>
      <c r="K521" s="11">
        <f t="shared" si="8"/>
        <v>-8.1874909644346072E-3</v>
      </c>
    </row>
    <row r="522" spans="1:11" x14ac:dyDescent="0.2">
      <c r="A522" s="2">
        <v>43221</v>
      </c>
      <c r="B522">
        <v>2642.9599609375</v>
      </c>
      <c r="C522">
        <v>2655.27001953125</v>
      </c>
      <c r="D522">
        <v>2625.409912109375</v>
      </c>
      <c r="E522">
        <v>2654.800048828125</v>
      </c>
      <c r="F522">
        <v>2654.800048828125</v>
      </c>
      <c r="G522">
        <v>3562820000</v>
      </c>
      <c r="H522">
        <v>0</v>
      </c>
      <c r="I522">
        <v>0</v>
      </c>
      <c r="K522" s="11">
        <f t="shared" si="8"/>
        <v>2.5490454770622506E-3</v>
      </c>
    </row>
    <row r="523" spans="1:11" x14ac:dyDescent="0.2">
      <c r="A523" s="2">
        <v>43222</v>
      </c>
      <c r="B523">
        <v>2654.239990234375</v>
      </c>
      <c r="C523">
        <v>2660.8701171875</v>
      </c>
      <c r="D523">
        <v>2631.699951171875</v>
      </c>
      <c r="E523">
        <v>2635.669921875</v>
      </c>
      <c r="F523">
        <v>2635.669921875</v>
      </c>
      <c r="G523">
        <v>4047020000</v>
      </c>
      <c r="H523">
        <v>0</v>
      </c>
      <c r="I523">
        <v>0</v>
      </c>
      <c r="K523" s="11">
        <f t="shared" si="8"/>
        <v>-7.2058635683577288E-3</v>
      </c>
    </row>
    <row r="524" spans="1:11" x14ac:dyDescent="0.2">
      <c r="A524" s="2">
        <v>43223</v>
      </c>
      <c r="B524">
        <v>2628.080078125</v>
      </c>
      <c r="C524">
        <v>2637.139892578125</v>
      </c>
      <c r="D524">
        <v>2594.6201171875</v>
      </c>
      <c r="E524">
        <v>2629.72998046875</v>
      </c>
      <c r="F524">
        <v>2629.72998046875</v>
      </c>
      <c r="G524">
        <v>3867530000</v>
      </c>
      <c r="H524">
        <v>0</v>
      </c>
      <c r="I524">
        <v>0</v>
      </c>
      <c r="K524" s="11">
        <f t="shared" si="8"/>
        <v>-2.2536742393085563E-3</v>
      </c>
    </row>
    <row r="525" spans="1:11" x14ac:dyDescent="0.2">
      <c r="A525" s="2">
        <v>43224</v>
      </c>
      <c r="B525">
        <v>2621.449951171875</v>
      </c>
      <c r="C525">
        <v>2670.929931640625</v>
      </c>
      <c r="D525">
        <v>2615.320068359375</v>
      </c>
      <c r="E525">
        <v>2663.419921875</v>
      </c>
      <c r="F525">
        <v>2663.419921875</v>
      </c>
      <c r="G525">
        <v>3335260000</v>
      </c>
      <c r="H525">
        <v>0</v>
      </c>
      <c r="I525">
        <v>0</v>
      </c>
      <c r="K525" s="11">
        <f t="shared" si="8"/>
        <v>1.2811178963797909E-2</v>
      </c>
    </row>
    <row r="526" spans="1:11" x14ac:dyDescent="0.2">
      <c r="A526" s="2">
        <v>43227</v>
      </c>
      <c r="B526">
        <v>2680.340087890625</v>
      </c>
      <c r="C526">
        <v>2683.35009765625</v>
      </c>
      <c r="D526">
        <v>2664.699951171875</v>
      </c>
      <c r="E526">
        <v>2672.6298828125</v>
      </c>
      <c r="F526">
        <v>2672.6298828125</v>
      </c>
      <c r="G526">
        <v>3266810000</v>
      </c>
      <c r="H526">
        <v>0</v>
      </c>
      <c r="I526">
        <v>0</v>
      </c>
      <c r="K526" s="11">
        <f t="shared" si="8"/>
        <v>3.4579455015175675E-3</v>
      </c>
    </row>
    <row r="527" spans="1:11" x14ac:dyDescent="0.2">
      <c r="A527" s="2">
        <v>43228</v>
      </c>
      <c r="B527">
        <v>2670.260009765625</v>
      </c>
      <c r="C527">
        <v>2676.340087890625</v>
      </c>
      <c r="D527">
        <v>2655.199951171875</v>
      </c>
      <c r="E527">
        <v>2671.919921875</v>
      </c>
      <c r="F527">
        <v>2671.919921875</v>
      </c>
      <c r="G527">
        <v>3745100000</v>
      </c>
      <c r="H527">
        <v>0</v>
      </c>
      <c r="I527">
        <v>0</v>
      </c>
      <c r="K527" s="11">
        <f t="shared" si="8"/>
        <v>-2.6564132282802522E-4</v>
      </c>
    </row>
    <row r="528" spans="1:11" x14ac:dyDescent="0.2">
      <c r="A528" s="2">
        <v>43229</v>
      </c>
      <c r="B528">
        <v>2678.1201171875</v>
      </c>
      <c r="C528">
        <v>2701.27001953125</v>
      </c>
      <c r="D528">
        <v>2674.139892578125</v>
      </c>
      <c r="E528">
        <v>2697.7900390625</v>
      </c>
      <c r="F528">
        <v>2697.7900390625</v>
      </c>
      <c r="G528">
        <v>3913650000</v>
      </c>
      <c r="H528">
        <v>0</v>
      </c>
      <c r="I528">
        <v>0</v>
      </c>
      <c r="K528" s="11">
        <f t="shared" si="8"/>
        <v>9.6822202550688186E-3</v>
      </c>
    </row>
    <row r="529" spans="1:11" x14ac:dyDescent="0.2">
      <c r="A529" s="2">
        <v>43230</v>
      </c>
      <c r="B529">
        <v>2705.02001953125</v>
      </c>
      <c r="C529">
        <v>2726.110107421875</v>
      </c>
      <c r="D529">
        <v>2704.5400390625</v>
      </c>
      <c r="E529">
        <v>2723.070068359375</v>
      </c>
      <c r="F529">
        <v>2723.070068359375</v>
      </c>
      <c r="G529">
        <v>3380640000</v>
      </c>
      <c r="H529">
        <v>0</v>
      </c>
      <c r="I529">
        <v>0</v>
      </c>
      <c r="K529" s="11">
        <f t="shared" si="8"/>
        <v>9.3706437235048234E-3</v>
      </c>
    </row>
    <row r="530" spans="1:11" x14ac:dyDescent="0.2">
      <c r="A530" s="2">
        <v>43231</v>
      </c>
      <c r="B530">
        <v>2722.699951171875</v>
      </c>
      <c r="C530">
        <v>2732.860107421875</v>
      </c>
      <c r="D530">
        <v>2717.449951171875</v>
      </c>
      <c r="E530">
        <v>2727.719970703125</v>
      </c>
      <c r="F530">
        <v>2727.719970703125</v>
      </c>
      <c r="G530">
        <v>2874850000</v>
      </c>
      <c r="H530">
        <v>0</v>
      </c>
      <c r="I530">
        <v>0</v>
      </c>
      <c r="K530" s="11">
        <f t="shared" si="8"/>
        <v>1.7075955546570487E-3</v>
      </c>
    </row>
    <row r="531" spans="1:11" x14ac:dyDescent="0.2">
      <c r="A531" s="2">
        <v>43234</v>
      </c>
      <c r="B531">
        <v>2738.469970703125</v>
      </c>
      <c r="C531">
        <v>2742.10009765625</v>
      </c>
      <c r="D531">
        <v>2725.469970703125</v>
      </c>
      <c r="E531">
        <v>2730.1298828125</v>
      </c>
      <c r="F531">
        <v>2730.1298828125</v>
      </c>
      <c r="G531">
        <v>2994360000</v>
      </c>
      <c r="H531">
        <v>0</v>
      </c>
      <c r="I531">
        <v>0</v>
      </c>
      <c r="K531" s="11">
        <f t="shared" si="8"/>
        <v>8.8348955730732648E-4</v>
      </c>
    </row>
    <row r="532" spans="1:11" x14ac:dyDescent="0.2">
      <c r="A532" s="2">
        <v>43235</v>
      </c>
      <c r="B532">
        <v>2718.590087890625</v>
      </c>
      <c r="C532">
        <v>2718.590087890625</v>
      </c>
      <c r="D532">
        <v>2701.909912109375</v>
      </c>
      <c r="E532">
        <v>2711.449951171875</v>
      </c>
      <c r="F532">
        <v>2711.449951171875</v>
      </c>
      <c r="G532">
        <v>3291190000</v>
      </c>
      <c r="H532">
        <v>0</v>
      </c>
      <c r="I532">
        <v>0</v>
      </c>
      <c r="K532" s="11">
        <f t="shared" si="8"/>
        <v>-6.8421402799274667E-3</v>
      </c>
    </row>
    <row r="533" spans="1:11" x14ac:dyDescent="0.2">
      <c r="A533" s="2">
        <v>43236</v>
      </c>
      <c r="B533">
        <v>2712.6201171875</v>
      </c>
      <c r="C533">
        <v>2727.760009765625</v>
      </c>
      <c r="D533">
        <v>2712.169921875</v>
      </c>
      <c r="E533">
        <v>2722.4599609375</v>
      </c>
      <c r="F533">
        <v>2722.4599609375</v>
      </c>
      <c r="G533">
        <v>3248480000</v>
      </c>
      <c r="H533">
        <v>0</v>
      </c>
      <c r="I533">
        <v>0</v>
      </c>
      <c r="K533" s="11">
        <f t="shared" si="8"/>
        <v>4.0605616787676713E-3</v>
      </c>
    </row>
    <row r="534" spans="1:11" x14ac:dyDescent="0.2">
      <c r="A534" s="2">
        <v>43237</v>
      </c>
      <c r="B534">
        <v>2719.7099609375</v>
      </c>
      <c r="C534">
        <v>2731.9599609375</v>
      </c>
      <c r="D534">
        <v>2711.360107421875</v>
      </c>
      <c r="E534">
        <v>2720.1298828125</v>
      </c>
      <c r="F534">
        <v>2720.1298828125</v>
      </c>
      <c r="G534">
        <v>3478150000</v>
      </c>
      <c r="H534">
        <v>0</v>
      </c>
      <c r="I534">
        <v>0</v>
      </c>
      <c r="K534" s="11">
        <f t="shared" si="8"/>
        <v>-8.5587232078065956E-4</v>
      </c>
    </row>
    <row r="535" spans="1:11" x14ac:dyDescent="0.2">
      <c r="A535" s="2">
        <v>43238</v>
      </c>
      <c r="B535">
        <v>2717.35009765625</v>
      </c>
      <c r="C535">
        <v>2719.5</v>
      </c>
      <c r="D535">
        <v>2709.179931640625</v>
      </c>
      <c r="E535">
        <v>2712.969970703125</v>
      </c>
      <c r="F535">
        <v>2712.969970703125</v>
      </c>
      <c r="G535">
        <v>3383270000</v>
      </c>
      <c r="H535">
        <v>0</v>
      </c>
      <c r="I535">
        <v>0</v>
      </c>
      <c r="K535" s="11">
        <f t="shared" si="8"/>
        <v>-2.6321949384167098E-3</v>
      </c>
    </row>
    <row r="536" spans="1:11" x14ac:dyDescent="0.2">
      <c r="A536" s="2">
        <v>43241</v>
      </c>
      <c r="B536">
        <v>2735.389892578125</v>
      </c>
      <c r="C536">
        <v>2739.18994140625</v>
      </c>
      <c r="D536">
        <v>2725.699951171875</v>
      </c>
      <c r="E536">
        <v>2733.010009765625</v>
      </c>
      <c r="F536">
        <v>2733.010009765625</v>
      </c>
      <c r="G536">
        <v>3053480000</v>
      </c>
      <c r="H536">
        <v>0</v>
      </c>
      <c r="I536">
        <v>0</v>
      </c>
      <c r="K536" s="11">
        <f t="shared" si="8"/>
        <v>7.3867529972351242E-3</v>
      </c>
    </row>
    <row r="537" spans="1:11" x14ac:dyDescent="0.2">
      <c r="A537" s="2">
        <v>43242</v>
      </c>
      <c r="B537">
        <v>2738.340087890625</v>
      </c>
      <c r="C537">
        <v>2742.239990234375</v>
      </c>
      <c r="D537">
        <v>2721.8798828125</v>
      </c>
      <c r="E537">
        <v>2724.43994140625</v>
      </c>
      <c r="F537">
        <v>2724.43994140625</v>
      </c>
      <c r="G537">
        <v>3384140000</v>
      </c>
      <c r="H537">
        <v>0</v>
      </c>
      <c r="I537">
        <v>0</v>
      </c>
      <c r="K537" s="11">
        <f t="shared" si="8"/>
        <v>-3.1357617896576873E-3</v>
      </c>
    </row>
    <row r="538" spans="1:11" x14ac:dyDescent="0.2">
      <c r="A538" s="2">
        <v>43243</v>
      </c>
      <c r="B538">
        <v>2713.97998046875</v>
      </c>
      <c r="C538">
        <v>2733.330078125</v>
      </c>
      <c r="D538">
        <v>2709.5400390625</v>
      </c>
      <c r="E538">
        <v>2733.2900390625</v>
      </c>
      <c r="F538">
        <v>2733.2900390625</v>
      </c>
      <c r="G538">
        <v>3333160000</v>
      </c>
      <c r="H538">
        <v>0</v>
      </c>
      <c r="I538">
        <v>0</v>
      </c>
      <c r="K538" s="11">
        <f t="shared" si="8"/>
        <v>3.2484098921563564E-3</v>
      </c>
    </row>
    <row r="539" spans="1:11" x14ac:dyDescent="0.2">
      <c r="A539" s="2">
        <v>43244</v>
      </c>
      <c r="B539">
        <v>2730.93994140625</v>
      </c>
      <c r="C539">
        <v>2731.969970703125</v>
      </c>
      <c r="D539">
        <v>2707.3798828125</v>
      </c>
      <c r="E539">
        <v>2727.760009765625</v>
      </c>
      <c r="F539">
        <v>2727.760009765625</v>
      </c>
      <c r="G539">
        <v>3285750000</v>
      </c>
      <c r="H539">
        <v>0</v>
      </c>
      <c r="I539">
        <v>0</v>
      </c>
      <c r="K539" s="11">
        <f t="shared" si="8"/>
        <v>-2.0232134964980331E-3</v>
      </c>
    </row>
    <row r="540" spans="1:11" x14ac:dyDescent="0.2">
      <c r="A540" s="2">
        <v>43245</v>
      </c>
      <c r="B540">
        <v>2723.60009765625</v>
      </c>
      <c r="C540">
        <v>2727.360107421875</v>
      </c>
      <c r="D540">
        <v>2714.989990234375</v>
      </c>
      <c r="E540">
        <v>2721.330078125</v>
      </c>
      <c r="F540">
        <v>2721.330078125</v>
      </c>
      <c r="G540">
        <v>3015260000</v>
      </c>
      <c r="H540">
        <v>0</v>
      </c>
      <c r="I540">
        <v>0</v>
      </c>
      <c r="K540" s="11">
        <f t="shared" si="8"/>
        <v>-2.3572204364039617E-3</v>
      </c>
    </row>
    <row r="541" spans="1:11" x14ac:dyDescent="0.2">
      <c r="A541" s="2">
        <v>43249</v>
      </c>
      <c r="B541">
        <v>2705.110107421875</v>
      </c>
      <c r="C541">
        <v>2710.669921875</v>
      </c>
      <c r="D541">
        <v>2676.81005859375</v>
      </c>
      <c r="E541">
        <v>2689.860107421875</v>
      </c>
      <c r="F541">
        <v>2689.860107421875</v>
      </c>
      <c r="G541">
        <v>3743310000</v>
      </c>
      <c r="H541">
        <v>0</v>
      </c>
      <c r="I541">
        <v>0</v>
      </c>
      <c r="K541" s="11">
        <f t="shared" si="8"/>
        <v>-1.1564187290653005E-2</v>
      </c>
    </row>
    <row r="542" spans="1:11" x14ac:dyDescent="0.2">
      <c r="A542" s="2">
        <v>43250</v>
      </c>
      <c r="B542">
        <v>2702.429931640625</v>
      </c>
      <c r="C542">
        <v>2729.340087890625</v>
      </c>
      <c r="D542">
        <v>2702.429931640625</v>
      </c>
      <c r="E542">
        <v>2724.010009765625</v>
      </c>
      <c r="F542">
        <v>2724.010009765625</v>
      </c>
      <c r="G542">
        <v>3566490000</v>
      </c>
      <c r="H542">
        <v>0</v>
      </c>
      <c r="I542">
        <v>0</v>
      </c>
      <c r="K542" s="11">
        <f t="shared" si="8"/>
        <v>1.2695791223314323E-2</v>
      </c>
    </row>
    <row r="543" spans="1:11" x14ac:dyDescent="0.2">
      <c r="A543" s="2">
        <v>43251</v>
      </c>
      <c r="B543">
        <v>2720.97998046875</v>
      </c>
      <c r="C543">
        <v>2722.5</v>
      </c>
      <c r="D543">
        <v>2700.679931640625</v>
      </c>
      <c r="E543">
        <v>2705.27001953125</v>
      </c>
      <c r="F543">
        <v>2705.27001953125</v>
      </c>
      <c r="G543">
        <v>4241100000</v>
      </c>
      <c r="H543">
        <v>0</v>
      </c>
      <c r="I543">
        <v>0</v>
      </c>
      <c r="K543" s="11">
        <f t="shared" si="8"/>
        <v>-6.879559974886984E-3</v>
      </c>
    </row>
    <row r="544" spans="1:11" x14ac:dyDescent="0.2">
      <c r="A544" s="2">
        <v>43252</v>
      </c>
      <c r="B544">
        <v>2718.699951171875</v>
      </c>
      <c r="C544">
        <v>2736.929931640625</v>
      </c>
      <c r="D544">
        <v>2718.699951171875</v>
      </c>
      <c r="E544">
        <v>2734.6201171875</v>
      </c>
      <c r="F544">
        <v>2734.6201171875</v>
      </c>
      <c r="G544">
        <v>3694310000</v>
      </c>
      <c r="H544">
        <v>0</v>
      </c>
      <c r="I544">
        <v>0</v>
      </c>
      <c r="K544" s="11">
        <f t="shared" si="8"/>
        <v>1.0849230370481022E-2</v>
      </c>
    </row>
    <row r="545" spans="1:11" x14ac:dyDescent="0.2">
      <c r="A545" s="2">
        <v>43255</v>
      </c>
      <c r="B545">
        <v>2741.669921875</v>
      </c>
      <c r="C545">
        <v>2749.159912109375</v>
      </c>
      <c r="D545">
        <v>2740.5400390625</v>
      </c>
      <c r="E545">
        <v>2746.8701171875</v>
      </c>
      <c r="F545">
        <v>2746.8701171875</v>
      </c>
      <c r="G545">
        <v>3410090000</v>
      </c>
      <c r="H545">
        <v>0</v>
      </c>
      <c r="I545">
        <v>0</v>
      </c>
      <c r="K545" s="11">
        <f t="shared" si="8"/>
        <v>4.4795984359973229E-3</v>
      </c>
    </row>
    <row r="546" spans="1:11" x14ac:dyDescent="0.2">
      <c r="A546" s="2">
        <v>43256</v>
      </c>
      <c r="B546">
        <v>2748.4599609375</v>
      </c>
      <c r="C546">
        <v>2752.610107421875</v>
      </c>
      <c r="D546">
        <v>2739.510009765625</v>
      </c>
      <c r="E546">
        <v>2748.800048828125</v>
      </c>
      <c r="F546">
        <v>2748.800048828125</v>
      </c>
      <c r="G546">
        <v>3523550000</v>
      </c>
      <c r="H546">
        <v>0</v>
      </c>
      <c r="I546">
        <v>0</v>
      </c>
      <c r="K546" s="11">
        <f t="shared" si="8"/>
        <v>7.0259297247043939E-4</v>
      </c>
    </row>
    <row r="547" spans="1:11" x14ac:dyDescent="0.2">
      <c r="A547" s="2">
        <v>43257</v>
      </c>
      <c r="B547">
        <v>2753.25</v>
      </c>
      <c r="C547">
        <v>2772.389892578125</v>
      </c>
      <c r="D547">
        <v>2748.4599609375</v>
      </c>
      <c r="E547">
        <v>2772.35009765625</v>
      </c>
      <c r="F547">
        <v>2772.35009765625</v>
      </c>
      <c r="G547">
        <v>3662780000</v>
      </c>
      <c r="H547">
        <v>0</v>
      </c>
      <c r="I547">
        <v>0</v>
      </c>
      <c r="K547" s="11">
        <f t="shared" si="8"/>
        <v>8.5673924657287959E-3</v>
      </c>
    </row>
    <row r="548" spans="1:11" x14ac:dyDescent="0.2">
      <c r="A548" s="2">
        <v>43258</v>
      </c>
      <c r="B548">
        <v>2774.840087890625</v>
      </c>
      <c r="C548">
        <v>2779.89990234375</v>
      </c>
      <c r="D548">
        <v>2760.159912109375</v>
      </c>
      <c r="E548">
        <v>2770.3701171875</v>
      </c>
      <c r="F548">
        <v>2770.3701171875</v>
      </c>
      <c r="G548">
        <v>3742080000</v>
      </c>
      <c r="H548">
        <v>0</v>
      </c>
      <c r="I548">
        <v>0</v>
      </c>
      <c r="K548" s="11">
        <f t="shared" si="8"/>
        <v>-7.1418846790805013E-4</v>
      </c>
    </row>
    <row r="549" spans="1:11" x14ac:dyDescent="0.2">
      <c r="A549" s="2">
        <v>43259</v>
      </c>
      <c r="B549">
        <v>2765.840087890625</v>
      </c>
      <c r="C549">
        <v>2779.389892578125</v>
      </c>
      <c r="D549">
        <v>2763.590087890625</v>
      </c>
      <c r="E549">
        <v>2779.030029296875</v>
      </c>
      <c r="F549">
        <v>2779.030029296875</v>
      </c>
      <c r="G549">
        <v>3138850000</v>
      </c>
      <c r="H549">
        <v>0</v>
      </c>
      <c r="I549">
        <v>0</v>
      </c>
      <c r="K549" s="11">
        <f t="shared" si="8"/>
        <v>3.1259043893263616E-3</v>
      </c>
    </row>
    <row r="550" spans="1:11" x14ac:dyDescent="0.2">
      <c r="A550" s="2">
        <v>43262</v>
      </c>
      <c r="B550">
        <v>2780.179931640625</v>
      </c>
      <c r="C550">
        <v>2790.2099609375</v>
      </c>
      <c r="D550">
        <v>2780.169921875</v>
      </c>
      <c r="E550">
        <v>2782</v>
      </c>
      <c r="F550">
        <v>2782</v>
      </c>
      <c r="G550">
        <v>3262130000</v>
      </c>
      <c r="H550">
        <v>0</v>
      </c>
      <c r="I550">
        <v>0</v>
      </c>
      <c r="K550" s="11">
        <f t="shared" si="8"/>
        <v>1.0687076684365859E-3</v>
      </c>
    </row>
    <row r="551" spans="1:11" x14ac:dyDescent="0.2">
      <c r="A551" s="2">
        <v>43263</v>
      </c>
      <c r="B551">
        <v>2785.60009765625</v>
      </c>
      <c r="C551">
        <v>2789.800048828125</v>
      </c>
      <c r="D551">
        <v>2778.780029296875</v>
      </c>
      <c r="E551">
        <v>2786.85009765625</v>
      </c>
      <c r="F551">
        <v>2786.85009765625</v>
      </c>
      <c r="G551">
        <v>3435700000</v>
      </c>
      <c r="H551">
        <v>0</v>
      </c>
      <c r="I551">
        <v>0</v>
      </c>
      <c r="K551" s="11">
        <f t="shared" si="8"/>
        <v>1.7433852107295866E-3</v>
      </c>
    </row>
    <row r="552" spans="1:11" x14ac:dyDescent="0.2">
      <c r="A552" s="2">
        <v>43264</v>
      </c>
      <c r="B552">
        <v>2787.93994140625</v>
      </c>
      <c r="C552">
        <v>2791.469970703125</v>
      </c>
      <c r="D552">
        <v>2774.64990234375</v>
      </c>
      <c r="E552">
        <v>2775.6298828125</v>
      </c>
      <c r="F552">
        <v>2775.6298828125</v>
      </c>
      <c r="G552">
        <v>3820770000</v>
      </c>
      <c r="H552">
        <v>0</v>
      </c>
      <c r="I552">
        <v>0</v>
      </c>
      <c r="K552" s="11">
        <f t="shared" si="8"/>
        <v>-4.0261278685875812E-3</v>
      </c>
    </row>
    <row r="553" spans="1:11" x14ac:dyDescent="0.2">
      <c r="A553" s="2">
        <v>43265</v>
      </c>
      <c r="B553">
        <v>2783.2099609375</v>
      </c>
      <c r="C553">
        <v>2789.06005859375</v>
      </c>
      <c r="D553">
        <v>2776.52001953125</v>
      </c>
      <c r="E553">
        <v>2782.489990234375</v>
      </c>
      <c r="F553">
        <v>2782.489990234375</v>
      </c>
      <c r="G553">
        <v>3540930000</v>
      </c>
      <c r="H553">
        <v>0</v>
      </c>
      <c r="I553">
        <v>0</v>
      </c>
      <c r="K553" s="11">
        <f t="shared" si="8"/>
        <v>2.4715497784322249E-3</v>
      </c>
    </row>
    <row r="554" spans="1:11" x14ac:dyDescent="0.2">
      <c r="A554" s="2">
        <v>43266</v>
      </c>
      <c r="B554">
        <v>2777.780029296875</v>
      </c>
      <c r="C554">
        <v>2782.81005859375</v>
      </c>
      <c r="D554">
        <v>2761.72998046875</v>
      </c>
      <c r="E554">
        <v>2779.659912109375</v>
      </c>
      <c r="F554">
        <v>2779.659912109375</v>
      </c>
      <c r="G554">
        <v>5451990000</v>
      </c>
      <c r="H554">
        <v>0</v>
      </c>
      <c r="I554">
        <v>0</v>
      </c>
      <c r="K554" s="11">
        <f t="shared" si="8"/>
        <v>-1.0171027155291279E-3</v>
      </c>
    </row>
    <row r="555" spans="1:11" x14ac:dyDescent="0.2">
      <c r="A555" s="2">
        <v>43269</v>
      </c>
      <c r="B555">
        <v>2765.7900390625</v>
      </c>
      <c r="C555">
        <v>2774.989990234375</v>
      </c>
      <c r="D555">
        <v>2757.1201171875</v>
      </c>
      <c r="E555">
        <v>2773.75</v>
      </c>
      <c r="F555">
        <v>2773.75</v>
      </c>
      <c r="G555">
        <v>3316120000</v>
      </c>
      <c r="H555">
        <v>0</v>
      </c>
      <c r="I555">
        <v>0</v>
      </c>
      <c r="K555" s="11">
        <f t="shared" si="8"/>
        <v>-2.1261277624751163E-3</v>
      </c>
    </row>
    <row r="556" spans="1:11" x14ac:dyDescent="0.2">
      <c r="A556" s="2">
        <v>43270</v>
      </c>
      <c r="B556">
        <v>2752.010009765625</v>
      </c>
      <c r="C556">
        <v>2765.050048828125</v>
      </c>
      <c r="D556">
        <v>2743.18994140625</v>
      </c>
      <c r="E556">
        <v>2762.590087890625</v>
      </c>
      <c r="F556">
        <v>2762.590087890625</v>
      </c>
      <c r="G556">
        <v>3671160000</v>
      </c>
      <c r="H556">
        <v>0</v>
      </c>
      <c r="I556">
        <v>0</v>
      </c>
      <c r="K556" s="11">
        <f t="shared" si="8"/>
        <v>-4.023402292699374E-3</v>
      </c>
    </row>
    <row r="557" spans="1:11" x14ac:dyDescent="0.2">
      <c r="A557" s="2">
        <v>43271</v>
      </c>
      <c r="B557">
        <v>2769.72998046875</v>
      </c>
      <c r="C557">
        <v>2774.860107421875</v>
      </c>
      <c r="D557">
        <v>2763.909912109375</v>
      </c>
      <c r="E557">
        <v>2767.320068359375</v>
      </c>
      <c r="F557">
        <v>2767.320068359375</v>
      </c>
      <c r="G557">
        <v>3332140000</v>
      </c>
      <c r="H557">
        <v>0</v>
      </c>
      <c r="I557">
        <v>0</v>
      </c>
      <c r="K557" s="11">
        <f t="shared" si="8"/>
        <v>1.7121542893689945E-3</v>
      </c>
    </row>
    <row r="558" spans="1:11" x14ac:dyDescent="0.2">
      <c r="A558" s="2">
        <v>43272</v>
      </c>
      <c r="B558">
        <v>2769.280029296875</v>
      </c>
      <c r="C558">
        <v>2769.280029296875</v>
      </c>
      <c r="D558">
        <v>2744.389892578125</v>
      </c>
      <c r="E558">
        <v>2749.760009765625</v>
      </c>
      <c r="F558">
        <v>2749.760009765625</v>
      </c>
      <c r="G558">
        <v>3336580000</v>
      </c>
      <c r="H558">
        <v>0</v>
      </c>
      <c r="I558">
        <v>0</v>
      </c>
      <c r="K558" s="11">
        <f t="shared" si="8"/>
        <v>-6.3455105155799663E-3</v>
      </c>
    </row>
    <row r="559" spans="1:11" x14ac:dyDescent="0.2">
      <c r="A559" s="2">
        <v>43273</v>
      </c>
      <c r="B559">
        <v>2760.7900390625</v>
      </c>
      <c r="C559">
        <v>2764.169921875</v>
      </c>
      <c r="D559">
        <v>2752.679931640625</v>
      </c>
      <c r="E559">
        <v>2754.8798828125</v>
      </c>
      <c r="F559">
        <v>2754.8798828125</v>
      </c>
      <c r="G559">
        <v>5468110000</v>
      </c>
      <c r="H559">
        <v>0</v>
      </c>
      <c r="I559">
        <v>0</v>
      </c>
      <c r="K559" s="11">
        <f t="shared" si="8"/>
        <v>1.8619345065358228E-3</v>
      </c>
    </row>
    <row r="560" spans="1:11" x14ac:dyDescent="0.2">
      <c r="A560" s="2">
        <v>43276</v>
      </c>
      <c r="B560">
        <v>2742.93994140625</v>
      </c>
      <c r="C560">
        <v>2742.93994140625</v>
      </c>
      <c r="D560">
        <v>2698.669921875</v>
      </c>
      <c r="E560">
        <v>2717.070068359375</v>
      </c>
      <c r="F560">
        <v>2717.070068359375</v>
      </c>
      <c r="G560">
        <v>3663280000</v>
      </c>
      <c r="H560">
        <v>0</v>
      </c>
      <c r="I560">
        <v>0</v>
      </c>
      <c r="K560" s="11">
        <f t="shared" si="8"/>
        <v>-1.3724668973416176E-2</v>
      </c>
    </row>
    <row r="561" spans="1:11" x14ac:dyDescent="0.2">
      <c r="A561" s="2">
        <v>43277</v>
      </c>
      <c r="B561">
        <v>2722.1201171875</v>
      </c>
      <c r="C561">
        <v>2732.909912109375</v>
      </c>
      <c r="D561">
        <v>2715.60009765625</v>
      </c>
      <c r="E561">
        <v>2723.06005859375</v>
      </c>
      <c r="F561">
        <v>2723.06005859375</v>
      </c>
      <c r="G561">
        <v>3568900000</v>
      </c>
      <c r="H561">
        <v>0</v>
      </c>
      <c r="I561">
        <v>0</v>
      </c>
      <c r="K561" s="11">
        <f t="shared" si="8"/>
        <v>2.2045770199778936E-3</v>
      </c>
    </row>
    <row r="562" spans="1:11" x14ac:dyDescent="0.2">
      <c r="A562" s="2">
        <v>43278</v>
      </c>
      <c r="B562">
        <v>2728.449951171875</v>
      </c>
      <c r="C562">
        <v>2746.090087890625</v>
      </c>
      <c r="D562">
        <v>2699.3798828125</v>
      </c>
      <c r="E562">
        <v>2699.6298828125</v>
      </c>
      <c r="F562">
        <v>2699.6298828125</v>
      </c>
      <c r="G562">
        <v>3803990000</v>
      </c>
      <c r="H562">
        <v>0</v>
      </c>
      <c r="I562">
        <v>0</v>
      </c>
      <c r="K562" s="11">
        <f t="shared" si="8"/>
        <v>-8.604355128821406E-3</v>
      </c>
    </row>
    <row r="563" spans="1:11" x14ac:dyDescent="0.2">
      <c r="A563" s="2">
        <v>43279</v>
      </c>
      <c r="B563">
        <v>2698.68994140625</v>
      </c>
      <c r="C563">
        <v>2724.340087890625</v>
      </c>
      <c r="D563">
        <v>2691.989990234375</v>
      </c>
      <c r="E563">
        <v>2716.31005859375</v>
      </c>
      <c r="F563">
        <v>2716.31005859375</v>
      </c>
      <c r="G563">
        <v>3461100000</v>
      </c>
      <c r="H563">
        <v>0</v>
      </c>
      <c r="I563">
        <v>0</v>
      </c>
      <c r="K563" s="11">
        <f t="shared" si="8"/>
        <v>6.1786898594677897E-3</v>
      </c>
    </row>
    <row r="564" spans="1:11" x14ac:dyDescent="0.2">
      <c r="A564" s="2">
        <v>43280</v>
      </c>
      <c r="B564">
        <v>2727.1298828125</v>
      </c>
      <c r="C564">
        <v>2743.260009765625</v>
      </c>
      <c r="D564">
        <v>2718.030029296875</v>
      </c>
      <c r="E564">
        <v>2718.3701171875</v>
      </c>
      <c r="F564">
        <v>2718.3701171875</v>
      </c>
      <c r="G564">
        <v>3586800000</v>
      </c>
      <c r="H564">
        <v>0</v>
      </c>
      <c r="I564">
        <v>0</v>
      </c>
      <c r="K564" s="11">
        <f t="shared" si="8"/>
        <v>7.5840333000010141E-4</v>
      </c>
    </row>
    <row r="565" spans="1:11" x14ac:dyDescent="0.2">
      <c r="A565" s="2">
        <v>43283</v>
      </c>
      <c r="B565">
        <v>2704.949951171875</v>
      </c>
      <c r="C565">
        <v>2727.260009765625</v>
      </c>
      <c r="D565">
        <v>2698.949951171875</v>
      </c>
      <c r="E565">
        <v>2726.7099609375</v>
      </c>
      <c r="F565">
        <v>2726.7099609375</v>
      </c>
      <c r="G565">
        <v>3095040000</v>
      </c>
      <c r="H565">
        <v>0</v>
      </c>
      <c r="I565">
        <v>0</v>
      </c>
      <c r="K565" s="11">
        <f t="shared" si="8"/>
        <v>3.0679574121528219E-3</v>
      </c>
    </row>
    <row r="566" spans="1:11" x14ac:dyDescent="0.2">
      <c r="A566" s="2">
        <v>43284</v>
      </c>
      <c r="B566">
        <v>2733.27001953125</v>
      </c>
      <c r="C566">
        <v>2736.580078125</v>
      </c>
      <c r="D566">
        <v>2711.159912109375</v>
      </c>
      <c r="E566">
        <v>2713.219970703125</v>
      </c>
      <c r="F566">
        <v>2713.219970703125</v>
      </c>
      <c r="G566">
        <v>1911460000</v>
      </c>
      <c r="H566">
        <v>0</v>
      </c>
      <c r="I566">
        <v>0</v>
      </c>
      <c r="K566" s="11">
        <f t="shared" si="8"/>
        <v>-4.9473506268106204E-3</v>
      </c>
    </row>
    <row r="567" spans="1:11" x14ac:dyDescent="0.2">
      <c r="A567" s="2">
        <v>43286</v>
      </c>
      <c r="B567">
        <v>2724.18994140625</v>
      </c>
      <c r="C567">
        <v>2737.830078125</v>
      </c>
      <c r="D567">
        <v>2716.02001953125</v>
      </c>
      <c r="E567">
        <v>2736.610107421875</v>
      </c>
      <c r="F567">
        <v>2736.610107421875</v>
      </c>
      <c r="G567">
        <v>2980160000</v>
      </c>
      <c r="H567">
        <v>0</v>
      </c>
      <c r="I567">
        <v>0</v>
      </c>
      <c r="K567" s="11">
        <f t="shared" si="8"/>
        <v>8.6208036839299229E-3</v>
      </c>
    </row>
    <row r="568" spans="1:11" x14ac:dyDescent="0.2">
      <c r="A568" s="2">
        <v>43287</v>
      </c>
      <c r="B568">
        <v>2737.679931640625</v>
      </c>
      <c r="C568">
        <v>2764.409912109375</v>
      </c>
      <c r="D568">
        <v>2733.52001953125</v>
      </c>
      <c r="E568">
        <v>2759.820068359375</v>
      </c>
      <c r="F568">
        <v>2759.820068359375</v>
      </c>
      <c r="G568">
        <v>2590250000</v>
      </c>
      <c r="H568">
        <v>0</v>
      </c>
      <c r="I568">
        <v>0</v>
      </c>
      <c r="K568" s="11">
        <f t="shared" si="8"/>
        <v>8.4812815952675091E-3</v>
      </c>
    </row>
    <row r="569" spans="1:11" x14ac:dyDescent="0.2">
      <c r="A569" s="2">
        <v>43290</v>
      </c>
      <c r="B569">
        <v>2775.6201171875</v>
      </c>
      <c r="C569">
        <v>2784.64990234375</v>
      </c>
      <c r="D569">
        <v>2770.72998046875</v>
      </c>
      <c r="E569">
        <v>2784.169921875</v>
      </c>
      <c r="F569">
        <v>2784.169921875</v>
      </c>
      <c r="G569">
        <v>3070060000</v>
      </c>
      <c r="H569">
        <v>0</v>
      </c>
      <c r="I569">
        <v>0</v>
      </c>
      <c r="K569" s="11">
        <f t="shared" si="8"/>
        <v>8.8229858876633926E-3</v>
      </c>
    </row>
    <row r="570" spans="1:11" x14ac:dyDescent="0.2">
      <c r="A570" s="2">
        <v>43291</v>
      </c>
      <c r="B570">
        <v>2788.56005859375</v>
      </c>
      <c r="C570">
        <v>2795.580078125</v>
      </c>
      <c r="D570">
        <v>2786.239990234375</v>
      </c>
      <c r="E570">
        <v>2793.840087890625</v>
      </c>
      <c r="F570">
        <v>2793.840087890625</v>
      </c>
      <c r="G570">
        <v>3080140000</v>
      </c>
      <c r="H570">
        <v>0</v>
      </c>
      <c r="I570">
        <v>0</v>
      </c>
      <c r="K570" s="11">
        <f t="shared" si="8"/>
        <v>3.473267180873929E-3</v>
      </c>
    </row>
    <row r="571" spans="1:11" x14ac:dyDescent="0.2">
      <c r="A571" s="2">
        <v>43292</v>
      </c>
      <c r="B571">
        <v>2779.820068359375</v>
      </c>
      <c r="C571">
        <v>2785.909912109375</v>
      </c>
      <c r="D571">
        <v>2770.77001953125</v>
      </c>
      <c r="E571">
        <v>2774.02001953125</v>
      </c>
      <c r="F571">
        <v>2774.02001953125</v>
      </c>
      <c r="G571">
        <v>2986180000</v>
      </c>
      <c r="H571">
        <v>0</v>
      </c>
      <c r="I571">
        <v>0</v>
      </c>
      <c r="K571" s="11">
        <f t="shared" si="8"/>
        <v>-7.0942028662561718E-3</v>
      </c>
    </row>
    <row r="572" spans="1:11" x14ac:dyDescent="0.2">
      <c r="A572" s="2">
        <v>43293</v>
      </c>
      <c r="B572">
        <v>2783.139892578125</v>
      </c>
      <c r="C572">
        <v>2799.219970703125</v>
      </c>
      <c r="D572">
        <v>2781.530029296875</v>
      </c>
      <c r="E572">
        <v>2798.2900390625</v>
      </c>
      <c r="F572">
        <v>2798.2900390625</v>
      </c>
      <c r="G572">
        <v>2834230000</v>
      </c>
      <c r="H572">
        <v>0</v>
      </c>
      <c r="I572">
        <v>0</v>
      </c>
      <c r="K572" s="11">
        <f t="shared" si="8"/>
        <v>8.7490426746634764E-3</v>
      </c>
    </row>
    <row r="573" spans="1:11" x14ac:dyDescent="0.2">
      <c r="A573" s="2">
        <v>43294</v>
      </c>
      <c r="B573">
        <v>2796.929931640625</v>
      </c>
      <c r="C573">
        <v>2804.530029296875</v>
      </c>
      <c r="D573">
        <v>2791.68994140625</v>
      </c>
      <c r="E573">
        <v>2801.31005859375</v>
      </c>
      <c r="F573">
        <v>2801.31005859375</v>
      </c>
      <c r="G573">
        <v>2619790000</v>
      </c>
      <c r="H573">
        <v>0</v>
      </c>
      <c r="I573">
        <v>0</v>
      </c>
      <c r="K573" s="11">
        <f t="shared" si="8"/>
        <v>1.0792374947172778E-3</v>
      </c>
    </row>
    <row r="574" spans="1:11" x14ac:dyDescent="0.2">
      <c r="A574" s="2">
        <v>43297</v>
      </c>
      <c r="B574">
        <v>2797.360107421875</v>
      </c>
      <c r="C574">
        <v>2801.18994140625</v>
      </c>
      <c r="D574">
        <v>2793.389892578125</v>
      </c>
      <c r="E574">
        <v>2798.429931640625</v>
      </c>
      <c r="F574">
        <v>2798.429931640625</v>
      </c>
      <c r="G574">
        <v>2819860000</v>
      </c>
      <c r="H574">
        <v>0</v>
      </c>
      <c r="I574">
        <v>0</v>
      </c>
      <c r="K574" s="11">
        <f t="shared" si="8"/>
        <v>-1.0281357268144831E-3</v>
      </c>
    </row>
    <row r="575" spans="1:11" x14ac:dyDescent="0.2">
      <c r="A575" s="2">
        <v>43298</v>
      </c>
      <c r="B575">
        <v>2789.340087890625</v>
      </c>
      <c r="C575">
        <v>2814.18994140625</v>
      </c>
      <c r="D575">
        <v>2789.239990234375</v>
      </c>
      <c r="E575">
        <v>2809.550048828125</v>
      </c>
      <c r="F575">
        <v>2809.550048828125</v>
      </c>
      <c r="G575">
        <v>3064920000</v>
      </c>
      <c r="H575">
        <v>0</v>
      </c>
      <c r="I575">
        <v>0</v>
      </c>
      <c r="K575" s="11">
        <f t="shared" si="8"/>
        <v>3.9736986307106203E-3</v>
      </c>
    </row>
    <row r="576" spans="1:11" x14ac:dyDescent="0.2">
      <c r="A576" s="2">
        <v>43299</v>
      </c>
      <c r="B576">
        <v>2811.35009765625</v>
      </c>
      <c r="C576">
        <v>2816.760009765625</v>
      </c>
      <c r="D576">
        <v>2805.889892578125</v>
      </c>
      <c r="E576">
        <v>2815.6201171875</v>
      </c>
      <c r="F576">
        <v>2815.6201171875</v>
      </c>
      <c r="G576">
        <v>3111560000</v>
      </c>
      <c r="H576">
        <v>0</v>
      </c>
      <c r="I576">
        <v>0</v>
      </c>
      <c r="K576" s="11">
        <f t="shared" si="8"/>
        <v>2.1605126279586884E-3</v>
      </c>
    </row>
    <row r="577" spans="1:11" x14ac:dyDescent="0.2">
      <c r="A577" s="2">
        <v>43300</v>
      </c>
      <c r="B577">
        <v>2809.3701171875</v>
      </c>
      <c r="C577">
        <v>2812.050048828125</v>
      </c>
      <c r="D577">
        <v>2799.77001953125</v>
      </c>
      <c r="E577">
        <v>2804.489990234375</v>
      </c>
      <c r="F577">
        <v>2804.489990234375</v>
      </c>
      <c r="G577">
        <v>3278360000</v>
      </c>
      <c r="H577">
        <v>0</v>
      </c>
      <c r="I577">
        <v>0</v>
      </c>
      <c r="K577" s="11">
        <f t="shared" si="8"/>
        <v>-3.9529931204791424E-3</v>
      </c>
    </row>
    <row r="578" spans="1:11" x14ac:dyDescent="0.2">
      <c r="A578" s="2">
        <v>43301</v>
      </c>
      <c r="B578">
        <v>2804.550048828125</v>
      </c>
      <c r="C578">
        <v>2809.699951171875</v>
      </c>
      <c r="D578">
        <v>2800.010009765625</v>
      </c>
      <c r="E578">
        <v>2801.830078125</v>
      </c>
      <c r="F578">
        <v>2801.830078125</v>
      </c>
      <c r="G578">
        <v>3243250000</v>
      </c>
      <c r="H578">
        <v>0</v>
      </c>
      <c r="I578">
        <v>0</v>
      </c>
      <c r="K578" s="11">
        <f t="shared" si="8"/>
        <v>-9.4844771014945817E-4</v>
      </c>
    </row>
    <row r="579" spans="1:11" x14ac:dyDescent="0.2">
      <c r="A579" s="2">
        <v>43304</v>
      </c>
      <c r="B579">
        <v>2799.169921875</v>
      </c>
      <c r="C579">
        <v>2808.610107421875</v>
      </c>
      <c r="D579">
        <v>2795.139892578125</v>
      </c>
      <c r="E579">
        <v>2806.97998046875</v>
      </c>
      <c r="F579">
        <v>2806.97998046875</v>
      </c>
      <c r="G579">
        <v>2928490000</v>
      </c>
      <c r="H579">
        <v>0</v>
      </c>
      <c r="I579">
        <v>0</v>
      </c>
      <c r="K579" s="11">
        <f t="shared" si="8"/>
        <v>1.8380494891383492E-3</v>
      </c>
    </row>
    <row r="580" spans="1:11" x14ac:dyDescent="0.2">
      <c r="A580" s="2">
        <v>43305</v>
      </c>
      <c r="B580">
        <v>2820.679931640625</v>
      </c>
      <c r="C580">
        <v>2829.989990234375</v>
      </c>
      <c r="D580">
        <v>2811.1201171875</v>
      </c>
      <c r="E580">
        <v>2820.39990234375</v>
      </c>
      <c r="F580">
        <v>2820.39990234375</v>
      </c>
      <c r="G580">
        <v>3430410000</v>
      </c>
      <c r="H580">
        <v>0</v>
      </c>
      <c r="I580">
        <v>0</v>
      </c>
      <c r="K580" s="11">
        <f t="shared" ref="K580:K643" si="9">(E580/E579)-1</f>
        <v>4.7809111459209408E-3</v>
      </c>
    </row>
    <row r="581" spans="1:11" x14ac:dyDescent="0.2">
      <c r="A581" s="2">
        <v>43306</v>
      </c>
      <c r="B581">
        <v>2817.72998046875</v>
      </c>
      <c r="C581">
        <v>2848.030029296875</v>
      </c>
      <c r="D581">
        <v>2817.72998046875</v>
      </c>
      <c r="E581">
        <v>2846.070068359375</v>
      </c>
      <c r="F581">
        <v>2846.070068359375</v>
      </c>
      <c r="G581">
        <v>3584400000</v>
      </c>
      <c r="H581">
        <v>0</v>
      </c>
      <c r="I581">
        <v>0</v>
      </c>
      <c r="K581" s="11">
        <f t="shared" si="9"/>
        <v>9.1016050575996044E-3</v>
      </c>
    </row>
    <row r="582" spans="1:11" x14ac:dyDescent="0.2">
      <c r="A582" s="2">
        <v>43307</v>
      </c>
      <c r="B582">
        <v>2835.489990234375</v>
      </c>
      <c r="C582">
        <v>2845.570068359375</v>
      </c>
      <c r="D582">
        <v>2835.260009765625</v>
      </c>
      <c r="E582">
        <v>2837.43994140625</v>
      </c>
      <c r="F582">
        <v>2837.43994140625</v>
      </c>
      <c r="G582">
        <v>3667290000</v>
      </c>
      <c r="H582">
        <v>0</v>
      </c>
      <c r="I582">
        <v>0</v>
      </c>
      <c r="K582" s="11">
        <f t="shared" si="9"/>
        <v>-3.0322960242857855E-3</v>
      </c>
    </row>
    <row r="583" spans="1:11" x14ac:dyDescent="0.2">
      <c r="A583" s="2">
        <v>43308</v>
      </c>
      <c r="B583">
        <v>2842.35009765625</v>
      </c>
      <c r="C583">
        <v>2843.169921875</v>
      </c>
      <c r="D583">
        <v>2808.340087890625</v>
      </c>
      <c r="E583">
        <v>2818.820068359375</v>
      </c>
      <c r="F583">
        <v>2818.820068359375</v>
      </c>
      <c r="G583">
        <v>3434370000</v>
      </c>
      <c r="H583">
        <v>0</v>
      </c>
      <c r="I583">
        <v>0</v>
      </c>
      <c r="K583" s="11">
        <f t="shared" si="9"/>
        <v>-6.56220869212365E-3</v>
      </c>
    </row>
    <row r="584" spans="1:11" x14ac:dyDescent="0.2">
      <c r="A584" s="2">
        <v>43311</v>
      </c>
      <c r="B584">
        <v>2819</v>
      </c>
      <c r="C584">
        <v>2821.739990234375</v>
      </c>
      <c r="D584">
        <v>2798.110107421875</v>
      </c>
      <c r="E584">
        <v>2802.60009765625</v>
      </c>
      <c r="F584">
        <v>2802.60009765625</v>
      </c>
      <c r="G584">
        <v>3261190000</v>
      </c>
      <c r="H584">
        <v>0</v>
      </c>
      <c r="I584">
        <v>0</v>
      </c>
      <c r="K584" s="11">
        <f t="shared" si="9"/>
        <v>-5.7541702945819173E-3</v>
      </c>
    </row>
    <row r="585" spans="1:11" x14ac:dyDescent="0.2">
      <c r="A585" s="2">
        <v>43312</v>
      </c>
      <c r="B585">
        <v>2809.72998046875</v>
      </c>
      <c r="C585">
        <v>2824.4599609375</v>
      </c>
      <c r="D585">
        <v>2808.06005859375</v>
      </c>
      <c r="E585">
        <v>2816.2900390625</v>
      </c>
      <c r="F585">
        <v>2816.2900390625</v>
      </c>
      <c r="G585">
        <v>3906890000</v>
      </c>
      <c r="H585">
        <v>0</v>
      </c>
      <c r="I585">
        <v>0</v>
      </c>
      <c r="K585" s="11">
        <f t="shared" si="9"/>
        <v>4.8847287979825182E-3</v>
      </c>
    </row>
    <row r="586" spans="1:11" x14ac:dyDescent="0.2">
      <c r="A586" s="2">
        <v>43313</v>
      </c>
      <c r="B586">
        <v>2821.169921875</v>
      </c>
      <c r="C586">
        <v>2825.830078125</v>
      </c>
      <c r="D586">
        <v>2805.85009765625</v>
      </c>
      <c r="E586">
        <v>2813.360107421875</v>
      </c>
      <c r="F586">
        <v>2813.360107421875</v>
      </c>
      <c r="G586">
        <v>3501350000</v>
      </c>
      <c r="H586">
        <v>0</v>
      </c>
      <c r="I586">
        <v>0</v>
      </c>
      <c r="K586" s="11">
        <f t="shared" si="9"/>
        <v>-1.0403515262938923E-3</v>
      </c>
    </row>
    <row r="587" spans="1:11" x14ac:dyDescent="0.2">
      <c r="A587" s="2">
        <v>43314</v>
      </c>
      <c r="B587">
        <v>2800.47998046875</v>
      </c>
      <c r="C587">
        <v>2829.909912109375</v>
      </c>
      <c r="D587">
        <v>2796.340087890625</v>
      </c>
      <c r="E587">
        <v>2827.219970703125</v>
      </c>
      <c r="F587">
        <v>2827.219970703125</v>
      </c>
      <c r="G587">
        <v>3501380000</v>
      </c>
      <c r="H587">
        <v>0</v>
      </c>
      <c r="I587">
        <v>0</v>
      </c>
      <c r="K587" s="11">
        <f t="shared" si="9"/>
        <v>4.9264448033816688E-3</v>
      </c>
    </row>
    <row r="588" spans="1:11" x14ac:dyDescent="0.2">
      <c r="A588" s="2">
        <v>43315</v>
      </c>
      <c r="B588">
        <v>2829.6201171875</v>
      </c>
      <c r="C588">
        <v>2840.3798828125</v>
      </c>
      <c r="D588">
        <v>2827.3701171875</v>
      </c>
      <c r="E588">
        <v>2840.35009765625</v>
      </c>
      <c r="F588">
        <v>2840.35009765625</v>
      </c>
      <c r="G588">
        <v>3043690000</v>
      </c>
      <c r="H588">
        <v>0</v>
      </c>
      <c r="I588">
        <v>0</v>
      </c>
      <c r="K588" s="11">
        <f t="shared" si="9"/>
        <v>4.6441830098771231E-3</v>
      </c>
    </row>
    <row r="589" spans="1:11" x14ac:dyDescent="0.2">
      <c r="A589" s="2">
        <v>43318</v>
      </c>
      <c r="B589">
        <v>2840.2900390625</v>
      </c>
      <c r="C589">
        <v>2853.2900390625</v>
      </c>
      <c r="D589">
        <v>2835.97998046875</v>
      </c>
      <c r="E589">
        <v>2850.39990234375</v>
      </c>
      <c r="F589">
        <v>2850.39990234375</v>
      </c>
      <c r="G589">
        <v>2879020000</v>
      </c>
      <c r="H589">
        <v>0</v>
      </c>
      <c r="I589">
        <v>0</v>
      </c>
      <c r="K589" s="11">
        <f t="shared" si="9"/>
        <v>3.5382274515358692E-3</v>
      </c>
    </row>
    <row r="590" spans="1:11" x14ac:dyDescent="0.2">
      <c r="A590" s="2">
        <v>43319</v>
      </c>
      <c r="B590">
        <v>2855.919921875</v>
      </c>
      <c r="C590">
        <v>2863.429931640625</v>
      </c>
      <c r="D590">
        <v>2855.919921875</v>
      </c>
      <c r="E590">
        <v>2858.449951171875</v>
      </c>
      <c r="F590">
        <v>2858.449951171875</v>
      </c>
      <c r="G590">
        <v>3185440000</v>
      </c>
      <c r="H590">
        <v>0</v>
      </c>
      <c r="I590">
        <v>0</v>
      </c>
      <c r="K590" s="11">
        <f t="shared" si="9"/>
        <v>2.8241822564987196E-3</v>
      </c>
    </row>
    <row r="591" spans="1:11" x14ac:dyDescent="0.2">
      <c r="A591" s="2">
        <v>43320</v>
      </c>
      <c r="B591">
        <v>2856.7900390625</v>
      </c>
      <c r="C591">
        <v>2862.43994140625</v>
      </c>
      <c r="D591">
        <v>2853.090087890625</v>
      </c>
      <c r="E591">
        <v>2857.699951171875</v>
      </c>
      <c r="F591">
        <v>2857.699951171875</v>
      </c>
      <c r="G591">
        <v>2978070000</v>
      </c>
      <c r="H591">
        <v>0</v>
      </c>
      <c r="I591">
        <v>0</v>
      </c>
      <c r="K591" s="11">
        <f t="shared" si="9"/>
        <v>-2.6237996564970612E-4</v>
      </c>
    </row>
    <row r="592" spans="1:11" x14ac:dyDescent="0.2">
      <c r="A592" s="2">
        <v>43321</v>
      </c>
      <c r="B592">
        <v>2857.18994140625</v>
      </c>
      <c r="C592">
        <v>2862.47998046875</v>
      </c>
      <c r="D592">
        <v>2851.97998046875</v>
      </c>
      <c r="E592">
        <v>2853.580078125</v>
      </c>
      <c r="F592">
        <v>2853.580078125</v>
      </c>
      <c r="G592">
        <v>3066180000</v>
      </c>
      <c r="H592">
        <v>0</v>
      </c>
      <c r="I592">
        <v>0</v>
      </c>
      <c r="K592" s="11">
        <f t="shared" si="9"/>
        <v>-1.4416744645237012E-3</v>
      </c>
    </row>
    <row r="593" spans="1:11" x14ac:dyDescent="0.2">
      <c r="A593" s="2">
        <v>43322</v>
      </c>
      <c r="B593">
        <v>2838.89990234375</v>
      </c>
      <c r="C593">
        <v>2842.199951171875</v>
      </c>
      <c r="D593">
        <v>2825.81005859375</v>
      </c>
      <c r="E593">
        <v>2833.280029296875</v>
      </c>
      <c r="F593">
        <v>2833.280029296875</v>
      </c>
      <c r="G593">
        <v>3265590000</v>
      </c>
      <c r="H593">
        <v>0</v>
      </c>
      <c r="I593">
        <v>0</v>
      </c>
      <c r="K593" s="11">
        <f t="shared" si="9"/>
        <v>-7.1138879135516087E-3</v>
      </c>
    </row>
    <row r="594" spans="1:11" x14ac:dyDescent="0.2">
      <c r="A594" s="2">
        <v>43325</v>
      </c>
      <c r="B594">
        <v>2835.4599609375</v>
      </c>
      <c r="C594">
        <v>2843.39990234375</v>
      </c>
      <c r="D594">
        <v>2819.8798828125</v>
      </c>
      <c r="E594">
        <v>2821.929931640625</v>
      </c>
      <c r="F594">
        <v>2821.929931640625</v>
      </c>
      <c r="G594">
        <v>3173630000</v>
      </c>
      <c r="H594">
        <v>0</v>
      </c>
      <c r="I594">
        <v>0</v>
      </c>
      <c r="K594" s="11">
        <f t="shared" si="9"/>
        <v>-4.0059921853423663E-3</v>
      </c>
    </row>
    <row r="595" spans="1:11" x14ac:dyDescent="0.2">
      <c r="A595" s="2">
        <v>43326</v>
      </c>
      <c r="B595">
        <v>2827.8798828125</v>
      </c>
      <c r="C595">
        <v>2843.110107421875</v>
      </c>
      <c r="D595">
        <v>2826.580078125</v>
      </c>
      <c r="E595">
        <v>2839.9599609375</v>
      </c>
      <c r="F595">
        <v>2839.9599609375</v>
      </c>
      <c r="G595">
        <v>2986500000</v>
      </c>
      <c r="H595">
        <v>0</v>
      </c>
      <c r="I595">
        <v>0</v>
      </c>
      <c r="K595" s="11">
        <f t="shared" si="9"/>
        <v>6.3892547772768093E-3</v>
      </c>
    </row>
    <row r="596" spans="1:11" x14ac:dyDescent="0.2">
      <c r="A596" s="2">
        <v>43327</v>
      </c>
      <c r="B596">
        <v>2827.949951171875</v>
      </c>
      <c r="C596">
        <v>2827.949951171875</v>
      </c>
      <c r="D596">
        <v>2802.489990234375</v>
      </c>
      <c r="E596">
        <v>2818.3701171875</v>
      </c>
      <c r="F596">
        <v>2818.3701171875</v>
      </c>
      <c r="G596">
        <v>3656680000</v>
      </c>
      <c r="H596">
        <v>0</v>
      </c>
      <c r="I596">
        <v>0</v>
      </c>
      <c r="K596" s="11">
        <f t="shared" si="9"/>
        <v>-7.6021648357581517E-3</v>
      </c>
    </row>
    <row r="597" spans="1:11" x14ac:dyDescent="0.2">
      <c r="A597" s="2">
        <v>43328</v>
      </c>
      <c r="B597">
        <v>2831.43994140625</v>
      </c>
      <c r="C597">
        <v>2850.489990234375</v>
      </c>
      <c r="D597">
        <v>2831.43994140625</v>
      </c>
      <c r="E597">
        <v>2840.68994140625</v>
      </c>
      <c r="F597">
        <v>2840.68994140625</v>
      </c>
      <c r="G597">
        <v>3232000000</v>
      </c>
      <c r="H597">
        <v>0</v>
      </c>
      <c r="I597">
        <v>0</v>
      </c>
      <c r="K597" s="11">
        <f t="shared" si="9"/>
        <v>7.919408484583057E-3</v>
      </c>
    </row>
    <row r="598" spans="1:11" x14ac:dyDescent="0.2">
      <c r="A598" s="2">
        <v>43329</v>
      </c>
      <c r="B598">
        <v>2838.320068359375</v>
      </c>
      <c r="C598">
        <v>2855.6298828125</v>
      </c>
      <c r="D598">
        <v>2833.72998046875</v>
      </c>
      <c r="E598">
        <v>2850.1298828125</v>
      </c>
      <c r="F598">
        <v>2850.1298828125</v>
      </c>
      <c r="G598">
        <v>3037640000</v>
      </c>
      <c r="H598">
        <v>0</v>
      </c>
      <c r="I598">
        <v>0</v>
      </c>
      <c r="K598" s="11">
        <f t="shared" si="9"/>
        <v>3.3231157222237684E-3</v>
      </c>
    </row>
    <row r="599" spans="1:11" x14ac:dyDescent="0.2">
      <c r="A599" s="2">
        <v>43332</v>
      </c>
      <c r="B599">
        <v>2853.929931640625</v>
      </c>
      <c r="C599">
        <v>2859.760009765625</v>
      </c>
      <c r="D599">
        <v>2850.6201171875</v>
      </c>
      <c r="E599">
        <v>2857.050048828125</v>
      </c>
      <c r="F599">
        <v>2857.050048828125</v>
      </c>
      <c r="G599">
        <v>2757150000</v>
      </c>
      <c r="H599">
        <v>0</v>
      </c>
      <c r="I599">
        <v>0</v>
      </c>
      <c r="K599" s="11">
        <f t="shared" si="9"/>
        <v>2.4280177746833775E-3</v>
      </c>
    </row>
    <row r="600" spans="1:11" x14ac:dyDescent="0.2">
      <c r="A600" s="2">
        <v>43333</v>
      </c>
      <c r="B600">
        <v>2861.510009765625</v>
      </c>
      <c r="C600">
        <v>2873.22998046875</v>
      </c>
      <c r="D600">
        <v>2861.320068359375</v>
      </c>
      <c r="E600">
        <v>2862.9599609375</v>
      </c>
      <c r="F600">
        <v>2862.9599609375</v>
      </c>
      <c r="G600">
        <v>3174010000</v>
      </c>
      <c r="H600">
        <v>0</v>
      </c>
      <c r="I600">
        <v>0</v>
      </c>
      <c r="K600" s="11">
        <f t="shared" si="9"/>
        <v>2.0685364303643095E-3</v>
      </c>
    </row>
    <row r="601" spans="1:11" x14ac:dyDescent="0.2">
      <c r="A601" s="2">
        <v>43334</v>
      </c>
      <c r="B601">
        <v>2860.989990234375</v>
      </c>
      <c r="C601">
        <v>2867.5400390625</v>
      </c>
      <c r="D601">
        <v>2856.050048828125</v>
      </c>
      <c r="E601">
        <v>2861.820068359375</v>
      </c>
      <c r="F601">
        <v>2861.820068359375</v>
      </c>
      <c r="G601">
        <v>2701250000</v>
      </c>
      <c r="H601">
        <v>0</v>
      </c>
      <c r="I601">
        <v>0</v>
      </c>
      <c r="K601" s="11">
        <f t="shared" si="9"/>
        <v>-3.9815177078195152E-4</v>
      </c>
    </row>
    <row r="602" spans="1:11" x14ac:dyDescent="0.2">
      <c r="A602" s="2">
        <v>43335</v>
      </c>
      <c r="B602">
        <v>2860.2900390625</v>
      </c>
      <c r="C602">
        <v>2868.780029296875</v>
      </c>
      <c r="D602">
        <v>2854.030029296875</v>
      </c>
      <c r="E602">
        <v>2856.97998046875</v>
      </c>
      <c r="F602">
        <v>2856.97998046875</v>
      </c>
      <c r="G602">
        <v>2724450000</v>
      </c>
      <c r="H602">
        <v>0</v>
      </c>
      <c r="I602">
        <v>0</v>
      </c>
      <c r="K602" s="11">
        <f t="shared" si="9"/>
        <v>-1.6912621251551352E-3</v>
      </c>
    </row>
    <row r="603" spans="1:11" x14ac:dyDescent="0.2">
      <c r="A603" s="2">
        <v>43336</v>
      </c>
      <c r="B603">
        <v>2862.35009765625</v>
      </c>
      <c r="C603">
        <v>2876.159912109375</v>
      </c>
      <c r="D603">
        <v>2862.35009765625</v>
      </c>
      <c r="E603">
        <v>2874.68994140625</v>
      </c>
      <c r="F603">
        <v>2874.68994140625</v>
      </c>
      <c r="G603">
        <v>2603010000</v>
      </c>
      <c r="H603">
        <v>0</v>
      </c>
      <c r="I603">
        <v>0</v>
      </c>
      <c r="K603" s="11">
        <f t="shared" si="9"/>
        <v>6.1988397043630794E-3</v>
      </c>
    </row>
    <row r="604" spans="1:11" x14ac:dyDescent="0.2">
      <c r="A604" s="2">
        <v>43339</v>
      </c>
      <c r="B604">
        <v>2884.68994140625</v>
      </c>
      <c r="C604">
        <v>2898.25</v>
      </c>
      <c r="D604">
        <v>2884.68994140625</v>
      </c>
      <c r="E604">
        <v>2896.739990234375</v>
      </c>
      <c r="F604">
        <v>2896.739990234375</v>
      </c>
      <c r="G604">
        <v>2865070000</v>
      </c>
      <c r="H604">
        <v>0</v>
      </c>
      <c r="I604">
        <v>0</v>
      </c>
      <c r="K604" s="11">
        <f t="shared" si="9"/>
        <v>7.6704094276471846E-3</v>
      </c>
    </row>
    <row r="605" spans="1:11" x14ac:dyDescent="0.2">
      <c r="A605" s="2">
        <v>43340</v>
      </c>
      <c r="B605">
        <v>2901.449951171875</v>
      </c>
      <c r="C605">
        <v>2903.77001953125</v>
      </c>
      <c r="D605">
        <v>2893.5</v>
      </c>
      <c r="E605">
        <v>2897.52001953125</v>
      </c>
      <c r="F605">
        <v>2897.52001953125</v>
      </c>
      <c r="G605">
        <v>2687770000</v>
      </c>
      <c r="H605">
        <v>0</v>
      </c>
      <c r="I605">
        <v>0</v>
      </c>
      <c r="K605" s="11">
        <f t="shared" si="9"/>
        <v>2.6927832649970007E-4</v>
      </c>
    </row>
    <row r="606" spans="1:11" x14ac:dyDescent="0.2">
      <c r="A606" s="2">
        <v>43341</v>
      </c>
      <c r="B606">
        <v>2900.6201171875</v>
      </c>
      <c r="C606">
        <v>2916.5</v>
      </c>
      <c r="D606">
        <v>2898.39990234375</v>
      </c>
      <c r="E606">
        <v>2914.0400390625</v>
      </c>
      <c r="F606">
        <v>2914.0400390625</v>
      </c>
      <c r="G606">
        <v>2805520000</v>
      </c>
      <c r="H606">
        <v>0</v>
      </c>
      <c r="I606">
        <v>0</v>
      </c>
      <c r="K606" s="11">
        <f t="shared" si="9"/>
        <v>5.7014341298400328E-3</v>
      </c>
    </row>
    <row r="607" spans="1:11" x14ac:dyDescent="0.2">
      <c r="A607" s="2">
        <v>43342</v>
      </c>
      <c r="B607">
        <v>2908.93994140625</v>
      </c>
      <c r="C607">
        <v>2912.4599609375</v>
      </c>
      <c r="D607">
        <v>2895.219970703125</v>
      </c>
      <c r="E607">
        <v>2901.1298828125</v>
      </c>
      <c r="F607">
        <v>2901.1298828125</v>
      </c>
      <c r="G607">
        <v>2810450000</v>
      </c>
      <c r="H607">
        <v>0</v>
      </c>
      <c r="I607">
        <v>0</v>
      </c>
      <c r="K607" s="11">
        <f t="shared" si="9"/>
        <v>-4.4303290541448659E-3</v>
      </c>
    </row>
    <row r="608" spans="1:11" x14ac:dyDescent="0.2">
      <c r="A608" s="2">
        <v>43343</v>
      </c>
      <c r="B608">
        <v>2898.3701171875</v>
      </c>
      <c r="C608">
        <v>2906.320068359375</v>
      </c>
      <c r="D608">
        <v>2891.72998046875</v>
      </c>
      <c r="E608">
        <v>2901.52001953125</v>
      </c>
      <c r="F608">
        <v>2901.52001953125</v>
      </c>
      <c r="G608">
        <v>2887220000</v>
      </c>
      <c r="H608">
        <v>0</v>
      </c>
      <c r="I608">
        <v>0</v>
      </c>
      <c r="K608" s="11">
        <f t="shared" si="9"/>
        <v>1.3447750859452157E-4</v>
      </c>
    </row>
    <row r="609" spans="1:11" x14ac:dyDescent="0.2">
      <c r="A609" s="2">
        <v>43347</v>
      </c>
      <c r="B609">
        <v>2896.9599609375</v>
      </c>
      <c r="C609">
        <v>2900.179931640625</v>
      </c>
      <c r="D609">
        <v>2885.1298828125</v>
      </c>
      <c r="E609">
        <v>2896.719970703125</v>
      </c>
      <c r="F609">
        <v>2896.719970703125</v>
      </c>
      <c r="G609">
        <v>3087420000</v>
      </c>
      <c r="H609">
        <v>0</v>
      </c>
      <c r="I609">
        <v>0</v>
      </c>
      <c r="K609" s="11">
        <f t="shared" si="9"/>
        <v>-1.6543221469484948E-3</v>
      </c>
    </row>
    <row r="610" spans="1:11" x14ac:dyDescent="0.2">
      <c r="A610" s="2">
        <v>43348</v>
      </c>
      <c r="B610">
        <v>2891.590087890625</v>
      </c>
      <c r="C610">
        <v>2894.2099609375</v>
      </c>
      <c r="D610">
        <v>2876.919921875</v>
      </c>
      <c r="E610">
        <v>2888.60009765625</v>
      </c>
      <c r="F610">
        <v>2888.60009765625</v>
      </c>
      <c r="G610">
        <v>3248780000</v>
      </c>
      <c r="H610">
        <v>0</v>
      </c>
      <c r="I610">
        <v>0</v>
      </c>
      <c r="K610" s="11">
        <f t="shared" si="9"/>
        <v>-2.8031266843180358E-3</v>
      </c>
    </row>
    <row r="611" spans="1:11" x14ac:dyDescent="0.2">
      <c r="A611" s="2">
        <v>43349</v>
      </c>
      <c r="B611">
        <v>2888.639892578125</v>
      </c>
      <c r="C611">
        <v>2892.050048828125</v>
      </c>
      <c r="D611">
        <v>2867.2900390625</v>
      </c>
      <c r="E611">
        <v>2878.050048828125</v>
      </c>
      <c r="F611">
        <v>2878.050048828125</v>
      </c>
      <c r="G611">
        <v>3144240000</v>
      </c>
      <c r="H611">
        <v>0</v>
      </c>
      <c r="I611">
        <v>0</v>
      </c>
      <c r="K611" s="11">
        <f t="shared" si="9"/>
        <v>-3.6523050860121087E-3</v>
      </c>
    </row>
    <row r="612" spans="1:11" x14ac:dyDescent="0.2">
      <c r="A612" s="2">
        <v>43350</v>
      </c>
      <c r="B612">
        <v>2868.260009765625</v>
      </c>
      <c r="C612">
        <v>2883.81005859375</v>
      </c>
      <c r="D612">
        <v>2864.1201171875</v>
      </c>
      <c r="E612">
        <v>2871.679931640625</v>
      </c>
      <c r="F612">
        <v>2871.679931640625</v>
      </c>
      <c r="G612">
        <v>2976580000</v>
      </c>
      <c r="H612">
        <v>0</v>
      </c>
      <c r="I612">
        <v>0</v>
      </c>
      <c r="K612" s="11">
        <f t="shared" si="9"/>
        <v>-2.213344827027508E-3</v>
      </c>
    </row>
    <row r="613" spans="1:11" x14ac:dyDescent="0.2">
      <c r="A613" s="2">
        <v>43353</v>
      </c>
      <c r="B613">
        <v>2881.389892578125</v>
      </c>
      <c r="C613">
        <v>2886.929931640625</v>
      </c>
      <c r="D613">
        <v>2875.93994140625</v>
      </c>
      <c r="E613">
        <v>2877.1298828125</v>
      </c>
      <c r="F613">
        <v>2877.1298828125</v>
      </c>
      <c r="G613">
        <v>2751100000</v>
      </c>
      <c r="H613">
        <v>0</v>
      </c>
      <c r="I613">
        <v>0</v>
      </c>
      <c r="K613" s="11">
        <f t="shared" si="9"/>
        <v>1.8978268127400888E-3</v>
      </c>
    </row>
    <row r="614" spans="1:11" x14ac:dyDescent="0.2">
      <c r="A614" s="2">
        <v>43354</v>
      </c>
      <c r="B614">
        <v>2871.570068359375</v>
      </c>
      <c r="C614">
        <v>2892.52001953125</v>
      </c>
      <c r="D614">
        <v>2866.780029296875</v>
      </c>
      <c r="E614">
        <v>2887.889892578125</v>
      </c>
      <c r="F614">
        <v>2887.889892578125</v>
      </c>
      <c r="G614">
        <v>2904500000</v>
      </c>
      <c r="H614">
        <v>0</v>
      </c>
      <c r="I614">
        <v>0</v>
      </c>
      <c r="K614" s="11">
        <f t="shared" si="9"/>
        <v>3.7398415100768911E-3</v>
      </c>
    </row>
    <row r="615" spans="1:11" x14ac:dyDescent="0.2">
      <c r="A615" s="2">
        <v>43355</v>
      </c>
      <c r="B615">
        <v>2888.2900390625</v>
      </c>
      <c r="C615">
        <v>2894.64990234375</v>
      </c>
      <c r="D615">
        <v>2879.199951171875</v>
      </c>
      <c r="E615">
        <v>2888.919921875</v>
      </c>
      <c r="F615">
        <v>2888.919921875</v>
      </c>
      <c r="G615">
        <v>3341280000</v>
      </c>
      <c r="H615">
        <v>0</v>
      </c>
      <c r="I615">
        <v>0</v>
      </c>
      <c r="K615" s="11">
        <f t="shared" si="9"/>
        <v>3.5667194221011833E-4</v>
      </c>
    </row>
    <row r="616" spans="1:11" x14ac:dyDescent="0.2">
      <c r="A616" s="2">
        <v>43356</v>
      </c>
      <c r="B616">
        <v>2896.85009765625</v>
      </c>
      <c r="C616">
        <v>2906.760009765625</v>
      </c>
      <c r="D616">
        <v>2896.389892578125</v>
      </c>
      <c r="E616">
        <v>2904.179931640625</v>
      </c>
      <c r="F616">
        <v>2904.179931640625</v>
      </c>
      <c r="G616">
        <v>3274090000</v>
      </c>
      <c r="H616">
        <v>0</v>
      </c>
      <c r="I616">
        <v>0</v>
      </c>
      <c r="K616" s="11">
        <f t="shared" si="9"/>
        <v>5.2822543297499358E-3</v>
      </c>
    </row>
    <row r="617" spans="1:11" x14ac:dyDescent="0.2">
      <c r="A617" s="2">
        <v>43357</v>
      </c>
      <c r="B617">
        <v>2906.3798828125</v>
      </c>
      <c r="C617">
        <v>2908.300048828125</v>
      </c>
      <c r="D617">
        <v>2895.77001953125</v>
      </c>
      <c r="E617">
        <v>2904.97998046875</v>
      </c>
      <c r="F617">
        <v>2904.97998046875</v>
      </c>
      <c r="G617">
        <v>3179410000</v>
      </c>
      <c r="H617">
        <v>0</v>
      </c>
      <c r="I617">
        <v>0</v>
      </c>
      <c r="K617" s="11">
        <f t="shared" si="9"/>
        <v>2.7548183892078804E-4</v>
      </c>
    </row>
    <row r="618" spans="1:11" x14ac:dyDescent="0.2">
      <c r="A618" s="2">
        <v>43360</v>
      </c>
      <c r="B618">
        <v>2903.830078125</v>
      </c>
      <c r="C618">
        <v>2904.64990234375</v>
      </c>
      <c r="D618">
        <v>2886.159912109375</v>
      </c>
      <c r="E618">
        <v>2888.800048828125</v>
      </c>
      <c r="F618">
        <v>2888.800048828125</v>
      </c>
      <c r="G618">
        <v>2967980000</v>
      </c>
      <c r="H618">
        <v>0</v>
      </c>
      <c r="I618">
        <v>0</v>
      </c>
      <c r="K618" s="11">
        <f t="shared" si="9"/>
        <v>-5.5697222526174262E-3</v>
      </c>
    </row>
    <row r="619" spans="1:11" x14ac:dyDescent="0.2">
      <c r="A619" s="2">
        <v>43361</v>
      </c>
      <c r="B619">
        <v>2890.739990234375</v>
      </c>
      <c r="C619">
        <v>2911.169921875</v>
      </c>
      <c r="D619">
        <v>2890.429931640625</v>
      </c>
      <c r="E619">
        <v>2904.31005859375</v>
      </c>
      <c r="F619">
        <v>2904.31005859375</v>
      </c>
      <c r="G619">
        <v>3091190000</v>
      </c>
      <c r="H619">
        <v>0</v>
      </c>
      <c r="I619">
        <v>0</v>
      </c>
      <c r="K619" s="11">
        <f t="shared" si="9"/>
        <v>5.3690146439580033E-3</v>
      </c>
    </row>
    <row r="620" spans="1:11" x14ac:dyDescent="0.2">
      <c r="A620" s="2">
        <v>43362</v>
      </c>
      <c r="B620">
        <v>2906.60009765625</v>
      </c>
      <c r="C620">
        <v>2912.360107421875</v>
      </c>
      <c r="D620">
        <v>2903.820068359375</v>
      </c>
      <c r="E620">
        <v>2907.949951171875</v>
      </c>
      <c r="F620">
        <v>2907.949951171875</v>
      </c>
      <c r="G620">
        <v>3302460000</v>
      </c>
      <c r="H620">
        <v>0</v>
      </c>
      <c r="I620">
        <v>0</v>
      </c>
      <c r="K620" s="11">
        <f t="shared" si="9"/>
        <v>1.2532727238796504E-3</v>
      </c>
    </row>
    <row r="621" spans="1:11" x14ac:dyDescent="0.2">
      <c r="A621" s="2">
        <v>43363</v>
      </c>
      <c r="B621">
        <v>2919.72998046875</v>
      </c>
      <c r="C621">
        <v>2934.800048828125</v>
      </c>
      <c r="D621">
        <v>2919.72998046875</v>
      </c>
      <c r="E621">
        <v>2930.75</v>
      </c>
      <c r="F621">
        <v>2930.75</v>
      </c>
      <c r="G621">
        <v>3406520000</v>
      </c>
      <c r="H621">
        <v>0</v>
      </c>
      <c r="I621">
        <v>0</v>
      </c>
      <c r="K621" s="11">
        <f t="shared" si="9"/>
        <v>7.8405918984048029E-3</v>
      </c>
    </row>
    <row r="622" spans="1:11" x14ac:dyDescent="0.2">
      <c r="A622" s="2">
        <v>43364</v>
      </c>
      <c r="B622">
        <v>2936.760009765625</v>
      </c>
      <c r="C622">
        <v>2940.909912109375</v>
      </c>
      <c r="D622">
        <v>2927.110107421875</v>
      </c>
      <c r="E622">
        <v>2929.669921875</v>
      </c>
      <c r="F622">
        <v>2929.669921875</v>
      </c>
      <c r="G622">
        <v>5652470000</v>
      </c>
      <c r="H622">
        <v>0</v>
      </c>
      <c r="I622">
        <v>0</v>
      </c>
      <c r="K622" s="11">
        <f t="shared" si="9"/>
        <v>-3.6853301202766087E-4</v>
      </c>
    </row>
    <row r="623" spans="1:11" x14ac:dyDescent="0.2">
      <c r="A623" s="2">
        <v>43367</v>
      </c>
      <c r="B623">
        <v>2921.830078125</v>
      </c>
      <c r="C623">
        <v>2923.7900390625</v>
      </c>
      <c r="D623">
        <v>2912.6298828125</v>
      </c>
      <c r="E623">
        <v>2919.3701171875</v>
      </c>
      <c r="F623">
        <v>2919.3701171875</v>
      </c>
      <c r="G623">
        <v>3392030000</v>
      </c>
      <c r="H623">
        <v>0</v>
      </c>
      <c r="I623">
        <v>0</v>
      </c>
      <c r="K623" s="11">
        <f t="shared" si="9"/>
        <v>-3.5156877607932513E-3</v>
      </c>
    </row>
    <row r="624" spans="1:11" x14ac:dyDescent="0.2">
      <c r="A624" s="2">
        <v>43368</v>
      </c>
      <c r="B624">
        <v>2921.75</v>
      </c>
      <c r="C624">
        <v>2923.949951171875</v>
      </c>
      <c r="D624">
        <v>2913.699951171875</v>
      </c>
      <c r="E624">
        <v>2915.56005859375</v>
      </c>
      <c r="F624">
        <v>2915.56005859375</v>
      </c>
      <c r="G624">
        <v>3330880000</v>
      </c>
      <c r="H624">
        <v>0</v>
      </c>
      <c r="I624">
        <v>0</v>
      </c>
      <c r="K624" s="11">
        <f t="shared" si="9"/>
        <v>-1.3050961134796202E-3</v>
      </c>
    </row>
    <row r="625" spans="1:11" x14ac:dyDescent="0.2">
      <c r="A625" s="2">
        <v>43369</v>
      </c>
      <c r="B625">
        <v>2916.97998046875</v>
      </c>
      <c r="C625">
        <v>2931.14990234375</v>
      </c>
      <c r="D625">
        <v>2903.280029296875</v>
      </c>
      <c r="E625">
        <v>2905.969970703125</v>
      </c>
      <c r="F625">
        <v>2905.969970703125</v>
      </c>
      <c r="G625">
        <v>3417540000</v>
      </c>
      <c r="H625">
        <v>0</v>
      </c>
      <c r="I625">
        <v>0</v>
      </c>
      <c r="K625" s="11">
        <f t="shared" si="9"/>
        <v>-3.2892781139450822E-3</v>
      </c>
    </row>
    <row r="626" spans="1:11" x14ac:dyDescent="0.2">
      <c r="A626" s="2">
        <v>43370</v>
      </c>
      <c r="B626">
        <v>2911.64990234375</v>
      </c>
      <c r="C626">
        <v>2927.219970703125</v>
      </c>
      <c r="D626">
        <v>2909.27001953125</v>
      </c>
      <c r="E626">
        <v>2914</v>
      </c>
      <c r="F626">
        <v>2914</v>
      </c>
      <c r="G626">
        <v>3101360000</v>
      </c>
      <c r="H626">
        <v>0</v>
      </c>
      <c r="I626">
        <v>0</v>
      </c>
      <c r="K626" s="11">
        <f t="shared" si="9"/>
        <v>2.7632870875580196E-3</v>
      </c>
    </row>
    <row r="627" spans="1:11" x14ac:dyDescent="0.2">
      <c r="A627" s="2">
        <v>43371</v>
      </c>
      <c r="B627">
        <v>2910.030029296875</v>
      </c>
      <c r="C627">
        <v>2920.530029296875</v>
      </c>
      <c r="D627">
        <v>2907.5</v>
      </c>
      <c r="E627">
        <v>2913.97998046875</v>
      </c>
      <c r="F627">
        <v>2913.97998046875</v>
      </c>
      <c r="G627">
        <v>3461680000</v>
      </c>
      <c r="H627">
        <v>0</v>
      </c>
      <c r="I627">
        <v>0</v>
      </c>
      <c r="K627" s="11">
        <f t="shared" si="9"/>
        <v>-6.8701205387933229E-6</v>
      </c>
    </row>
    <row r="628" spans="1:11" x14ac:dyDescent="0.2">
      <c r="A628" s="2">
        <v>43374</v>
      </c>
      <c r="B628">
        <v>2926.2900390625</v>
      </c>
      <c r="C628">
        <v>2937.06005859375</v>
      </c>
      <c r="D628">
        <v>2917.909912109375</v>
      </c>
      <c r="E628">
        <v>2924.590087890625</v>
      </c>
      <c r="F628">
        <v>2924.590087890625</v>
      </c>
      <c r="G628">
        <v>3375890000</v>
      </c>
      <c r="H628">
        <v>0</v>
      </c>
      <c r="I628">
        <v>0</v>
      </c>
      <c r="K628" s="11">
        <f t="shared" si="9"/>
        <v>3.641105118425747E-3</v>
      </c>
    </row>
    <row r="629" spans="1:11" x14ac:dyDescent="0.2">
      <c r="A629" s="2">
        <v>43375</v>
      </c>
      <c r="B629">
        <v>2923.800048828125</v>
      </c>
      <c r="C629">
        <v>2931.419921875</v>
      </c>
      <c r="D629">
        <v>2919.3701171875</v>
      </c>
      <c r="E629">
        <v>2923.429931640625</v>
      </c>
      <c r="F629">
        <v>2923.429931640625</v>
      </c>
      <c r="G629">
        <v>3432620000</v>
      </c>
      <c r="H629">
        <v>0</v>
      </c>
      <c r="I629">
        <v>0</v>
      </c>
      <c r="K629" s="11">
        <f t="shared" si="9"/>
        <v>-3.9669020790422671E-4</v>
      </c>
    </row>
    <row r="630" spans="1:11" x14ac:dyDescent="0.2">
      <c r="A630" s="2">
        <v>43376</v>
      </c>
      <c r="B630">
        <v>2931.68994140625</v>
      </c>
      <c r="C630">
        <v>2939.860107421875</v>
      </c>
      <c r="D630">
        <v>2921.360107421875</v>
      </c>
      <c r="E630">
        <v>2925.510009765625</v>
      </c>
      <c r="F630">
        <v>2925.510009765625</v>
      </c>
      <c r="G630">
        <v>3625510000</v>
      </c>
      <c r="H630">
        <v>0</v>
      </c>
      <c r="I630">
        <v>0</v>
      </c>
      <c r="K630" s="11">
        <f t="shared" si="9"/>
        <v>7.1151974688610231E-4</v>
      </c>
    </row>
    <row r="631" spans="1:11" x14ac:dyDescent="0.2">
      <c r="A631" s="2">
        <v>43377</v>
      </c>
      <c r="B631">
        <v>2919.35009765625</v>
      </c>
      <c r="C631">
        <v>2919.780029296875</v>
      </c>
      <c r="D631">
        <v>2883.919921875</v>
      </c>
      <c r="E631">
        <v>2901.610107421875</v>
      </c>
      <c r="F631">
        <v>2901.610107421875</v>
      </c>
      <c r="G631">
        <v>3510370000</v>
      </c>
      <c r="H631">
        <v>0</v>
      </c>
      <c r="I631">
        <v>0</v>
      </c>
      <c r="K631" s="11">
        <f t="shared" si="9"/>
        <v>-8.1694823343518852E-3</v>
      </c>
    </row>
    <row r="632" spans="1:11" x14ac:dyDescent="0.2">
      <c r="A632" s="2">
        <v>43378</v>
      </c>
      <c r="B632">
        <v>2902.5400390625</v>
      </c>
      <c r="C632">
        <v>2909.639892578125</v>
      </c>
      <c r="D632">
        <v>2869.2900390625</v>
      </c>
      <c r="E632">
        <v>2885.570068359375</v>
      </c>
      <c r="F632">
        <v>2885.570068359375</v>
      </c>
      <c r="G632">
        <v>3340820000</v>
      </c>
      <c r="H632">
        <v>0</v>
      </c>
      <c r="I632">
        <v>0</v>
      </c>
      <c r="K632" s="11">
        <f t="shared" si="9"/>
        <v>-5.5279787665034608E-3</v>
      </c>
    </row>
    <row r="633" spans="1:11" x14ac:dyDescent="0.2">
      <c r="A633" s="2">
        <v>43381</v>
      </c>
      <c r="B633">
        <v>2877.530029296875</v>
      </c>
      <c r="C633">
        <v>2889.449951171875</v>
      </c>
      <c r="D633">
        <v>2862.080078125</v>
      </c>
      <c r="E633">
        <v>2884.429931640625</v>
      </c>
      <c r="F633">
        <v>2884.429931640625</v>
      </c>
      <c r="G633">
        <v>3381820000</v>
      </c>
      <c r="H633">
        <v>0</v>
      </c>
      <c r="I633">
        <v>0</v>
      </c>
      <c r="K633" s="11">
        <f t="shared" si="9"/>
        <v>-3.9511662920677093E-4</v>
      </c>
    </row>
    <row r="634" spans="1:11" x14ac:dyDescent="0.2">
      <c r="A634" s="2">
        <v>43382</v>
      </c>
      <c r="B634">
        <v>2882.510009765625</v>
      </c>
      <c r="C634">
        <v>2894.830078125</v>
      </c>
      <c r="D634">
        <v>2874.27001953125</v>
      </c>
      <c r="E634">
        <v>2880.340087890625</v>
      </c>
      <c r="F634">
        <v>2880.340087890625</v>
      </c>
      <c r="G634">
        <v>3531690000</v>
      </c>
      <c r="H634">
        <v>0</v>
      </c>
      <c r="I634">
        <v>0</v>
      </c>
      <c r="K634" s="11">
        <f t="shared" si="9"/>
        <v>-1.4179036575431292E-3</v>
      </c>
    </row>
    <row r="635" spans="1:11" x14ac:dyDescent="0.2">
      <c r="A635" s="2">
        <v>43383</v>
      </c>
      <c r="B635">
        <v>2873.89990234375</v>
      </c>
      <c r="C635">
        <v>2874.02001953125</v>
      </c>
      <c r="D635">
        <v>2784.860107421875</v>
      </c>
      <c r="E635">
        <v>2785.679931640625</v>
      </c>
      <c r="F635">
        <v>2785.679931640625</v>
      </c>
      <c r="G635">
        <v>4554260000</v>
      </c>
      <c r="H635">
        <v>0</v>
      </c>
      <c r="I635">
        <v>0</v>
      </c>
      <c r="K635" s="11">
        <f t="shared" si="9"/>
        <v>-3.28642290012785E-2</v>
      </c>
    </row>
    <row r="636" spans="1:11" x14ac:dyDescent="0.2">
      <c r="A636" s="2">
        <v>43384</v>
      </c>
      <c r="B636">
        <v>2776.8701171875</v>
      </c>
      <c r="C636">
        <v>2795.139892578125</v>
      </c>
      <c r="D636">
        <v>2710.510009765625</v>
      </c>
      <c r="E636">
        <v>2728.3701171875</v>
      </c>
      <c r="F636">
        <v>2728.3701171875</v>
      </c>
      <c r="G636">
        <v>4914090000</v>
      </c>
      <c r="H636">
        <v>0</v>
      </c>
      <c r="I636">
        <v>0</v>
      </c>
      <c r="K636" s="11">
        <f t="shared" si="9"/>
        <v>-2.0573007617344041E-2</v>
      </c>
    </row>
    <row r="637" spans="1:11" x14ac:dyDescent="0.2">
      <c r="A637" s="2">
        <v>43385</v>
      </c>
      <c r="B637">
        <v>2770.5400390625</v>
      </c>
      <c r="C637">
        <v>2775.77001953125</v>
      </c>
      <c r="D637">
        <v>2729.43994140625</v>
      </c>
      <c r="E637">
        <v>2767.1298828125</v>
      </c>
      <c r="F637">
        <v>2767.1298828125</v>
      </c>
      <c r="G637">
        <v>4024010000</v>
      </c>
      <c r="H637">
        <v>0</v>
      </c>
      <c r="I637">
        <v>0</v>
      </c>
      <c r="K637" s="11">
        <f t="shared" si="9"/>
        <v>1.4206197825152422E-2</v>
      </c>
    </row>
    <row r="638" spans="1:11" x14ac:dyDescent="0.2">
      <c r="A638" s="2">
        <v>43388</v>
      </c>
      <c r="B638">
        <v>2763.830078125</v>
      </c>
      <c r="C638">
        <v>2775.989990234375</v>
      </c>
      <c r="D638">
        <v>2749.030029296875</v>
      </c>
      <c r="E638">
        <v>2750.7900390625</v>
      </c>
      <c r="F638">
        <v>2750.7900390625</v>
      </c>
      <c r="G638">
        <v>3327160000</v>
      </c>
      <c r="H638">
        <v>0</v>
      </c>
      <c r="I638">
        <v>0</v>
      </c>
      <c r="K638" s="11">
        <f t="shared" si="9"/>
        <v>-5.9049789644829431E-3</v>
      </c>
    </row>
    <row r="639" spans="1:11" x14ac:dyDescent="0.2">
      <c r="A639" s="2">
        <v>43389</v>
      </c>
      <c r="B639">
        <v>2767.050048828125</v>
      </c>
      <c r="C639">
        <v>2813.4599609375</v>
      </c>
      <c r="D639">
        <v>2766.909912109375</v>
      </c>
      <c r="E639">
        <v>2809.919921875</v>
      </c>
      <c r="F639">
        <v>2809.919921875</v>
      </c>
      <c r="G639">
        <v>3460260000</v>
      </c>
      <c r="H639">
        <v>0</v>
      </c>
      <c r="I639">
        <v>0</v>
      </c>
      <c r="K639" s="11">
        <f t="shared" si="9"/>
        <v>2.1495600163163431E-2</v>
      </c>
    </row>
    <row r="640" spans="1:11" x14ac:dyDescent="0.2">
      <c r="A640" s="2">
        <v>43390</v>
      </c>
      <c r="B640">
        <v>2811.669921875</v>
      </c>
      <c r="C640">
        <v>2816.93994140625</v>
      </c>
      <c r="D640">
        <v>2781.81005859375</v>
      </c>
      <c r="E640">
        <v>2809.2099609375</v>
      </c>
      <c r="F640">
        <v>2809.2099609375</v>
      </c>
      <c r="G640">
        <v>3347090000</v>
      </c>
      <c r="H640">
        <v>0</v>
      </c>
      <c r="I640">
        <v>0</v>
      </c>
      <c r="K640" s="11">
        <f t="shared" si="9"/>
        <v>-2.5266233815879335E-4</v>
      </c>
    </row>
    <row r="641" spans="1:11" x14ac:dyDescent="0.2">
      <c r="A641" s="2">
        <v>43391</v>
      </c>
      <c r="B641">
        <v>2802</v>
      </c>
      <c r="C641">
        <v>2806.0400390625</v>
      </c>
      <c r="D641">
        <v>2755.179931640625</v>
      </c>
      <c r="E641">
        <v>2768.780029296875</v>
      </c>
      <c r="F641">
        <v>2768.780029296875</v>
      </c>
      <c r="G641">
        <v>3639300000</v>
      </c>
      <c r="H641">
        <v>0</v>
      </c>
      <c r="I641">
        <v>0</v>
      </c>
      <c r="K641" s="11">
        <f t="shared" si="9"/>
        <v>-1.4391922356395415E-2</v>
      </c>
    </row>
    <row r="642" spans="1:11" x14ac:dyDescent="0.2">
      <c r="A642" s="2">
        <v>43392</v>
      </c>
      <c r="B642">
        <v>2775.659912109375</v>
      </c>
      <c r="C642">
        <v>2797.77001953125</v>
      </c>
      <c r="D642">
        <v>2760.27001953125</v>
      </c>
      <c r="E642">
        <v>2767.780029296875</v>
      </c>
      <c r="F642">
        <v>2767.780029296875</v>
      </c>
      <c r="G642">
        <v>3593940000</v>
      </c>
      <c r="H642">
        <v>0</v>
      </c>
      <c r="I642">
        <v>0</v>
      </c>
      <c r="K642" s="11">
        <f t="shared" si="9"/>
        <v>-3.6116989772350117E-4</v>
      </c>
    </row>
    <row r="643" spans="1:11" x14ac:dyDescent="0.2">
      <c r="A643" s="2">
        <v>43395</v>
      </c>
      <c r="B643">
        <v>2773.93994140625</v>
      </c>
      <c r="C643">
        <v>2778.93994140625</v>
      </c>
      <c r="D643">
        <v>2749.219970703125</v>
      </c>
      <c r="E643">
        <v>2755.8798828125</v>
      </c>
      <c r="F643">
        <v>2755.8798828125</v>
      </c>
      <c r="G643">
        <v>3331270000</v>
      </c>
      <c r="H643">
        <v>0</v>
      </c>
      <c r="I643">
        <v>0</v>
      </c>
      <c r="K643" s="11">
        <f t="shared" si="9"/>
        <v>-4.2995275485813167E-3</v>
      </c>
    </row>
    <row r="644" spans="1:11" x14ac:dyDescent="0.2">
      <c r="A644" s="2">
        <v>43396</v>
      </c>
      <c r="B644">
        <v>2721.030029296875</v>
      </c>
      <c r="C644">
        <v>2753.590087890625</v>
      </c>
      <c r="D644">
        <v>2691.429931640625</v>
      </c>
      <c r="E644">
        <v>2740.68994140625</v>
      </c>
      <c r="F644">
        <v>2740.68994140625</v>
      </c>
      <c r="G644">
        <v>4373710000</v>
      </c>
      <c r="H644">
        <v>0</v>
      </c>
      <c r="I644">
        <v>0</v>
      </c>
      <c r="K644" s="11">
        <f t="shared" ref="K644:K707" si="10">(E644/E643)-1</f>
        <v>-5.5118299970128293E-3</v>
      </c>
    </row>
    <row r="645" spans="1:11" x14ac:dyDescent="0.2">
      <c r="A645" s="2">
        <v>43397</v>
      </c>
      <c r="B645">
        <v>2737.8701171875</v>
      </c>
      <c r="C645">
        <v>2742.590087890625</v>
      </c>
      <c r="D645">
        <v>2651.889892578125</v>
      </c>
      <c r="E645">
        <v>2656.10009765625</v>
      </c>
      <c r="F645">
        <v>2656.10009765625</v>
      </c>
      <c r="G645">
        <v>4738670000</v>
      </c>
      <c r="H645">
        <v>0</v>
      </c>
      <c r="I645">
        <v>0</v>
      </c>
      <c r="K645" s="11">
        <f t="shared" si="10"/>
        <v>-3.0864433977743855E-2</v>
      </c>
    </row>
    <row r="646" spans="1:11" x14ac:dyDescent="0.2">
      <c r="A646" s="2">
        <v>43398</v>
      </c>
      <c r="B646">
        <v>2674.8798828125</v>
      </c>
      <c r="C646">
        <v>2722.699951171875</v>
      </c>
      <c r="D646">
        <v>2667.840087890625</v>
      </c>
      <c r="E646">
        <v>2705.570068359375</v>
      </c>
      <c r="F646">
        <v>2705.570068359375</v>
      </c>
      <c r="G646">
        <v>4663930000</v>
      </c>
      <c r="H646">
        <v>0</v>
      </c>
      <c r="I646">
        <v>0</v>
      </c>
      <c r="K646" s="11">
        <f t="shared" si="10"/>
        <v>1.8625040052811848E-2</v>
      </c>
    </row>
    <row r="647" spans="1:11" x14ac:dyDescent="0.2">
      <c r="A647" s="2">
        <v>43399</v>
      </c>
      <c r="B647">
        <v>2667.860107421875</v>
      </c>
      <c r="C647">
        <v>2692.3798828125</v>
      </c>
      <c r="D647">
        <v>2628.159912109375</v>
      </c>
      <c r="E647">
        <v>2658.68994140625</v>
      </c>
      <c r="F647">
        <v>2658.68994140625</v>
      </c>
      <c r="G647">
        <v>4804330000</v>
      </c>
      <c r="H647">
        <v>0</v>
      </c>
      <c r="I647">
        <v>0</v>
      </c>
      <c r="K647" s="11">
        <f t="shared" si="10"/>
        <v>-1.7327264039978307E-2</v>
      </c>
    </row>
    <row r="648" spans="1:11" x14ac:dyDescent="0.2">
      <c r="A648" s="2">
        <v>43402</v>
      </c>
      <c r="B648">
        <v>2682.64990234375</v>
      </c>
      <c r="C648">
        <v>2706.85009765625</v>
      </c>
      <c r="D648">
        <v>2603.5400390625</v>
      </c>
      <c r="E648">
        <v>2641.25</v>
      </c>
      <c r="F648">
        <v>2641.25</v>
      </c>
      <c r="G648">
        <v>4701260000</v>
      </c>
      <c r="H648">
        <v>0</v>
      </c>
      <c r="I648">
        <v>0</v>
      </c>
      <c r="K648" s="11">
        <f t="shared" si="10"/>
        <v>-6.5595995737004476E-3</v>
      </c>
    </row>
    <row r="649" spans="1:11" x14ac:dyDescent="0.2">
      <c r="A649" s="2">
        <v>43403</v>
      </c>
      <c r="B649">
        <v>2640.679931640625</v>
      </c>
      <c r="C649">
        <v>2685.429931640625</v>
      </c>
      <c r="D649">
        <v>2635.340087890625</v>
      </c>
      <c r="E649">
        <v>2682.6298828125</v>
      </c>
      <c r="F649">
        <v>2682.6298828125</v>
      </c>
      <c r="G649">
        <v>5125600000</v>
      </c>
      <c r="H649">
        <v>0</v>
      </c>
      <c r="I649">
        <v>0</v>
      </c>
      <c r="K649" s="11">
        <f t="shared" si="10"/>
        <v>1.5666780052058682E-2</v>
      </c>
    </row>
    <row r="650" spans="1:11" x14ac:dyDescent="0.2">
      <c r="A650" s="2">
        <v>43404</v>
      </c>
      <c r="B650">
        <v>2705.60009765625</v>
      </c>
      <c r="C650">
        <v>2736.68994140625</v>
      </c>
      <c r="D650">
        <v>2705.60009765625</v>
      </c>
      <c r="E650">
        <v>2711.739990234375</v>
      </c>
      <c r="F650">
        <v>2711.739990234375</v>
      </c>
      <c r="G650">
        <v>5133380000</v>
      </c>
      <c r="H650">
        <v>0</v>
      </c>
      <c r="I650">
        <v>0</v>
      </c>
      <c r="K650" s="11">
        <f t="shared" si="10"/>
        <v>1.0851331974038647E-2</v>
      </c>
    </row>
    <row r="651" spans="1:11" x14ac:dyDescent="0.2">
      <c r="A651" s="2">
        <v>43405</v>
      </c>
      <c r="B651">
        <v>2717.580078125</v>
      </c>
      <c r="C651">
        <v>2741.669921875</v>
      </c>
      <c r="D651">
        <v>2708.85009765625</v>
      </c>
      <c r="E651">
        <v>2740.3701171875</v>
      </c>
      <c r="F651">
        <v>2740.3701171875</v>
      </c>
      <c r="G651">
        <v>4730250000</v>
      </c>
      <c r="H651">
        <v>0</v>
      </c>
      <c r="I651">
        <v>0</v>
      </c>
      <c r="K651" s="11">
        <f t="shared" si="10"/>
        <v>1.0557843693063784E-2</v>
      </c>
    </row>
    <row r="652" spans="1:11" x14ac:dyDescent="0.2">
      <c r="A652" s="2">
        <v>43406</v>
      </c>
      <c r="B652">
        <v>2745.449951171875</v>
      </c>
      <c r="C652">
        <v>2756.550048828125</v>
      </c>
      <c r="D652">
        <v>2700.43994140625</v>
      </c>
      <c r="E652">
        <v>2723.06005859375</v>
      </c>
      <c r="F652">
        <v>2723.06005859375</v>
      </c>
      <c r="G652">
        <v>4261230000</v>
      </c>
      <c r="H652">
        <v>0</v>
      </c>
      <c r="I652">
        <v>0</v>
      </c>
      <c r="K652" s="11">
        <f t="shared" si="10"/>
        <v>-6.3166863793988615E-3</v>
      </c>
    </row>
    <row r="653" spans="1:11" x14ac:dyDescent="0.2">
      <c r="A653" s="2">
        <v>43409</v>
      </c>
      <c r="B653">
        <v>2726.3701171875</v>
      </c>
      <c r="C653">
        <v>2744.27001953125</v>
      </c>
      <c r="D653">
        <v>2717.93994140625</v>
      </c>
      <c r="E653">
        <v>2738.31005859375</v>
      </c>
      <c r="F653">
        <v>2738.31005859375</v>
      </c>
      <c r="G653">
        <v>3650910000</v>
      </c>
      <c r="H653">
        <v>0</v>
      </c>
      <c r="I653">
        <v>0</v>
      </c>
      <c r="K653" s="11">
        <f t="shared" si="10"/>
        <v>5.6003171696019649E-3</v>
      </c>
    </row>
    <row r="654" spans="1:11" x14ac:dyDescent="0.2">
      <c r="A654" s="2">
        <v>43410</v>
      </c>
      <c r="B654">
        <v>2738.39990234375</v>
      </c>
      <c r="C654">
        <v>2756.820068359375</v>
      </c>
      <c r="D654">
        <v>2737.080078125</v>
      </c>
      <c r="E654">
        <v>2755.449951171875</v>
      </c>
      <c r="F654">
        <v>2755.449951171875</v>
      </c>
      <c r="G654">
        <v>3543800000</v>
      </c>
      <c r="H654">
        <v>0</v>
      </c>
      <c r="I654">
        <v>0</v>
      </c>
      <c r="K654" s="11">
        <f t="shared" si="10"/>
        <v>6.2592957741707256E-3</v>
      </c>
    </row>
    <row r="655" spans="1:11" x14ac:dyDescent="0.2">
      <c r="A655" s="2">
        <v>43411</v>
      </c>
      <c r="B655">
        <v>2774.1298828125</v>
      </c>
      <c r="C655">
        <v>2815.14990234375</v>
      </c>
      <c r="D655">
        <v>2774.1298828125</v>
      </c>
      <c r="E655">
        <v>2813.889892578125</v>
      </c>
      <c r="F655">
        <v>2813.889892578125</v>
      </c>
      <c r="G655">
        <v>3929080000</v>
      </c>
      <c r="H655">
        <v>0</v>
      </c>
      <c r="I655">
        <v>0</v>
      </c>
      <c r="K655" s="11">
        <f t="shared" si="10"/>
        <v>2.1208856064105275E-2</v>
      </c>
    </row>
    <row r="656" spans="1:11" x14ac:dyDescent="0.2">
      <c r="A656" s="2">
        <v>43412</v>
      </c>
      <c r="B656">
        <v>2806.3798828125</v>
      </c>
      <c r="C656">
        <v>2814.75</v>
      </c>
      <c r="D656">
        <v>2794.989990234375</v>
      </c>
      <c r="E656">
        <v>2806.830078125</v>
      </c>
      <c r="F656">
        <v>2806.830078125</v>
      </c>
      <c r="G656">
        <v>3673550000</v>
      </c>
      <c r="H656">
        <v>0</v>
      </c>
      <c r="I656">
        <v>0</v>
      </c>
      <c r="K656" s="11">
        <f t="shared" si="10"/>
        <v>-2.5089163835961825E-3</v>
      </c>
    </row>
    <row r="657" spans="1:11" x14ac:dyDescent="0.2">
      <c r="A657" s="2">
        <v>43413</v>
      </c>
      <c r="B657">
        <v>2794.10009765625</v>
      </c>
      <c r="C657">
        <v>2794.10009765625</v>
      </c>
      <c r="D657">
        <v>2764.239990234375</v>
      </c>
      <c r="E657">
        <v>2781.010009765625</v>
      </c>
      <c r="F657">
        <v>2781.010009765625</v>
      </c>
      <c r="G657">
        <v>4029030000</v>
      </c>
      <c r="H657">
        <v>0</v>
      </c>
      <c r="I657">
        <v>0</v>
      </c>
      <c r="K657" s="11">
        <f t="shared" si="10"/>
        <v>-9.1990137061033206E-3</v>
      </c>
    </row>
    <row r="658" spans="1:11" x14ac:dyDescent="0.2">
      <c r="A658" s="2">
        <v>43416</v>
      </c>
      <c r="B658">
        <v>2773.929931640625</v>
      </c>
      <c r="C658">
        <v>2775.989990234375</v>
      </c>
      <c r="D658">
        <v>2722</v>
      </c>
      <c r="E658">
        <v>2726.219970703125</v>
      </c>
      <c r="F658">
        <v>2726.219970703125</v>
      </c>
      <c r="G658">
        <v>3701570000</v>
      </c>
      <c r="H658">
        <v>0</v>
      </c>
      <c r="I658">
        <v>0</v>
      </c>
      <c r="K658" s="11">
        <f t="shared" si="10"/>
        <v>-1.970148934024063E-2</v>
      </c>
    </row>
    <row r="659" spans="1:11" x14ac:dyDescent="0.2">
      <c r="A659" s="2">
        <v>43417</v>
      </c>
      <c r="B659">
        <v>2730.050048828125</v>
      </c>
      <c r="C659">
        <v>2754.60009765625</v>
      </c>
      <c r="D659">
        <v>2714.97998046875</v>
      </c>
      <c r="E659">
        <v>2722.179931640625</v>
      </c>
      <c r="F659">
        <v>2722.179931640625</v>
      </c>
      <c r="G659">
        <v>4112820000</v>
      </c>
      <c r="H659">
        <v>0</v>
      </c>
      <c r="I659">
        <v>0</v>
      </c>
      <c r="K659" s="11">
        <f t="shared" si="10"/>
        <v>-1.4819196931705747E-3</v>
      </c>
    </row>
    <row r="660" spans="1:11" x14ac:dyDescent="0.2">
      <c r="A660" s="2">
        <v>43418</v>
      </c>
      <c r="B660">
        <v>2737.89990234375</v>
      </c>
      <c r="C660">
        <v>2746.800048828125</v>
      </c>
      <c r="D660">
        <v>2685.75</v>
      </c>
      <c r="E660">
        <v>2701.580078125</v>
      </c>
      <c r="F660">
        <v>2701.580078125</v>
      </c>
      <c r="G660">
        <v>4449060000</v>
      </c>
      <c r="H660">
        <v>0</v>
      </c>
      <c r="I660">
        <v>0</v>
      </c>
      <c r="K660" s="11">
        <f t="shared" si="10"/>
        <v>-7.567410690302756E-3</v>
      </c>
    </row>
    <row r="661" spans="1:11" x14ac:dyDescent="0.2">
      <c r="A661" s="2">
        <v>43419</v>
      </c>
      <c r="B661">
        <v>2693.52001953125</v>
      </c>
      <c r="C661">
        <v>2735.3798828125</v>
      </c>
      <c r="D661">
        <v>2670.75</v>
      </c>
      <c r="E661">
        <v>2730.199951171875</v>
      </c>
      <c r="F661">
        <v>2730.199951171875</v>
      </c>
      <c r="G661">
        <v>4204960000</v>
      </c>
      <c r="H661">
        <v>0</v>
      </c>
      <c r="I661">
        <v>0</v>
      </c>
      <c r="K661" s="11">
        <f t="shared" si="10"/>
        <v>1.0593753366266334E-2</v>
      </c>
    </row>
    <row r="662" spans="1:11" x14ac:dyDescent="0.2">
      <c r="A662" s="2">
        <v>43420</v>
      </c>
      <c r="B662">
        <v>2718.5400390625</v>
      </c>
      <c r="C662">
        <v>2746.75</v>
      </c>
      <c r="D662">
        <v>2712.159912109375</v>
      </c>
      <c r="E662">
        <v>2736.27001953125</v>
      </c>
      <c r="F662">
        <v>2736.27001953125</v>
      </c>
      <c r="G662">
        <v>3996970000</v>
      </c>
      <c r="H662">
        <v>0</v>
      </c>
      <c r="I662">
        <v>0</v>
      </c>
      <c r="K662" s="11">
        <f t="shared" si="10"/>
        <v>2.2233054237545957E-3</v>
      </c>
    </row>
    <row r="663" spans="1:11" x14ac:dyDescent="0.2">
      <c r="A663" s="2">
        <v>43423</v>
      </c>
      <c r="B663">
        <v>2730.739990234375</v>
      </c>
      <c r="C663">
        <v>2733.159912109375</v>
      </c>
      <c r="D663">
        <v>2681.090087890625</v>
      </c>
      <c r="E663">
        <v>2690.72998046875</v>
      </c>
      <c r="F663">
        <v>2690.72998046875</v>
      </c>
      <c r="G663">
        <v>3806940000</v>
      </c>
      <c r="H663">
        <v>0</v>
      </c>
      <c r="I663">
        <v>0</v>
      </c>
      <c r="K663" s="11">
        <f t="shared" si="10"/>
        <v>-1.6643108588494271E-2</v>
      </c>
    </row>
    <row r="664" spans="1:11" x14ac:dyDescent="0.2">
      <c r="A664" s="2">
        <v>43424</v>
      </c>
      <c r="B664">
        <v>2654.60009765625</v>
      </c>
      <c r="C664">
        <v>2669.43994140625</v>
      </c>
      <c r="D664">
        <v>2631.52001953125</v>
      </c>
      <c r="E664">
        <v>2641.889892578125</v>
      </c>
      <c r="F664">
        <v>2641.889892578125</v>
      </c>
      <c r="G664">
        <v>4370820000</v>
      </c>
      <c r="H664">
        <v>0</v>
      </c>
      <c r="I664">
        <v>0</v>
      </c>
      <c r="K664" s="11">
        <f t="shared" si="10"/>
        <v>-1.8151240832466109E-2</v>
      </c>
    </row>
    <row r="665" spans="1:11" x14ac:dyDescent="0.2">
      <c r="A665" s="2">
        <v>43425</v>
      </c>
      <c r="B665">
        <v>2657.739990234375</v>
      </c>
      <c r="C665">
        <v>2670.72998046875</v>
      </c>
      <c r="D665">
        <v>2649.820068359375</v>
      </c>
      <c r="E665">
        <v>2649.929931640625</v>
      </c>
      <c r="F665">
        <v>2649.929931640625</v>
      </c>
      <c r="G665">
        <v>3237400000</v>
      </c>
      <c r="H665">
        <v>0</v>
      </c>
      <c r="I665">
        <v>0</v>
      </c>
      <c r="K665" s="11">
        <f t="shared" si="10"/>
        <v>3.0432907461763747E-3</v>
      </c>
    </row>
    <row r="666" spans="1:11" x14ac:dyDescent="0.2">
      <c r="A666" s="2">
        <v>43427</v>
      </c>
      <c r="B666">
        <v>2633.360107421875</v>
      </c>
      <c r="C666">
        <v>2647.550048828125</v>
      </c>
      <c r="D666">
        <v>2631.090087890625</v>
      </c>
      <c r="E666">
        <v>2632.56005859375</v>
      </c>
      <c r="F666">
        <v>2632.56005859375</v>
      </c>
      <c r="G666">
        <v>1651680000</v>
      </c>
      <c r="H666">
        <v>0</v>
      </c>
      <c r="I666">
        <v>0</v>
      </c>
      <c r="K666" s="11">
        <f t="shared" si="10"/>
        <v>-6.5548423901612418E-3</v>
      </c>
    </row>
    <row r="667" spans="1:11" x14ac:dyDescent="0.2">
      <c r="A667" s="2">
        <v>43430</v>
      </c>
      <c r="B667">
        <v>2649.969970703125</v>
      </c>
      <c r="C667">
        <v>2674.35009765625</v>
      </c>
      <c r="D667">
        <v>2649.969970703125</v>
      </c>
      <c r="E667">
        <v>2673.449951171875</v>
      </c>
      <c r="F667">
        <v>2673.449951171875</v>
      </c>
      <c r="G667">
        <v>3523520000</v>
      </c>
      <c r="H667">
        <v>0</v>
      </c>
      <c r="I667">
        <v>0</v>
      </c>
      <c r="K667" s="11">
        <f t="shared" si="10"/>
        <v>1.55323683669224E-2</v>
      </c>
    </row>
    <row r="668" spans="1:11" x14ac:dyDescent="0.2">
      <c r="A668" s="2">
        <v>43431</v>
      </c>
      <c r="B668">
        <v>2663.75</v>
      </c>
      <c r="C668">
        <v>2682.530029296875</v>
      </c>
      <c r="D668">
        <v>2655.889892578125</v>
      </c>
      <c r="E668">
        <v>2682.169921875</v>
      </c>
      <c r="F668">
        <v>2682.169921875</v>
      </c>
      <c r="G668">
        <v>3494380000</v>
      </c>
      <c r="H668">
        <v>0</v>
      </c>
      <c r="I668">
        <v>0</v>
      </c>
      <c r="K668" s="11">
        <f t="shared" si="10"/>
        <v>3.2616921440038471E-3</v>
      </c>
    </row>
    <row r="669" spans="1:11" x14ac:dyDescent="0.2">
      <c r="A669" s="2">
        <v>43432</v>
      </c>
      <c r="B669">
        <v>2691.449951171875</v>
      </c>
      <c r="C669">
        <v>2744</v>
      </c>
      <c r="D669">
        <v>2684.3798828125</v>
      </c>
      <c r="E669">
        <v>2743.7900390625</v>
      </c>
      <c r="F669">
        <v>2743.7900390625</v>
      </c>
      <c r="G669">
        <v>3984540000</v>
      </c>
      <c r="H669">
        <v>0</v>
      </c>
      <c r="I669">
        <v>0</v>
      </c>
      <c r="K669" s="11">
        <f t="shared" si="10"/>
        <v>2.2973979644221654E-2</v>
      </c>
    </row>
    <row r="670" spans="1:11" x14ac:dyDescent="0.2">
      <c r="A670" s="2">
        <v>43433</v>
      </c>
      <c r="B670">
        <v>2736.969970703125</v>
      </c>
      <c r="C670">
        <v>2753.75</v>
      </c>
      <c r="D670">
        <v>2722.93994140625</v>
      </c>
      <c r="E670">
        <v>2737.800048828125</v>
      </c>
      <c r="F670">
        <v>2737.800048828125</v>
      </c>
      <c r="G670">
        <v>3599200000</v>
      </c>
      <c r="H670">
        <v>0</v>
      </c>
      <c r="I670">
        <v>0</v>
      </c>
      <c r="K670" s="11">
        <f t="shared" si="10"/>
        <v>-2.1831080910337253E-3</v>
      </c>
    </row>
    <row r="671" spans="1:11" x14ac:dyDescent="0.2">
      <c r="A671" s="2">
        <v>43434</v>
      </c>
      <c r="B671">
        <v>2737.760009765625</v>
      </c>
      <c r="C671">
        <v>2760.8798828125</v>
      </c>
      <c r="D671">
        <v>2732.760009765625</v>
      </c>
      <c r="E671">
        <v>2760.169921875</v>
      </c>
      <c r="F671">
        <v>2760.169921875</v>
      </c>
      <c r="G671">
        <v>4668310000</v>
      </c>
      <c r="H671">
        <v>0</v>
      </c>
      <c r="I671">
        <v>0</v>
      </c>
      <c r="K671" s="11">
        <f t="shared" si="10"/>
        <v>8.1707475520171879E-3</v>
      </c>
    </row>
    <row r="672" spans="1:11" x14ac:dyDescent="0.2">
      <c r="A672" s="2">
        <v>43437</v>
      </c>
      <c r="B672">
        <v>2790.5</v>
      </c>
      <c r="C672">
        <v>2800.179931640625</v>
      </c>
      <c r="D672">
        <v>2773.3798828125</v>
      </c>
      <c r="E672">
        <v>2790.3701171875</v>
      </c>
      <c r="F672">
        <v>2790.3701171875</v>
      </c>
      <c r="G672">
        <v>4221580000</v>
      </c>
      <c r="H672">
        <v>0</v>
      </c>
      <c r="I672">
        <v>0</v>
      </c>
      <c r="K672" s="11">
        <f t="shared" si="10"/>
        <v>1.0941426132194287E-2</v>
      </c>
    </row>
    <row r="673" spans="1:11" x14ac:dyDescent="0.2">
      <c r="A673" s="2">
        <v>43438</v>
      </c>
      <c r="B673">
        <v>2782.429931640625</v>
      </c>
      <c r="C673">
        <v>2785.929931640625</v>
      </c>
      <c r="D673">
        <v>2697.179931640625</v>
      </c>
      <c r="E673">
        <v>2700.06005859375</v>
      </c>
      <c r="F673">
        <v>2700.06005859375</v>
      </c>
      <c r="G673">
        <v>4515710000</v>
      </c>
      <c r="H673">
        <v>0</v>
      </c>
      <c r="I673">
        <v>0</v>
      </c>
      <c r="K673" s="11">
        <f t="shared" si="10"/>
        <v>-3.2364903149398772E-2</v>
      </c>
    </row>
    <row r="674" spans="1:11" x14ac:dyDescent="0.2">
      <c r="A674" s="2">
        <v>43440</v>
      </c>
      <c r="B674">
        <v>2663.510009765625</v>
      </c>
      <c r="C674">
        <v>2696.14990234375</v>
      </c>
      <c r="D674">
        <v>2621.530029296875</v>
      </c>
      <c r="E674">
        <v>2695.949951171875</v>
      </c>
      <c r="F674">
        <v>2695.949951171875</v>
      </c>
      <c r="G674">
        <v>5180430000</v>
      </c>
      <c r="H674">
        <v>0</v>
      </c>
      <c r="I674">
        <v>0</v>
      </c>
      <c r="K674" s="11">
        <f t="shared" si="10"/>
        <v>-1.5222281477752508E-3</v>
      </c>
    </row>
    <row r="675" spans="1:11" x14ac:dyDescent="0.2">
      <c r="A675" s="2">
        <v>43441</v>
      </c>
      <c r="B675">
        <v>2691.260009765625</v>
      </c>
      <c r="C675">
        <v>2708.5400390625</v>
      </c>
      <c r="D675">
        <v>2623.139892578125</v>
      </c>
      <c r="E675">
        <v>2633.080078125</v>
      </c>
      <c r="F675">
        <v>2633.080078125</v>
      </c>
      <c r="G675">
        <v>4242240000</v>
      </c>
      <c r="H675">
        <v>0</v>
      </c>
      <c r="I675">
        <v>0</v>
      </c>
      <c r="K675" s="11">
        <f t="shared" si="10"/>
        <v>-2.3320118765389863E-2</v>
      </c>
    </row>
    <row r="676" spans="1:11" x14ac:dyDescent="0.2">
      <c r="A676" s="2">
        <v>43444</v>
      </c>
      <c r="B676">
        <v>2630.860107421875</v>
      </c>
      <c r="C676">
        <v>2647.510009765625</v>
      </c>
      <c r="D676">
        <v>2583.22998046875</v>
      </c>
      <c r="E676">
        <v>2637.719970703125</v>
      </c>
      <c r="F676">
        <v>2637.719970703125</v>
      </c>
      <c r="G676">
        <v>4162880000</v>
      </c>
      <c r="H676">
        <v>0</v>
      </c>
      <c r="I676">
        <v>0</v>
      </c>
      <c r="K676" s="11">
        <f t="shared" si="10"/>
        <v>1.7621539947350051E-3</v>
      </c>
    </row>
    <row r="677" spans="1:11" x14ac:dyDescent="0.2">
      <c r="A677" s="2">
        <v>43445</v>
      </c>
      <c r="B677">
        <v>2664.43994140625</v>
      </c>
      <c r="C677">
        <v>2674.35009765625</v>
      </c>
      <c r="D677">
        <v>2621.300048828125</v>
      </c>
      <c r="E677">
        <v>2636.780029296875</v>
      </c>
      <c r="F677">
        <v>2636.780029296875</v>
      </c>
      <c r="G677">
        <v>3963440000</v>
      </c>
      <c r="H677">
        <v>0</v>
      </c>
      <c r="I677">
        <v>0</v>
      </c>
      <c r="K677" s="11">
        <f t="shared" si="10"/>
        <v>-3.5634616892232795E-4</v>
      </c>
    </row>
    <row r="678" spans="1:11" x14ac:dyDescent="0.2">
      <c r="A678" s="2">
        <v>43446</v>
      </c>
      <c r="B678">
        <v>2658.22998046875</v>
      </c>
      <c r="C678">
        <v>2685.43994140625</v>
      </c>
      <c r="D678">
        <v>2650.260009765625</v>
      </c>
      <c r="E678">
        <v>2651.070068359375</v>
      </c>
      <c r="F678">
        <v>2651.070068359375</v>
      </c>
      <c r="G678">
        <v>4029300000</v>
      </c>
      <c r="H678">
        <v>0</v>
      </c>
      <c r="I678">
        <v>0</v>
      </c>
      <c r="K678" s="11">
        <f t="shared" si="10"/>
        <v>5.4195036763498017E-3</v>
      </c>
    </row>
    <row r="679" spans="1:11" x14ac:dyDescent="0.2">
      <c r="A679" s="2">
        <v>43447</v>
      </c>
      <c r="B679">
        <v>2658.699951171875</v>
      </c>
      <c r="C679">
        <v>2670.18994140625</v>
      </c>
      <c r="D679">
        <v>2637.27001953125</v>
      </c>
      <c r="E679">
        <v>2650.5400390625</v>
      </c>
      <c r="F679">
        <v>2650.5400390625</v>
      </c>
      <c r="G679">
        <v>3978340000</v>
      </c>
      <c r="H679">
        <v>0</v>
      </c>
      <c r="I679">
        <v>0</v>
      </c>
      <c r="K679" s="11">
        <f t="shared" si="10"/>
        <v>-1.9993032368359476E-4</v>
      </c>
    </row>
    <row r="680" spans="1:11" x14ac:dyDescent="0.2">
      <c r="A680" s="2">
        <v>43448</v>
      </c>
      <c r="B680">
        <v>2629.679931640625</v>
      </c>
      <c r="C680">
        <v>2635.070068359375</v>
      </c>
      <c r="D680">
        <v>2593.840087890625</v>
      </c>
      <c r="E680">
        <v>2599.949951171875</v>
      </c>
      <c r="F680">
        <v>2599.949951171875</v>
      </c>
      <c r="G680">
        <v>4064370000</v>
      </c>
      <c r="H680">
        <v>0</v>
      </c>
      <c r="I680">
        <v>0</v>
      </c>
      <c r="K680" s="11">
        <f t="shared" si="10"/>
        <v>-1.9086709555430348E-2</v>
      </c>
    </row>
    <row r="681" spans="1:11" x14ac:dyDescent="0.2">
      <c r="A681" s="2">
        <v>43451</v>
      </c>
      <c r="B681">
        <v>2590.75</v>
      </c>
      <c r="C681">
        <v>2601.1298828125</v>
      </c>
      <c r="D681">
        <v>2530.5400390625</v>
      </c>
      <c r="E681">
        <v>2545.93994140625</v>
      </c>
      <c r="F681">
        <v>2545.93994140625</v>
      </c>
      <c r="G681">
        <v>4661420000</v>
      </c>
      <c r="H681">
        <v>0</v>
      </c>
      <c r="I681">
        <v>0</v>
      </c>
      <c r="K681" s="11">
        <f t="shared" si="10"/>
        <v>-2.0773480559224233E-2</v>
      </c>
    </row>
    <row r="682" spans="1:11" x14ac:dyDescent="0.2">
      <c r="A682" s="2">
        <v>43452</v>
      </c>
      <c r="B682">
        <v>2559.89990234375</v>
      </c>
      <c r="C682">
        <v>2573.989990234375</v>
      </c>
      <c r="D682">
        <v>2528.7099609375</v>
      </c>
      <c r="E682">
        <v>2546.159912109375</v>
      </c>
      <c r="F682">
        <v>2546.159912109375</v>
      </c>
      <c r="G682">
        <v>4519190000</v>
      </c>
      <c r="H682">
        <v>0</v>
      </c>
      <c r="I682">
        <v>0</v>
      </c>
      <c r="K682" s="11">
        <f t="shared" si="10"/>
        <v>8.6400586104762311E-5</v>
      </c>
    </row>
    <row r="683" spans="1:11" x14ac:dyDescent="0.2">
      <c r="A683" s="2">
        <v>43453</v>
      </c>
      <c r="B683">
        <v>2547.050048828125</v>
      </c>
      <c r="C683">
        <v>2585.2900390625</v>
      </c>
      <c r="D683">
        <v>2488.9599609375</v>
      </c>
      <c r="E683">
        <v>2506.9599609375</v>
      </c>
      <c r="F683">
        <v>2506.9599609375</v>
      </c>
      <c r="G683">
        <v>5152830000</v>
      </c>
      <c r="H683">
        <v>0</v>
      </c>
      <c r="I683">
        <v>0</v>
      </c>
      <c r="K683" s="11">
        <f t="shared" si="10"/>
        <v>-1.5395714536798111E-2</v>
      </c>
    </row>
    <row r="684" spans="1:11" x14ac:dyDescent="0.2">
      <c r="A684" s="2">
        <v>43454</v>
      </c>
      <c r="B684">
        <v>2496.77001953125</v>
      </c>
      <c r="C684">
        <v>2509.6298828125</v>
      </c>
      <c r="D684">
        <v>2441.179931640625</v>
      </c>
      <c r="E684">
        <v>2467.419921875</v>
      </c>
      <c r="F684">
        <v>2467.419921875</v>
      </c>
      <c r="G684">
        <v>5619780000</v>
      </c>
      <c r="H684">
        <v>0</v>
      </c>
      <c r="I684">
        <v>0</v>
      </c>
      <c r="K684" s="11">
        <f t="shared" si="10"/>
        <v>-1.5772106327423652E-2</v>
      </c>
    </row>
    <row r="685" spans="1:11" x14ac:dyDescent="0.2">
      <c r="A685" s="2">
        <v>43455</v>
      </c>
      <c r="B685">
        <v>2465.3798828125</v>
      </c>
      <c r="C685">
        <v>2504.409912109375</v>
      </c>
      <c r="D685">
        <v>2408.550048828125</v>
      </c>
      <c r="E685">
        <v>2416.6201171875</v>
      </c>
      <c r="F685">
        <v>2416.6201171875</v>
      </c>
      <c r="G685">
        <v>7657890000</v>
      </c>
      <c r="H685">
        <v>0</v>
      </c>
      <c r="I685">
        <v>0</v>
      </c>
      <c r="K685" s="11">
        <f t="shared" si="10"/>
        <v>-2.0588228309714296E-2</v>
      </c>
    </row>
    <row r="686" spans="1:11" x14ac:dyDescent="0.2">
      <c r="A686" s="2">
        <v>43458</v>
      </c>
      <c r="B686">
        <v>2400.56005859375</v>
      </c>
      <c r="C686">
        <v>2410.340087890625</v>
      </c>
      <c r="D686">
        <v>2351.10009765625</v>
      </c>
      <c r="E686">
        <v>2351.10009765625</v>
      </c>
      <c r="F686">
        <v>2351.10009765625</v>
      </c>
      <c r="G686">
        <v>2613670000</v>
      </c>
      <c r="H686">
        <v>0</v>
      </c>
      <c r="I686">
        <v>0</v>
      </c>
      <c r="K686" s="11">
        <f t="shared" si="10"/>
        <v>-2.7112254452099527E-2</v>
      </c>
    </row>
    <row r="687" spans="1:11" x14ac:dyDescent="0.2">
      <c r="A687" s="2">
        <v>43460</v>
      </c>
      <c r="B687">
        <v>2363.1201171875</v>
      </c>
      <c r="C687">
        <v>2467.760009765625</v>
      </c>
      <c r="D687">
        <v>2346.580078125</v>
      </c>
      <c r="E687">
        <v>2467.699951171875</v>
      </c>
      <c r="F687">
        <v>2467.699951171875</v>
      </c>
      <c r="G687">
        <v>4249740000</v>
      </c>
      <c r="H687">
        <v>0</v>
      </c>
      <c r="I687">
        <v>0</v>
      </c>
      <c r="K687" s="11">
        <f t="shared" si="10"/>
        <v>4.959374278953943E-2</v>
      </c>
    </row>
    <row r="688" spans="1:11" x14ac:dyDescent="0.2">
      <c r="A688" s="2">
        <v>43461</v>
      </c>
      <c r="B688">
        <v>2442.5</v>
      </c>
      <c r="C688">
        <v>2489.10009765625</v>
      </c>
      <c r="D688">
        <v>2397.93994140625</v>
      </c>
      <c r="E688">
        <v>2488.830078125</v>
      </c>
      <c r="F688">
        <v>2488.830078125</v>
      </c>
      <c r="G688">
        <v>4139010000</v>
      </c>
      <c r="H688">
        <v>0</v>
      </c>
      <c r="I688">
        <v>0</v>
      </c>
      <c r="K688" s="11">
        <f t="shared" si="10"/>
        <v>8.5626807842220654E-3</v>
      </c>
    </row>
    <row r="689" spans="1:11" x14ac:dyDescent="0.2">
      <c r="A689" s="2">
        <v>43462</v>
      </c>
      <c r="B689">
        <v>2498.77001953125</v>
      </c>
      <c r="C689">
        <v>2520.27001953125</v>
      </c>
      <c r="D689">
        <v>2472.889892578125</v>
      </c>
      <c r="E689">
        <v>2485.739990234375</v>
      </c>
      <c r="F689">
        <v>2485.739990234375</v>
      </c>
      <c r="G689">
        <v>3728440000</v>
      </c>
      <c r="H689">
        <v>0</v>
      </c>
      <c r="I689">
        <v>0</v>
      </c>
      <c r="K689" s="11">
        <f t="shared" si="10"/>
        <v>-1.2415825080966947E-3</v>
      </c>
    </row>
    <row r="690" spans="1:11" x14ac:dyDescent="0.2">
      <c r="A690" s="2">
        <v>43465</v>
      </c>
      <c r="B690">
        <v>2498.93994140625</v>
      </c>
      <c r="C690">
        <v>2509.239990234375</v>
      </c>
      <c r="D690">
        <v>2482.820068359375</v>
      </c>
      <c r="E690">
        <v>2506.85009765625</v>
      </c>
      <c r="F690">
        <v>2506.85009765625</v>
      </c>
      <c r="G690">
        <v>3461920000</v>
      </c>
      <c r="H690">
        <v>0</v>
      </c>
      <c r="I690">
        <v>0</v>
      </c>
      <c r="K690" s="11">
        <f t="shared" si="10"/>
        <v>8.4924841314093502E-3</v>
      </c>
    </row>
    <row r="691" spans="1:11" x14ac:dyDescent="0.2">
      <c r="A691" s="2">
        <v>43467</v>
      </c>
      <c r="B691">
        <v>2476.9599609375</v>
      </c>
      <c r="C691">
        <v>2519.489990234375</v>
      </c>
      <c r="D691">
        <v>2467.469970703125</v>
      </c>
      <c r="E691">
        <v>2510.030029296875</v>
      </c>
      <c r="F691">
        <v>2510.030029296875</v>
      </c>
      <c r="G691">
        <v>3733160000</v>
      </c>
      <c r="H691">
        <v>0</v>
      </c>
      <c r="I691">
        <v>0</v>
      </c>
      <c r="K691" s="11">
        <f t="shared" si="10"/>
        <v>1.2684969251244294E-3</v>
      </c>
    </row>
    <row r="692" spans="1:11" x14ac:dyDescent="0.2">
      <c r="A692" s="2">
        <v>43468</v>
      </c>
      <c r="B692">
        <v>2491.919921875</v>
      </c>
      <c r="C692">
        <v>2493.139892578125</v>
      </c>
      <c r="D692">
        <v>2443.9599609375</v>
      </c>
      <c r="E692">
        <v>2447.889892578125</v>
      </c>
      <c r="F692">
        <v>2447.889892578125</v>
      </c>
      <c r="G692">
        <v>3858830000</v>
      </c>
      <c r="H692">
        <v>0</v>
      </c>
      <c r="I692">
        <v>0</v>
      </c>
      <c r="K692" s="11">
        <f t="shared" si="10"/>
        <v>-2.475673039503723E-2</v>
      </c>
    </row>
    <row r="693" spans="1:11" x14ac:dyDescent="0.2">
      <c r="A693" s="2">
        <v>43469</v>
      </c>
      <c r="B693">
        <v>2474.330078125</v>
      </c>
      <c r="C693">
        <v>2538.070068359375</v>
      </c>
      <c r="D693">
        <v>2474.330078125</v>
      </c>
      <c r="E693">
        <v>2531.93994140625</v>
      </c>
      <c r="F693">
        <v>2531.93994140625</v>
      </c>
      <c r="G693">
        <v>4234140000</v>
      </c>
      <c r="H693">
        <v>0</v>
      </c>
      <c r="I693">
        <v>0</v>
      </c>
      <c r="K693" s="11">
        <f t="shared" si="10"/>
        <v>3.4335714642623527E-2</v>
      </c>
    </row>
    <row r="694" spans="1:11" x14ac:dyDescent="0.2">
      <c r="A694" s="2">
        <v>43472</v>
      </c>
      <c r="B694">
        <v>2535.610107421875</v>
      </c>
      <c r="C694">
        <v>2566.159912109375</v>
      </c>
      <c r="D694">
        <v>2524.56005859375</v>
      </c>
      <c r="E694">
        <v>2549.68994140625</v>
      </c>
      <c r="F694">
        <v>2549.68994140625</v>
      </c>
      <c r="G694">
        <v>4133120000</v>
      </c>
      <c r="H694">
        <v>0</v>
      </c>
      <c r="I694">
        <v>0</v>
      </c>
      <c r="K694" s="11">
        <f t="shared" si="10"/>
        <v>7.010434848680358E-3</v>
      </c>
    </row>
    <row r="695" spans="1:11" x14ac:dyDescent="0.2">
      <c r="A695" s="2">
        <v>43473</v>
      </c>
      <c r="B695">
        <v>2568.110107421875</v>
      </c>
      <c r="C695">
        <v>2579.820068359375</v>
      </c>
      <c r="D695">
        <v>2547.56005859375</v>
      </c>
      <c r="E695">
        <v>2574.409912109375</v>
      </c>
      <c r="F695">
        <v>2574.409912109375</v>
      </c>
      <c r="G695">
        <v>4120060000</v>
      </c>
      <c r="H695">
        <v>0</v>
      </c>
      <c r="I695">
        <v>0</v>
      </c>
      <c r="K695" s="11">
        <f t="shared" si="10"/>
        <v>9.6952850233589238E-3</v>
      </c>
    </row>
    <row r="696" spans="1:11" x14ac:dyDescent="0.2">
      <c r="A696" s="2">
        <v>43474</v>
      </c>
      <c r="B696">
        <v>2580</v>
      </c>
      <c r="C696">
        <v>2595.320068359375</v>
      </c>
      <c r="D696">
        <v>2568.889892578125</v>
      </c>
      <c r="E696">
        <v>2584.9599609375</v>
      </c>
      <c r="F696">
        <v>2584.9599609375</v>
      </c>
      <c r="G696">
        <v>4088740000</v>
      </c>
      <c r="H696">
        <v>0</v>
      </c>
      <c r="I696">
        <v>0</v>
      </c>
      <c r="K696" s="11">
        <f t="shared" si="10"/>
        <v>4.0980454505321617E-3</v>
      </c>
    </row>
    <row r="697" spans="1:11" x14ac:dyDescent="0.2">
      <c r="A697" s="2">
        <v>43475</v>
      </c>
      <c r="B697">
        <v>2573.510009765625</v>
      </c>
      <c r="C697">
        <v>2597.820068359375</v>
      </c>
      <c r="D697">
        <v>2562.02001953125</v>
      </c>
      <c r="E697">
        <v>2596.639892578125</v>
      </c>
      <c r="F697">
        <v>2596.639892578125</v>
      </c>
      <c r="G697">
        <v>3721300000</v>
      </c>
      <c r="H697">
        <v>0</v>
      </c>
      <c r="I697">
        <v>0</v>
      </c>
      <c r="K697" s="11">
        <f t="shared" si="10"/>
        <v>4.5184187829312439E-3</v>
      </c>
    </row>
    <row r="698" spans="1:11" x14ac:dyDescent="0.2">
      <c r="A698" s="2">
        <v>43476</v>
      </c>
      <c r="B698">
        <v>2588.110107421875</v>
      </c>
      <c r="C698">
        <v>2596.27001953125</v>
      </c>
      <c r="D698">
        <v>2577.39990234375</v>
      </c>
      <c r="E698">
        <v>2596.260009765625</v>
      </c>
      <c r="F698">
        <v>2596.260009765625</v>
      </c>
      <c r="G698">
        <v>3447460000</v>
      </c>
      <c r="H698">
        <v>0</v>
      </c>
      <c r="I698">
        <v>0</v>
      </c>
      <c r="K698" s="11">
        <f t="shared" si="10"/>
        <v>-1.4629784190933748E-4</v>
      </c>
    </row>
    <row r="699" spans="1:11" x14ac:dyDescent="0.2">
      <c r="A699" s="2">
        <v>43479</v>
      </c>
      <c r="B699">
        <v>2580.31005859375</v>
      </c>
      <c r="C699">
        <v>2589.320068359375</v>
      </c>
      <c r="D699">
        <v>2570.409912109375</v>
      </c>
      <c r="E699">
        <v>2582.610107421875</v>
      </c>
      <c r="F699">
        <v>2582.610107421875</v>
      </c>
      <c r="G699">
        <v>3689370000</v>
      </c>
      <c r="H699">
        <v>0</v>
      </c>
      <c r="I699">
        <v>0</v>
      </c>
      <c r="K699" s="11">
        <f t="shared" si="10"/>
        <v>-5.2575251678980139E-3</v>
      </c>
    </row>
    <row r="700" spans="1:11" x14ac:dyDescent="0.2">
      <c r="A700" s="2">
        <v>43480</v>
      </c>
      <c r="B700">
        <v>2585.10009765625</v>
      </c>
      <c r="C700">
        <v>2613.080078125</v>
      </c>
      <c r="D700">
        <v>2585.10009765625</v>
      </c>
      <c r="E700">
        <v>2610.300048828125</v>
      </c>
      <c r="F700">
        <v>2610.300048828125</v>
      </c>
      <c r="G700">
        <v>3601180000</v>
      </c>
      <c r="H700">
        <v>0</v>
      </c>
      <c r="I700">
        <v>0</v>
      </c>
      <c r="K700" s="11">
        <f t="shared" si="10"/>
        <v>1.0721688622945758E-2</v>
      </c>
    </row>
    <row r="701" spans="1:11" x14ac:dyDescent="0.2">
      <c r="A701" s="2">
        <v>43481</v>
      </c>
      <c r="B701">
        <v>2614.75</v>
      </c>
      <c r="C701">
        <v>2625.760009765625</v>
      </c>
      <c r="D701">
        <v>2612.679931640625</v>
      </c>
      <c r="E701">
        <v>2616.10009765625</v>
      </c>
      <c r="F701">
        <v>2616.10009765625</v>
      </c>
      <c r="G701">
        <v>3882180000</v>
      </c>
      <c r="H701">
        <v>0</v>
      </c>
      <c r="I701">
        <v>0</v>
      </c>
      <c r="K701" s="11">
        <f t="shared" si="10"/>
        <v>2.2219854881162515E-3</v>
      </c>
    </row>
    <row r="702" spans="1:11" x14ac:dyDescent="0.2">
      <c r="A702" s="2">
        <v>43482</v>
      </c>
      <c r="B702">
        <v>2609.280029296875</v>
      </c>
      <c r="C702">
        <v>2645.06005859375</v>
      </c>
      <c r="D702">
        <v>2606.360107421875</v>
      </c>
      <c r="E702">
        <v>2635.9599609375</v>
      </c>
      <c r="F702">
        <v>2635.9599609375</v>
      </c>
      <c r="G702">
        <v>3802410000</v>
      </c>
      <c r="H702">
        <v>0</v>
      </c>
      <c r="I702">
        <v>0</v>
      </c>
      <c r="K702" s="11">
        <f t="shared" si="10"/>
        <v>7.5914003822110665E-3</v>
      </c>
    </row>
    <row r="703" spans="1:11" x14ac:dyDescent="0.2">
      <c r="A703" s="2">
        <v>43483</v>
      </c>
      <c r="B703">
        <v>2651.27001953125</v>
      </c>
      <c r="C703">
        <v>2675.469970703125</v>
      </c>
      <c r="D703">
        <v>2647.580078125</v>
      </c>
      <c r="E703">
        <v>2670.7099609375</v>
      </c>
      <c r="F703">
        <v>2670.7099609375</v>
      </c>
      <c r="G703">
        <v>4009010000</v>
      </c>
      <c r="H703">
        <v>0</v>
      </c>
      <c r="I703">
        <v>0</v>
      </c>
      <c r="K703" s="11">
        <f t="shared" si="10"/>
        <v>1.318305304897005E-2</v>
      </c>
    </row>
    <row r="704" spans="1:11" x14ac:dyDescent="0.2">
      <c r="A704" s="2">
        <v>43487</v>
      </c>
      <c r="B704">
        <v>2657.8798828125</v>
      </c>
      <c r="C704">
        <v>2657.8798828125</v>
      </c>
      <c r="D704">
        <v>2617.27001953125</v>
      </c>
      <c r="E704">
        <v>2632.89990234375</v>
      </c>
      <c r="F704">
        <v>2632.89990234375</v>
      </c>
      <c r="G704">
        <v>3923950000</v>
      </c>
      <c r="H704">
        <v>0</v>
      </c>
      <c r="I704">
        <v>0</v>
      </c>
      <c r="K704" s="11">
        <f t="shared" si="10"/>
        <v>-1.4157306164566674E-2</v>
      </c>
    </row>
    <row r="705" spans="1:11" x14ac:dyDescent="0.2">
      <c r="A705" s="2">
        <v>43488</v>
      </c>
      <c r="B705">
        <v>2643.47998046875</v>
      </c>
      <c r="C705">
        <v>2653.18994140625</v>
      </c>
      <c r="D705">
        <v>2612.860107421875</v>
      </c>
      <c r="E705">
        <v>2638.699951171875</v>
      </c>
      <c r="F705">
        <v>2638.699951171875</v>
      </c>
      <c r="G705">
        <v>3358770000</v>
      </c>
      <c r="H705">
        <v>0</v>
      </c>
      <c r="I705">
        <v>0</v>
      </c>
      <c r="K705" s="11">
        <f t="shared" si="10"/>
        <v>2.2029127742235755E-3</v>
      </c>
    </row>
    <row r="706" spans="1:11" x14ac:dyDescent="0.2">
      <c r="A706" s="2">
        <v>43489</v>
      </c>
      <c r="B706">
        <v>2638.840087890625</v>
      </c>
      <c r="C706">
        <v>2647.199951171875</v>
      </c>
      <c r="D706">
        <v>2627.010009765625</v>
      </c>
      <c r="E706">
        <v>2642.330078125</v>
      </c>
      <c r="F706">
        <v>2642.330078125</v>
      </c>
      <c r="G706">
        <v>3449230000</v>
      </c>
      <c r="H706">
        <v>0</v>
      </c>
      <c r="I706">
        <v>0</v>
      </c>
      <c r="K706" s="11">
        <f t="shared" si="10"/>
        <v>1.3757255543636049E-3</v>
      </c>
    </row>
    <row r="707" spans="1:11" x14ac:dyDescent="0.2">
      <c r="A707" s="2">
        <v>43490</v>
      </c>
      <c r="B707">
        <v>2657.43994140625</v>
      </c>
      <c r="C707">
        <v>2672.3798828125</v>
      </c>
      <c r="D707">
        <v>2657.330078125</v>
      </c>
      <c r="E707">
        <v>2664.760009765625</v>
      </c>
      <c r="F707">
        <v>2664.760009765625</v>
      </c>
      <c r="G707">
        <v>3821000000</v>
      </c>
      <c r="H707">
        <v>0</v>
      </c>
      <c r="I707">
        <v>0</v>
      </c>
      <c r="K707" s="11">
        <f t="shared" si="10"/>
        <v>8.4886940607138417E-3</v>
      </c>
    </row>
    <row r="708" spans="1:11" x14ac:dyDescent="0.2">
      <c r="A708" s="2">
        <v>43493</v>
      </c>
      <c r="B708">
        <v>2644.969970703125</v>
      </c>
      <c r="C708">
        <v>2644.969970703125</v>
      </c>
      <c r="D708">
        <v>2624.06005859375</v>
      </c>
      <c r="E708">
        <v>2643.85009765625</v>
      </c>
      <c r="F708">
        <v>2643.85009765625</v>
      </c>
      <c r="G708">
        <v>3630820000</v>
      </c>
      <c r="H708">
        <v>0</v>
      </c>
      <c r="I708">
        <v>0</v>
      </c>
      <c r="K708" s="11">
        <f t="shared" ref="K708:K771" si="11">(E708/E707)-1</f>
        <v>-7.8468274939378357E-3</v>
      </c>
    </row>
    <row r="709" spans="1:11" x14ac:dyDescent="0.2">
      <c r="A709" s="2">
        <v>43494</v>
      </c>
      <c r="B709">
        <v>2644.889892578125</v>
      </c>
      <c r="C709">
        <v>2650.929931640625</v>
      </c>
      <c r="D709">
        <v>2631.050048828125</v>
      </c>
      <c r="E709">
        <v>2640</v>
      </c>
      <c r="F709">
        <v>2640</v>
      </c>
      <c r="G709">
        <v>3518070000</v>
      </c>
      <c r="H709">
        <v>0</v>
      </c>
      <c r="I709">
        <v>0</v>
      </c>
      <c r="K709" s="11">
        <f t="shared" si="11"/>
        <v>-1.4562465775435074E-3</v>
      </c>
    </row>
    <row r="710" spans="1:11" x14ac:dyDescent="0.2">
      <c r="A710" s="2">
        <v>43495</v>
      </c>
      <c r="B710">
        <v>2653.6201171875</v>
      </c>
      <c r="C710">
        <v>2690.43994140625</v>
      </c>
      <c r="D710">
        <v>2648.340087890625</v>
      </c>
      <c r="E710">
        <v>2681.050048828125</v>
      </c>
      <c r="F710">
        <v>2681.050048828125</v>
      </c>
      <c r="G710">
        <v>3883270000</v>
      </c>
      <c r="H710">
        <v>0</v>
      </c>
      <c r="I710">
        <v>0</v>
      </c>
      <c r="K710" s="11">
        <f t="shared" si="11"/>
        <v>1.554926091974429E-2</v>
      </c>
    </row>
    <row r="711" spans="1:11" x14ac:dyDescent="0.2">
      <c r="A711" s="2">
        <v>43496</v>
      </c>
      <c r="B711">
        <v>2685.489990234375</v>
      </c>
      <c r="C711">
        <v>2708.949951171875</v>
      </c>
      <c r="D711">
        <v>2678.64990234375</v>
      </c>
      <c r="E711">
        <v>2704.10009765625</v>
      </c>
      <c r="F711">
        <v>2704.10009765625</v>
      </c>
      <c r="G711">
        <v>4953800000</v>
      </c>
      <c r="H711">
        <v>0</v>
      </c>
      <c r="I711">
        <v>0</v>
      </c>
      <c r="K711" s="11">
        <f t="shared" si="11"/>
        <v>8.5973959487253282E-3</v>
      </c>
    </row>
    <row r="712" spans="1:11" x14ac:dyDescent="0.2">
      <c r="A712" s="2">
        <v>43497</v>
      </c>
      <c r="B712">
        <v>2702.320068359375</v>
      </c>
      <c r="C712">
        <v>2716.659912109375</v>
      </c>
      <c r="D712">
        <v>2696.8798828125</v>
      </c>
      <c r="E712">
        <v>2706.530029296875</v>
      </c>
      <c r="F712">
        <v>2706.530029296875</v>
      </c>
      <c r="G712">
        <v>3782490000</v>
      </c>
      <c r="H712">
        <v>0</v>
      </c>
      <c r="I712">
        <v>0</v>
      </c>
      <c r="K712" s="11">
        <f t="shared" si="11"/>
        <v>8.9861009314384788E-4</v>
      </c>
    </row>
    <row r="713" spans="1:11" x14ac:dyDescent="0.2">
      <c r="A713" s="2">
        <v>43500</v>
      </c>
      <c r="B713">
        <v>2706.489990234375</v>
      </c>
      <c r="C713">
        <v>2724.989990234375</v>
      </c>
      <c r="D713">
        <v>2698.75</v>
      </c>
      <c r="E713">
        <v>2724.8701171875</v>
      </c>
      <c r="F713">
        <v>2724.8701171875</v>
      </c>
      <c r="G713">
        <v>3369450000</v>
      </c>
      <c r="H713">
        <v>0</v>
      </c>
      <c r="I713">
        <v>0</v>
      </c>
      <c r="K713" s="11">
        <f t="shared" si="11"/>
        <v>6.7762366174040078E-3</v>
      </c>
    </row>
    <row r="714" spans="1:11" x14ac:dyDescent="0.2">
      <c r="A714" s="2">
        <v>43501</v>
      </c>
      <c r="B714">
        <v>2728.340087890625</v>
      </c>
      <c r="C714">
        <v>2738.97998046875</v>
      </c>
      <c r="D714">
        <v>2724.030029296875</v>
      </c>
      <c r="E714">
        <v>2737.699951171875</v>
      </c>
      <c r="F714">
        <v>2737.699951171875</v>
      </c>
      <c r="G714">
        <v>3597620000</v>
      </c>
      <c r="H714">
        <v>0</v>
      </c>
      <c r="I714">
        <v>0</v>
      </c>
      <c r="K714" s="11">
        <f t="shared" si="11"/>
        <v>4.7084203769747202E-3</v>
      </c>
    </row>
    <row r="715" spans="1:11" x14ac:dyDescent="0.2">
      <c r="A715" s="2">
        <v>43502</v>
      </c>
      <c r="B715">
        <v>2735.050048828125</v>
      </c>
      <c r="C715">
        <v>2738.080078125</v>
      </c>
      <c r="D715">
        <v>2724.14990234375</v>
      </c>
      <c r="E715">
        <v>2731.610107421875</v>
      </c>
      <c r="F715">
        <v>2731.610107421875</v>
      </c>
      <c r="G715">
        <v>3486590000</v>
      </c>
      <c r="H715">
        <v>0</v>
      </c>
      <c r="I715">
        <v>0</v>
      </c>
      <c r="K715" s="11">
        <f t="shared" si="11"/>
        <v>-2.2244379802809355E-3</v>
      </c>
    </row>
    <row r="716" spans="1:11" x14ac:dyDescent="0.2">
      <c r="A716" s="2">
        <v>43503</v>
      </c>
      <c r="B716">
        <v>2717.530029296875</v>
      </c>
      <c r="C716">
        <v>2719.320068359375</v>
      </c>
      <c r="D716">
        <v>2687.260009765625</v>
      </c>
      <c r="E716">
        <v>2706.050048828125</v>
      </c>
      <c r="F716">
        <v>2706.050048828125</v>
      </c>
      <c r="G716">
        <v>4114040000</v>
      </c>
      <c r="H716">
        <v>0</v>
      </c>
      <c r="I716">
        <v>0</v>
      </c>
      <c r="K716" s="11">
        <f t="shared" si="11"/>
        <v>-9.3571401439401791E-3</v>
      </c>
    </row>
    <row r="717" spans="1:11" x14ac:dyDescent="0.2">
      <c r="A717" s="2">
        <v>43504</v>
      </c>
      <c r="B717">
        <v>2692.360107421875</v>
      </c>
      <c r="C717">
        <v>2708.070068359375</v>
      </c>
      <c r="D717">
        <v>2681.830078125</v>
      </c>
      <c r="E717">
        <v>2707.8798828125</v>
      </c>
      <c r="F717">
        <v>2707.8798828125</v>
      </c>
      <c r="G717">
        <v>3649510000</v>
      </c>
      <c r="H717">
        <v>0</v>
      </c>
      <c r="I717">
        <v>0</v>
      </c>
      <c r="K717" s="11">
        <f t="shared" si="11"/>
        <v>6.7620108695609638E-4</v>
      </c>
    </row>
    <row r="718" spans="1:11" x14ac:dyDescent="0.2">
      <c r="A718" s="2">
        <v>43507</v>
      </c>
      <c r="B718">
        <v>2712.39990234375</v>
      </c>
      <c r="C718">
        <v>2718.050048828125</v>
      </c>
      <c r="D718">
        <v>2703.7900390625</v>
      </c>
      <c r="E718">
        <v>2709.800048828125</v>
      </c>
      <c r="F718">
        <v>2709.800048828125</v>
      </c>
      <c r="G718">
        <v>3395330000</v>
      </c>
      <c r="H718">
        <v>0</v>
      </c>
      <c r="I718">
        <v>0</v>
      </c>
      <c r="K718" s="11">
        <f t="shared" si="11"/>
        <v>7.0910309863170262E-4</v>
      </c>
    </row>
    <row r="719" spans="1:11" x14ac:dyDescent="0.2">
      <c r="A719" s="2">
        <v>43508</v>
      </c>
      <c r="B719">
        <v>2722.610107421875</v>
      </c>
      <c r="C719">
        <v>2748.18994140625</v>
      </c>
      <c r="D719">
        <v>2722.610107421875</v>
      </c>
      <c r="E719">
        <v>2744.72998046875</v>
      </c>
      <c r="F719">
        <v>2744.72998046875</v>
      </c>
      <c r="G719">
        <v>3843020000</v>
      </c>
      <c r="H719">
        <v>0</v>
      </c>
      <c r="I719">
        <v>0</v>
      </c>
      <c r="K719" s="11">
        <f t="shared" si="11"/>
        <v>1.28902247439735E-2</v>
      </c>
    </row>
    <row r="720" spans="1:11" x14ac:dyDescent="0.2">
      <c r="A720" s="2">
        <v>43509</v>
      </c>
      <c r="B720">
        <v>2750.300048828125</v>
      </c>
      <c r="C720">
        <v>2761.85009765625</v>
      </c>
      <c r="D720">
        <v>2748.6298828125</v>
      </c>
      <c r="E720">
        <v>2753.030029296875</v>
      </c>
      <c r="F720">
        <v>2753.030029296875</v>
      </c>
      <c r="G720">
        <v>3684910000</v>
      </c>
      <c r="H720">
        <v>0</v>
      </c>
      <c r="I720">
        <v>0</v>
      </c>
      <c r="K720" s="11">
        <f t="shared" si="11"/>
        <v>3.0239946687606878E-3</v>
      </c>
    </row>
    <row r="721" spans="1:11" x14ac:dyDescent="0.2">
      <c r="A721" s="2">
        <v>43510</v>
      </c>
      <c r="B721">
        <v>2743.5</v>
      </c>
      <c r="C721">
        <v>2757.89990234375</v>
      </c>
      <c r="D721">
        <v>2731.22998046875</v>
      </c>
      <c r="E721">
        <v>2745.72998046875</v>
      </c>
      <c r="F721">
        <v>2745.72998046875</v>
      </c>
      <c r="G721">
        <v>3845390000</v>
      </c>
      <c r="H721">
        <v>0</v>
      </c>
      <c r="I721">
        <v>0</v>
      </c>
      <c r="K721" s="11">
        <f t="shared" si="11"/>
        <v>-2.6516415551012251E-3</v>
      </c>
    </row>
    <row r="722" spans="1:11" x14ac:dyDescent="0.2">
      <c r="A722" s="2">
        <v>43511</v>
      </c>
      <c r="B722">
        <v>2760.239990234375</v>
      </c>
      <c r="C722">
        <v>2775.659912109375</v>
      </c>
      <c r="D722">
        <v>2760.239990234375</v>
      </c>
      <c r="E722">
        <v>2775.60009765625</v>
      </c>
      <c r="F722">
        <v>2775.60009765625</v>
      </c>
      <c r="G722">
        <v>3648680000</v>
      </c>
      <c r="H722">
        <v>0</v>
      </c>
      <c r="I722">
        <v>0</v>
      </c>
      <c r="K722" s="11">
        <f t="shared" si="11"/>
        <v>1.087875260858695E-2</v>
      </c>
    </row>
    <row r="723" spans="1:11" x14ac:dyDescent="0.2">
      <c r="A723" s="2">
        <v>43515</v>
      </c>
      <c r="B723">
        <v>2769.280029296875</v>
      </c>
      <c r="C723">
        <v>2787.330078125</v>
      </c>
      <c r="D723">
        <v>2767.2900390625</v>
      </c>
      <c r="E723">
        <v>2779.760009765625</v>
      </c>
      <c r="F723">
        <v>2779.760009765625</v>
      </c>
      <c r="G723">
        <v>3535270000</v>
      </c>
      <c r="H723">
        <v>0</v>
      </c>
      <c r="I723">
        <v>0</v>
      </c>
      <c r="K723" s="11">
        <f t="shared" si="11"/>
        <v>1.4987433214488366E-3</v>
      </c>
    </row>
    <row r="724" spans="1:11" x14ac:dyDescent="0.2">
      <c r="A724" s="2">
        <v>43516</v>
      </c>
      <c r="B724">
        <v>2779.050048828125</v>
      </c>
      <c r="C724">
        <v>2789.8798828125</v>
      </c>
      <c r="D724">
        <v>2774.06005859375</v>
      </c>
      <c r="E724">
        <v>2784.699951171875</v>
      </c>
      <c r="F724">
        <v>2784.699951171875</v>
      </c>
      <c r="G724">
        <v>3904830000</v>
      </c>
      <c r="H724">
        <v>0</v>
      </c>
      <c r="I724">
        <v>0</v>
      </c>
      <c r="K724" s="11">
        <f t="shared" si="11"/>
        <v>1.7771107537685182E-3</v>
      </c>
    </row>
    <row r="725" spans="1:11" x14ac:dyDescent="0.2">
      <c r="A725" s="2">
        <v>43517</v>
      </c>
      <c r="B725">
        <v>2780.239990234375</v>
      </c>
      <c r="C725">
        <v>2781.580078125</v>
      </c>
      <c r="D725">
        <v>2764.550048828125</v>
      </c>
      <c r="E725">
        <v>2774.8798828125</v>
      </c>
      <c r="F725">
        <v>2774.8798828125</v>
      </c>
      <c r="G725">
        <v>3598260000</v>
      </c>
      <c r="H725">
        <v>0</v>
      </c>
      <c r="I725">
        <v>0</v>
      </c>
      <c r="K725" s="11">
        <f t="shared" si="11"/>
        <v>-3.5264367908802718E-3</v>
      </c>
    </row>
    <row r="726" spans="1:11" x14ac:dyDescent="0.2">
      <c r="A726" s="2">
        <v>43518</v>
      </c>
      <c r="B726">
        <v>2780.669921875</v>
      </c>
      <c r="C726">
        <v>2794.199951171875</v>
      </c>
      <c r="D726">
        <v>2779.110107421875</v>
      </c>
      <c r="E726">
        <v>2792.669921875</v>
      </c>
      <c r="F726">
        <v>2792.669921875</v>
      </c>
      <c r="G726">
        <v>3429350000</v>
      </c>
      <c r="H726">
        <v>0</v>
      </c>
      <c r="I726">
        <v>0</v>
      </c>
      <c r="K726" s="11">
        <f t="shared" si="11"/>
        <v>6.4111023949868784E-3</v>
      </c>
    </row>
    <row r="727" spans="1:11" x14ac:dyDescent="0.2">
      <c r="A727" s="2">
        <v>43521</v>
      </c>
      <c r="B727">
        <v>2804.35009765625</v>
      </c>
      <c r="C727">
        <v>2813.489990234375</v>
      </c>
      <c r="D727">
        <v>2794.989990234375</v>
      </c>
      <c r="E727">
        <v>2796.110107421875</v>
      </c>
      <c r="F727">
        <v>2796.110107421875</v>
      </c>
      <c r="G727">
        <v>3860260000</v>
      </c>
      <c r="H727">
        <v>0</v>
      </c>
      <c r="I727">
        <v>0</v>
      </c>
      <c r="K727" s="11">
        <f t="shared" si="11"/>
        <v>1.2318625699112573E-3</v>
      </c>
    </row>
    <row r="728" spans="1:11" x14ac:dyDescent="0.2">
      <c r="A728" s="2">
        <v>43522</v>
      </c>
      <c r="B728">
        <v>2792.360107421875</v>
      </c>
      <c r="C728">
        <v>2803.1201171875</v>
      </c>
      <c r="D728">
        <v>2789.469970703125</v>
      </c>
      <c r="E728">
        <v>2793.89990234375</v>
      </c>
      <c r="F728">
        <v>2793.89990234375</v>
      </c>
      <c r="G728">
        <v>3676200000</v>
      </c>
      <c r="H728">
        <v>0</v>
      </c>
      <c r="I728">
        <v>0</v>
      </c>
      <c r="K728" s="11">
        <f t="shared" si="11"/>
        <v>-7.9045709689984367E-4</v>
      </c>
    </row>
    <row r="729" spans="1:11" x14ac:dyDescent="0.2">
      <c r="A729" s="2">
        <v>43523</v>
      </c>
      <c r="B729">
        <v>2787.5</v>
      </c>
      <c r="C729">
        <v>2795.760009765625</v>
      </c>
      <c r="D729">
        <v>2775.1298828125</v>
      </c>
      <c r="E729">
        <v>2792.3798828125</v>
      </c>
      <c r="F729">
        <v>2792.3798828125</v>
      </c>
      <c r="G729">
        <v>3771790000</v>
      </c>
      <c r="H729">
        <v>0</v>
      </c>
      <c r="I729">
        <v>0</v>
      </c>
      <c r="K729" s="11">
        <f t="shared" si="11"/>
        <v>-5.4404938773033873E-4</v>
      </c>
    </row>
    <row r="730" spans="1:11" x14ac:dyDescent="0.2">
      <c r="A730" s="2">
        <v>43524</v>
      </c>
      <c r="B730">
        <v>2788.110107421875</v>
      </c>
      <c r="C730">
        <v>2793.72998046875</v>
      </c>
      <c r="D730">
        <v>2782.510009765625</v>
      </c>
      <c r="E730">
        <v>2784.489990234375</v>
      </c>
      <c r="F730">
        <v>2784.489990234375</v>
      </c>
      <c r="G730">
        <v>4445780000</v>
      </c>
      <c r="H730">
        <v>0</v>
      </c>
      <c r="I730">
        <v>0</v>
      </c>
      <c r="K730" s="11">
        <f t="shared" si="11"/>
        <v>-2.8255083152146643E-3</v>
      </c>
    </row>
    <row r="731" spans="1:11" x14ac:dyDescent="0.2">
      <c r="A731" s="2">
        <v>43525</v>
      </c>
      <c r="B731">
        <v>2798.219970703125</v>
      </c>
      <c r="C731">
        <v>2808.02001953125</v>
      </c>
      <c r="D731">
        <v>2787.3798828125</v>
      </c>
      <c r="E731">
        <v>2803.68994140625</v>
      </c>
      <c r="F731">
        <v>2803.68994140625</v>
      </c>
      <c r="G731">
        <v>3994950000</v>
      </c>
      <c r="H731">
        <v>0</v>
      </c>
      <c r="I731">
        <v>0</v>
      </c>
      <c r="K731" s="11">
        <f t="shared" si="11"/>
        <v>6.8953205934343398E-3</v>
      </c>
    </row>
    <row r="732" spans="1:11" x14ac:dyDescent="0.2">
      <c r="A732" s="2">
        <v>43528</v>
      </c>
      <c r="B732">
        <v>2814.3701171875</v>
      </c>
      <c r="C732">
        <v>2816.8798828125</v>
      </c>
      <c r="D732">
        <v>2767.659912109375</v>
      </c>
      <c r="E732">
        <v>2792.81005859375</v>
      </c>
      <c r="F732">
        <v>2792.81005859375</v>
      </c>
      <c r="G732">
        <v>3949730000</v>
      </c>
      <c r="H732">
        <v>0</v>
      </c>
      <c r="I732">
        <v>0</v>
      </c>
      <c r="K732" s="11">
        <f t="shared" si="11"/>
        <v>-3.880558492514008E-3</v>
      </c>
    </row>
    <row r="733" spans="1:11" x14ac:dyDescent="0.2">
      <c r="A733" s="2">
        <v>43529</v>
      </c>
      <c r="B733">
        <v>2794.409912109375</v>
      </c>
      <c r="C733">
        <v>2796.43994140625</v>
      </c>
      <c r="D733">
        <v>2782.969970703125</v>
      </c>
      <c r="E733">
        <v>2789.64990234375</v>
      </c>
      <c r="F733">
        <v>2789.64990234375</v>
      </c>
      <c r="G733">
        <v>3631380000</v>
      </c>
      <c r="H733">
        <v>0</v>
      </c>
      <c r="I733">
        <v>0</v>
      </c>
      <c r="K733" s="11">
        <f t="shared" si="11"/>
        <v>-1.131532823106185E-3</v>
      </c>
    </row>
    <row r="734" spans="1:11" x14ac:dyDescent="0.2">
      <c r="A734" s="2">
        <v>43530</v>
      </c>
      <c r="B734">
        <v>2790.27001953125</v>
      </c>
      <c r="C734">
        <v>2790.27001953125</v>
      </c>
      <c r="D734">
        <v>2768.68994140625</v>
      </c>
      <c r="E734">
        <v>2771.449951171875</v>
      </c>
      <c r="F734">
        <v>2771.449951171875</v>
      </c>
      <c r="G734">
        <v>3800180000</v>
      </c>
      <c r="H734">
        <v>0</v>
      </c>
      <c r="I734">
        <v>0</v>
      </c>
      <c r="K734" s="11">
        <f t="shared" si="11"/>
        <v>-6.5240986535923806E-3</v>
      </c>
    </row>
    <row r="735" spans="1:11" x14ac:dyDescent="0.2">
      <c r="A735" s="2">
        <v>43531</v>
      </c>
      <c r="B735">
        <v>2766.530029296875</v>
      </c>
      <c r="C735">
        <v>2767.25</v>
      </c>
      <c r="D735">
        <v>2739.090087890625</v>
      </c>
      <c r="E735">
        <v>2748.929931640625</v>
      </c>
      <c r="F735">
        <v>2748.929931640625</v>
      </c>
      <c r="G735">
        <v>3932150000</v>
      </c>
      <c r="H735">
        <v>0</v>
      </c>
      <c r="I735">
        <v>0</v>
      </c>
      <c r="K735" s="11">
        <f t="shared" si="11"/>
        <v>-8.1257175586835206E-3</v>
      </c>
    </row>
    <row r="736" spans="1:11" x14ac:dyDescent="0.2">
      <c r="A736" s="2">
        <v>43532</v>
      </c>
      <c r="B736">
        <v>2730.7900390625</v>
      </c>
      <c r="C736">
        <v>2744.1298828125</v>
      </c>
      <c r="D736">
        <v>2722.27001953125</v>
      </c>
      <c r="E736">
        <v>2743.070068359375</v>
      </c>
      <c r="F736">
        <v>2743.070068359375</v>
      </c>
      <c r="G736">
        <v>3424300000</v>
      </c>
      <c r="H736">
        <v>0</v>
      </c>
      <c r="I736">
        <v>0</v>
      </c>
      <c r="K736" s="11">
        <f t="shared" si="11"/>
        <v>-2.1316888487414865E-3</v>
      </c>
    </row>
    <row r="737" spans="1:11" x14ac:dyDescent="0.2">
      <c r="A737" s="2">
        <v>43535</v>
      </c>
      <c r="B737">
        <v>2747.610107421875</v>
      </c>
      <c r="C737">
        <v>2784</v>
      </c>
      <c r="D737">
        <v>2747.610107421875</v>
      </c>
      <c r="E737">
        <v>2783.300048828125</v>
      </c>
      <c r="F737">
        <v>2783.300048828125</v>
      </c>
      <c r="G737">
        <v>3764850000</v>
      </c>
      <c r="H737">
        <v>0</v>
      </c>
      <c r="I737">
        <v>0</v>
      </c>
      <c r="K737" s="11">
        <f t="shared" si="11"/>
        <v>1.4666041867757107E-2</v>
      </c>
    </row>
    <row r="738" spans="1:11" x14ac:dyDescent="0.2">
      <c r="A738" s="2">
        <v>43536</v>
      </c>
      <c r="B738">
        <v>2787.340087890625</v>
      </c>
      <c r="C738">
        <v>2798.320068359375</v>
      </c>
      <c r="D738">
        <v>2786.72998046875</v>
      </c>
      <c r="E738">
        <v>2791.52001953125</v>
      </c>
      <c r="F738">
        <v>2791.52001953125</v>
      </c>
      <c r="G738">
        <v>3432340000</v>
      </c>
      <c r="H738">
        <v>0</v>
      </c>
      <c r="I738">
        <v>0</v>
      </c>
      <c r="K738" s="11">
        <f t="shared" si="11"/>
        <v>2.9533182046204143E-3</v>
      </c>
    </row>
    <row r="739" spans="1:11" x14ac:dyDescent="0.2">
      <c r="A739" s="2">
        <v>43537</v>
      </c>
      <c r="B739">
        <v>2799.780029296875</v>
      </c>
      <c r="C739">
        <v>2821.239990234375</v>
      </c>
      <c r="D739">
        <v>2799.780029296875</v>
      </c>
      <c r="E739">
        <v>2810.919921875</v>
      </c>
      <c r="F739">
        <v>2810.919921875</v>
      </c>
      <c r="G739">
        <v>3782250000</v>
      </c>
      <c r="H739">
        <v>0</v>
      </c>
      <c r="I739">
        <v>0</v>
      </c>
      <c r="K739" s="11">
        <f t="shared" si="11"/>
        <v>6.9495838138418087E-3</v>
      </c>
    </row>
    <row r="740" spans="1:11" x14ac:dyDescent="0.2">
      <c r="A740" s="2">
        <v>43538</v>
      </c>
      <c r="B740">
        <v>2810.3798828125</v>
      </c>
      <c r="C740">
        <v>2815</v>
      </c>
      <c r="D740">
        <v>2803.4599609375</v>
      </c>
      <c r="E740">
        <v>2808.47998046875</v>
      </c>
      <c r="F740">
        <v>2808.47998046875</v>
      </c>
      <c r="G740">
        <v>3505670000</v>
      </c>
      <c r="H740">
        <v>0</v>
      </c>
      <c r="I740">
        <v>0</v>
      </c>
      <c r="K740" s="11">
        <f t="shared" si="11"/>
        <v>-8.680223820187738E-4</v>
      </c>
    </row>
    <row r="741" spans="1:11" x14ac:dyDescent="0.2">
      <c r="A741" s="2">
        <v>43539</v>
      </c>
      <c r="B741">
        <v>2810.7900390625</v>
      </c>
      <c r="C741">
        <v>2830.72998046875</v>
      </c>
      <c r="D741">
        <v>2810.7900390625</v>
      </c>
      <c r="E741">
        <v>2822.47998046875</v>
      </c>
      <c r="F741">
        <v>2822.47998046875</v>
      </c>
      <c r="G741">
        <v>5969780000</v>
      </c>
      <c r="H741">
        <v>0</v>
      </c>
      <c r="I741">
        <v>0</v>
      </c>
      <c r="K741" s="11">
        <f t="shared" si="11"/>
        <v>4.9849029002739798E-3</v>
      </c>
    </row>
    <row r="742" spans="1:11" x14ac:dyDescent="0.2">
      <c r="A742" s="2">
        <v>43542</v>
      </c>
      <c r="B742">
        <v>2822.610107421875</v>
      </c>
      <c r="C742">
        <v>2835.409912109375</v>
      </c>
      <c r="D742">
        <v>2821.989990234375</v>
      </c>
      <c r="E742">
        <v>2832.93994140625</v>
      </c>
      <c r="F742">
        <v>2832.93994140625</v>
      </c>
      <c r="G742">
        <v>3620770000</v>
      </c>
      <c r="H742">
        <v>0</v>
      </c>
      <c r="I742">
        <v>0</v>
      </c>
      <c r="K742" s="11">
        <f t="shared" si="11"/>
        <v>3.7059469012648005E-3</v>
      </c>
    </row>
    <row r="743" spans="1:11" x14ac:dyDescent="0.2">
      <c r="A743" s="2">
        <v>43543</v>
      </c>
      <c r="B743">
        <v>2840.760009765625</v>
      </c>
      <c r="C743">
        <v>2852.419921875</v>
      </c>
      <c r="D743">
        <v>2823.27001953125</v>
      </c>
      <c r="E743">
        <v>2832.570068359375</v>
      </c>
      <c r="F743">
        <v>2832.570068359375</v>
      </c>
      <c r="G743">
        <v>3650740000</v>
      </c>
      <c r="H743">
        <v>0</v>
      </c>
      <c r="I743">
        <v>0</v>
      </c>
      <c r="K743" s="11">
        <f t="shared" si="11"/>
        <v>-1.305615560248663E-4</v>
      </c>
    </row>
    <row r="744" spans="1:11" x14ac:dyDescent="0.2">
      <c r="A744" s="2">
        <v>43544</v>
      </c>
      <c r="B744">
        <v>2831.340087890625</v>
      </c>
      <c r="C744">
        <v>2843.5400390625</v>
      </c>
      <c r="D744">
        <v>2812.429931640625</v>
      </c>
      <c r="E744">
        <v>2824.22998046875</v>
      </c>
      <c r="F744">
        <v>2824.22998046875</v>
      </c>
      <c r="G744">
        <v>3779160000</v>
      </c>
      <c r="H744">
        <v>0</v>
      </c>
      <c r="I744">
        <v>0</v>
      </c>
      <c r="K744" s="11">
        <f t="shared" si="11"/>
        <v>-2.9443536044478913E-3</v>
      </c>
    </row>
    <row r="745" spans="1:11" x14ac:dyDescent="0.2">
      <c r="A745" s="2">
        <v>43545</v>
      </c>
      <c r="B745">
        <v>2819.719970703125</v>
      </c>
      <c r="C745">
        <v>2860.31005859375</v>
      </c>
      <c r="D745">
        <v>2817.3798828125</v>
      </c>
      <c r="E745">
        <v>2854.8798828125</v>
      </c>
      <c r="F745">
        <v>2854.8798828125</v>
      </c>
      <c r="G745">
        <v>3612620000</v>
      </c>
      <c r="H745">
        <v>0</v>
      </c>
      <c r="I745">
        <v>0</v>
      </c>
      <c r="K745" s="11">
        <f t="shared" si="11"/>
        <v>1.0852481049954399E-2</v>
      </c>
    </row>
    <row r="746" spans="1:11" x14ac:dyDescent="0.2">
      <c r="A746" s="2">
        <v>43546</v>
      </c>
      <c r="B746">
        <v>2844.52001953125</v>
      </c>
      <c r="C746">
        <v>2846.159912109375</v>
      </c>
      <c r="D746">
        <v>2800.469970703125</v>
      </c>
      <c r="E746">
        <v>2800.7099609375</v>
      </c>
      <c r="F746">
        <v>2800.7099609375</v>
      </c>
      <c r="G746">
        <v>4253730000</v>
      </c>
      <c r="H746">
        <v>0</v>
      </c>
      <c r="I746">
        <v>0</v>
      </c>
      <c r="K746" s="11">
        <f t="shared" si="11"/>
        <v>-1.8974501239482744E-2</v>
      </c>
    </row>
    <row r="747" spans="1:11" x14ac:dyDescent="0.2">
      <c r="A747" s="2">
        <v>43549</v>
      </c>
      <c r="B747">
        <v>2796.010009765625</v>
      </c>
      <c r="C747">
        <v>2809.7900390625</v>
      </c>
      <c r="D747">
        <v>2785.02001953125</v>
      </c>
      <c r="E747">
        <v>2798.360107421875</v>
      </c>
      <c r="F747">
        <v>2798.360107421875</v>
      </c>
      <c r="G747">
        <v>3406110000</v>
      </c>
      <c r="H747">
        <v>0</v>
      </c>
      <c r="I747">
        <v>0</v>
      </c>
      <c r="K747" s="11">
        <f t="shared" si="11"/>
        <v>-8.3902065847563101E-4</v>
      </c>
    </row>
    <row r="748" spans="1:11" x14ac:dyDescent="0.2">
      <c r="A748" s="2">
        <v>43550</v>
      </c>
      <c r="B748">
        <v>2812.659912109375</v>
      </c>
      <c r="C748">
        <v>2829.8701171875</v>
      </c>
      <c r="D748">
        <v>2803.989990234375</v>
      </c>
      <c r="E748">
        <v>2818.4599609375</v>
      </c>
      <c r="F748">
        <v>2818.4599609375</v>
      </c>
      <c r="G748">
        <v>3288570000</v>
      </c>
      <c r="H748">
        <v>0</v>
      </c>
      <c r="I748">
        <v>0</v>
      </c>
      <c r="K748" s="11">
        <f t="shared" si="11"/>
        <v>7.1827258623062828E-3</v>
      </c>
    </row>
    <row r="749" spans="1:11" x14ac:dyDescent="0.2">
      <c r="A749" s="2">
        <v>43551</v>
      </c>
      <c r="B749">
        <v>2819.719970703125</v>
      </c>
      <c r="C749">
        <v>2825.56005859375</v>
      </c>
      <c r="D749">
        <v>2787.719970703125</v>
      </c>
      <c r="E749">
        <v>2805.3701171875</v>
      </c>
      <c r="F749">
        <v>2805.3701171875</v>
      </c>
      <c r="G749">
        <v>3422400000</v>
      </c>
      <c r="H749">
        <v>0</v>
      </c>
      <c r="I749">
        <v>0</v>
      </c>
      <c r="K749" s="11">
        <f t="shared" si="11"/>
        <v>-4.6443248906916645E-3</v>
      </c>
    </row>
    <row r="750" spans="1:11" x14ac:dyDescent="0.2">
      <c r="A750" s="2">
        <v>43552</v>
      </c>
      <c r="B750">
        <v>2809.39990234375</v>
      </c>
      <c r="C750">
        <v>2819.7099609375</v>
      </c>
      <c r="D750">
        <v>2798.77001953125</v>
      </c>
      <c r="E750">
        <v>2815.43994140625</v>
      </c>
      <c r="F750">
        <v>2815.43994140625</v>
      </c>
      <c r="G750">
        <v>3185460000</v>
      </c>
      <c r="H750">
        <v>0</v>
      </c>
      <c r="I750">
        <v>0</v>
      </c>
      <c r="K750" s="11">
        <f t="shared" si="11"/>
        <v>3.589481529391092E-3</v>
      </c>
    </row>
    <row r="751" spans="1:11" x14ac:dyDescent="0.2">
      <c r="A751" s="2">
        <v>43553</v>
      </c>
      <c r="B751">
        <v>2828.27001953125</v>
      </c>
      <c r="C751">
        <v>2836.030029296875</v>
      </c>
      <c r="D751">
        <v>2819.22998046875</v>
      </c>
      <c r="E751">
        <v>2834.39990234375</v>
      </c>
      <c r="F751">
        <v>2834.39990234375</v>
      </c>
      <c r="G751">
        <v>3752520000</v>
      </c>
      <c r="H751">
        <v>0</v>
      </c>
      <c r="I751">
        <v>0</v>
      </c>
      <c r="K751" s="11">
        <f t="shared" si="11"/>
        <v>6.7342800173637585E-3</v>
      </c>
    </row>
    <row r="752" spans="1:11" x14ac:dyDescent="0.2">
      <c r="A752" s="2">
        <v>43556</v>
      </c>
      <c r="B752">
        <v>2848.6298828125</v>
      </c>
      <c r="C752">
        <v>2869.39990234375</v>
      </c>
      <c r="D752">
        <v>2848.6298828125</v>
      </c>
      <c r="E752">
        <v>2867.18994140625</v>
      </c>
      <c r="F752">
        <v>2867.18994140625</v>
      </c>
      <c r="G752">
        <v>3560090000</v>
      </c>
      <c r="H752">
        <v>0</v>
      </c>
      <c r="I752">
        <v>0</v>
      </c>
      <c r="K752" s="11">
        <f t="shared" si="11"/>
        <v>1.1568600124275408E-2</v>
      </c>
    </row>
    <row r="753" spans="1:11" x14ac:dyDescent="0.2">
      <c r="A753" s="2">
        <v>43557</v>
      </c>
      <c r="B753">
        <v>2868.239990234375</v>
      </c>
      <c r="C753">
        <v>2872.89990234375</v>
      </c>
      <c r="D753">
        <v>2858.75</v>
      </c>
      <c r="E753">
        <v>2867.239990234375</v>
      </c>
      <c r="F753">
        <v>2867.239990234375</v>
      </c>
      <c r="G753">
        <v>3267210000</v>
      </c>
      <c r="H753">
        <v>0</v>
      </c>
      <c r="I753">
        <v>0</v>
      </c>
      <c r="K753" s="11">
        <f t="shared" si="11"/>
        <v>1.745570720723677E-5</v>
      </c>
    </row>
    <row r="754" spans="1:11" x14ac:dyDescent="0.2">
      <c r="A754" s="2">
        <v>43558</v>
      </c>
      <c r="B754">
        <v>2876.090087890625</v>
      </c>
      <c r="C754">
        <v>2885.25</v>
      </c>
      <c r="D754">
        <v>2865.169921875</v>
      </c>
      <c r="E754">
        <v>2873.39990234375</v>
      </c>
      <c r="F754">
        <v>2873.39990234375</v>
      </c>
      <c r="G754">
        <v>3570000000</v>
      </c>
      <c r="H754">
        <v>0</v>
      </c>
      <c r="I754">
        <v>0</v>
      </c>
      <c r="K754" s="11">
        <f t="shared" si="11"/>
        <v>2.1483768817243121E-3</v>
      </c>
    </row>
    <row r="755" spans="1:11" x14ac:dyDescent="0.2">
      <c r="A755" s="2">
        <v>43559</v>
      </c>
      <c r="B755">
        <v>2873.989990234375</v>
      </c>
      <c r="C755">
        <v>2881.280029296875</v>
      </c>
      <c r="D755">
        <v>2867.139892578125</v>
      </c>
      <c r="E755">
        <v>2879.389892578125</v>
      </c>
      <c r="F755">
        <v>2879.389892578125</v>
      </c>
      <c r="G755">
        <v>3038740000</v>
      </c>
      <c r="H755">
        <v>0</v>
      </c>
      <c r="I755">
        <v>0</v>
      </c>
      <c r="K755" s="11">
        <f t="shared" si="11"/>
        <v>2.0846350796801527E-3</v>
      </c>
    </row>
    <row r="756" spans="1:11" x14ac:dyDescent="0.2">
      <c r="A756" s="2">
        <v>43560</v>
      </c>
      <c r="B756">
        <v>2884.159912109375</v>
      </c>
      <c r="C756">
        <v>2893.239990234375</v>
      </c>
      <c r="D756">
        <v>2882.989990234375</v>
      </c>
      <c r="E756">
        <v>2892.739990234375</v>
      </c>
      <c r="F756">
        <v>2892.739990234375</v>
      </c>
      <c r="G756">
        <v>3155970000</v>
      </c>
      <c r="H756">
        <v>0</v>
      </c>
      <c r="I756">
        <v>0</v>
      </c>
      <c r="K756" s="11">
        <f t="shared" si="11"/>
        <v>4.6364327702410613E-3</v>
      </c>
    </row>
    <row r="757" spans="1:11" x14ac:dyDescent="0.2">
      <c r="A757" s="2">
        <v>43563</v>
      </c>
      <c r="B757">
        <v>2888.4599609375</v>
      </c>
      <c r="C757">
        <v>2895.949951171875</v>
      </c>
      <c r="D757">
        <v>2880.780029296875</v>
      </c>
      <c r="E757">
        <v>2895.77001953125</v>
      </c>
      <c r="F757">
        <v>2895.77001953125</v>
      </c>
      <c r="G757">
        <v>3056460000</v>
      </c>
      <c r="H757">
        <v>0</v>
      </c>
      <c r="I757">
        <v>0</v>
      </c>
      <c r="K757" s="11">
        <f t="shared" si="11"/>
        <v>1.0474599539205265E-3</v>
      </c>
    </row>
    <row r="758" spans="1:11" x14ac:dyDescent="0.2">
      <c r="A758" s="2">
        <v>43564</v>
      </c>
      <c r="B758">
        <v>2886.580078125</v>
      </c>
      <c r="C758">
        <v>2886.8798828125</v>
      </c>
      <c r="D758">
        <v>2873.330078125</v>
      </c>
      <c r="E758">
        <v>2878.199951171875</v>
      </c>
      <c r="F758">
        <v>2878.199951171875</v>
      </c>
      <c r="G758">
        <v>3032480000</v>
      </c>
      <c r="H758">
        <v>0</v>
      </c>
      <c r="I758">
        <v>0</v>
      </c>
      <c r="K758" s="11">
        <f t="shared" si="11"/>
        <v>-6.0674943938465731E-3</v>
      </c>
    </row>
    <row r="759" spans="1:11" x14ac:dyDescent="0.2">
      <c r="A759" s="2">
        <v>43565</v>
      </c>
      <c r="B759">
        <v>2881.3701171875</v>
      </c>
      <c r="C759">
        <v>2889.7099609375</v>
      </c>
      <c r="D759">
        <v>2879.1298828125</v>
      </c>
      <c r="E759">
        <v>2888.2099609375</v>
      </c>
      <c r="F759">
        <v>2888.2099609375</v>
      </c>
      <c r="G759">
        <v>3092230000</v>
      </c>
      <c r="H759">
        <v>0</v>
      </c>
      <c r="I759">
        <v>0</v>
      </c>
      <c r="K759" s="11">
        <f t="shared" si="11"/>
        <v>3.4778715639784963E-3</v>
      </c>
    </row>
    <row r="760" spans="1:11" x14ac:dyDescent="0.2">
      <c r="A760" s="2">
        <v>43566</v>
      </c>
      <c r="B760">
        <v>2891.919921875</v>
      </c>
      <c r="C760">
        <v>2893.419921875</v>
      </c>
      <c r="D760">
        <v>2881.989990234375</v>
      </c>
      <c r="E760">
        <v>2888.320068359375</v>
      </c>
      <c r="F760">
        <v>2888.320068359375</v>
      </c>
      <c r="G760">
        <v>2970650000</v>
      </c>
      <c r="H760">
        <v>0</v>
      </c>
      <c r="I760">
        <v>0</v>
      </c>
      <c r="K760" s="11">
        <f t="shared" si="11"/>
        <v>3.8123067008344336E-5</v>
      </c>
    </row>
    <row r="761" spans="1:11" x14ac:dyDescent="0.2">
      <c r="A761" s="2">
        <v>43567</v>
      </c>
      <c r="B761">
        <v>2900.860107421875</v>
      </c>
      <c r="C761">
        <v>2910.5400390625</v>
      </c>
      <c r="D761">
        <v>2898.3701171875</v>
      </c>
      <c r="E761">
        <v>2907.409912109375</v>
      </c>
      <c r="F761">
        <v>2907.409912109375</v>
      </c>
      <c r="G761">
        <v>3726050000</v>
      </c>
      <c r="H761">
        <v>0</v>
      </c>
      <c r="I761">
        <v>0</v>
      </c>
      <c r="K761" s="11">
        <f t="shared" si="11"/>
        <v>6.6093242086024961E-3</v>
      </c>
    </row>
    <row r="762" spans="1:11" x14ac:dyDescent="0.2">
      <c r="A762" s="2">
        <v>43570</v>
      </c>
      <c r="B762">
        <v>2908.320068359375</v>
      </c>
      <c r="C762">
        <v>2909.60009765625</v>
      </c>
      <c r="D762">
        <v>2896.47998046875</v>
      </c>
      <c r="E762">
        <v>2905.580078125</v>
      </c>
      <c r="F762">
        <v>2905.580078125</v>
      </c>
      <c r="G762">
        <v>3114530000</v>
      </c>
      <c r="H762">
        <v>0</v>
      </c>
      <c r="I762">
        <v>0</v>
      </c>
      <c r="K762" s="11">
        <f t="shared" si="11"/>
        <v>-6.2936910848165883E-4</v>
      </c>
    </row>
    <row r="763" spans="1:11" x14ac:dyDescent="0.2">
      <c r="A763" s="2">
        <v>43571</v>
      </c>
      <c r="B763">
        <v>2912.260009765625</v>
      </c>
      <c r="C763">
        <v>2916.06005859375</v>
      </c>
      <c r="D763">
        <v>2900.7099609375</v>
      </c>
      <c r="E763">
        <v>2907.06005859375</v>
      </c>
      <c r="F763">
        <v>2907.06005859375</v>
      </c>
      <c r="G763">
        <v>3403120000</v>
      </c>
      <c r="H763">
        <v>0</v>
      </c>
      <c r="I763">
        <v>0</v>
      </c>
      <c r="K763" s="11">
        <f t="shared" si="11"/>
        <v>5.0935800389462216E-4</v>
      </c>
    </row>
    <row r="764" spans="1:11" x14ac:dyDescent="0.2">
      <c r="A764" s="2">
        <v>43572</v>
      </c>
      <c r="B764">
        <v>2916.0400390625</v>
      </c>
      <c r="C764">
        <v>2918</v>
      </c>
      <c r="D764">
        <v>2895.449951171875</v>
      </c>
      <c r="E764">
        <v>2900.449951171875</v>
      </c>
      <c r="F764">
        <v>2900.449951171875</v>
      </c>
      <c r="G764">
        <v>3648100000</v>
      </c>
      <c r="H764">
        <v>0</v>
      </c>
      <c r="I764">
        <v>0</v>
      </c>
      <c r="K764" s="11">
        <f t="shared" si="11"/>
        <v>-2.2738117853239315E-3</v>
      </c>
    </row>
    <row r="765" spans="1:11" x14ac:dyDescent="0.2">
      <c r="A765" s="2">
        <v>43573</v>
      </c>
      <c r="B765">
        <v>2904.81005859375</v>
      </c>
      <c r="C765">
        <v>2908.39990234375</v>
      </c>
      <c r="D765">
        <v>2891.89990234375</v>
      </c>
      <c r="E765">
        <v>2905.030029296875</v>
      </c>
      <c r="F765">
        <v>2905.030029296875</v>
      </c>
      <c r="G765">
        <v>3507100000</v>
      </c>
      <c r="H765">
        <v>0</v>
      </c>
      <c r="I765">
        <v>0</v>
      </c>
      <c r="K765" s="11">
        <f t="shared" si="11"/>
        <v>1.5790922795098083E-3</v>
      </c>
    </row>
    <row r="766" spans="1:11" x14ac:dyDescent="0.2">
      <c r="A766" s="2">
        <v>43577</v>
      </c>
      <c r="B766">
        <v>2898.780029296875</v>
      </c>
      <c r="C766">
        <v>2909.510009765625</v>
      </c>
      <c r="D766">
        <v>2896.35009765625</v>
      </c>
      <c r="E766">
        <v>2907.969970703125</v>
      </c>
      <c r="F766">
        <v>2907.969970703125</v>
      </c>
      <c r="G766">
        <v>3010130000</v>
      </c>
      <c r="H766">
        <v>0</v>
      </c>
      <c r="I766">
        <v>0</v>
      </c>
      <c r="K766" s="11">
        <f t="shared" si="11"/>
        <v>1.0120175614714011E-3</v>
      </c>
    </row>
    <row r="767" spans="1:11" x14ac:dyDescent="0.2">
      <c r="A767" s="2">
        <v>43578</v>
      </c>
      <c r="B767">
        <v>2909.989990234375</v>
      </c>
      <c r="C767">
        <v>2936.31005859375</v>
      </c>
      <c r="D767">
        <v>2908.530029296875</v>
      </c>
      <c r="E767">
        <v>2933.679931640625</v>
      </c>
      <c r="F767">
        <v>2933.679931640625</v>
      </c>
      <c r="G767">
        <v>3674480000</v>
      </c>
      <c r="H767">
        <v>0</v>
      </c>
      <c r="I767">
        <v>0</v>
      </c>
      <c r="K767" s="11">
        <f t="shared" si="11"/>
        <v>8.8412057884090789E-3</v>
      </c>
    </row>
    <row r="768" spans="1:11" x14ac:dyDescent="0.2">
      <c r="A768" s="2">
        <v>43579</v>
      </c>
      <c r="B768">
        <v>2934</v>
      </c>
      <c r="C768">
        <v>2936.830078125</v>
      </c>
      <c r="D768">
        <v>2926.050048828125</v>
      </c>
      <c r="E768">
        <v>2927.25</v>
      </c>
      <c r="F768">
        <v>2927.25</v>
      </c>
      <c r="G768">
        <v>3468480000</v>
      </c>
      <c r="H768">
        <v>0</v>
      </c>
      <c r="I768">
        <v>0</v>
      </c>
      <c r="K768" s="11">
        <f t="shared" si="11"/>
        <v>-2.1917631747336852E-3</v>
      </c>
    </row>
    <row r="769" spans="1:11" x14ac:dyDescent="0.2">
      <c r="A769" s="2">
        <v>43580</v>
      </c>
      <c r="B769">
        <v>2928.989990234375</v>
      </c>
      <c r="C769">
        <v>2933.10009765625</v>
      </c>
      <c r="D769">
        <v>2912.840087890625</v>
      </c>
      <c r="E769">
        <v>2926.169921875</v>
      </c>
      <c r="F769">
        <v>2926.169921875</v>
      </c>
      <c r="G769">
        <v>3440010000</v>
      </c>
      <c r="H769">
        <v>0</v>
      </c>
      <c r="I769">
        <v>0</v>
      </c>
      <c r="K769" s="11">
        <f t="shared" si="11"/>
        <v>-3.6897365274579652E-4</v>
      </c>
    </row>
    <row r="770" spans="1:11" x14ac:dyDescent="0.2">
      <c r="A770" s="2">
        <v>43581</v>
      </c>
      <c r="B770">
        <v>2925.81005859375</v>
      </c>
      <c r="C770">
        <v>2939.8798828125</v>
      </c>
      <c r="D770">
        <v>2917.56005859375</v>
      </c>
      <c r="E770">
        <v>2939.8798828125</v>
      </c>
      <c r="F770">
        <v>2939.8798828125</v>
      </c>
      <c r="G770">
        <v>3264390000</v>
      </c>
      <c r="H770">
        <v>0</v>
      </c>
      <c r="I770">
        <v>0</v>
      </c>
      <c r="K770" s="11">
        <f t="shared" si="11"/>
        <v>4.6852921407636305E-3</v>
      </c>
    </row>
    <row r="771" spans="1:11" x14ac:dyDescent="0.2">
      <c r="A771" s="2">
        <v>43584</v>
      </c>
      <c r="B771">
        <v>2940.580078125</v>
      </c>
      <c r="C771">
        <v>2949.52001953125</v>
      </c>
      <c r="D771">
        <v>2939.35009765625</v>
      </c>
      <c r="E771">
        <v>2943.030029296875</v>
      </c>
      <c r="F771">
        <v>2943.030029296875</v>
      </c>
      <c r="G771">
        <v>3150390000</v>
      </c>
      <c r="H771">
        <v>0</v>
      </c>
      <c r="I771">
        <v>0</v>
      </c>
      <c r="K771" s="11">
        <f t="shared" si="11"/>
        <v>1.0715221743553549E-3</v>
      </c>
    </row>
    <row r="772" spans="1:11" x14ac:dyDescent="0.2">
      <c r="A772" s="2">
        <v>43585</v>
      </c>
      <c r="B772">
        <v>2937.139892578125</v>
      </c>
      <c r="C772">
        <v>2948.219970703125</v>
      </c>
      <c r="D772">
        <v>2924.110107421875</v>
      </c>
      <c r="E772">
        <v>2945.830078125</v>
      </c>
      <c r="F772">
        <v>2945.830078125</v>
      </c>
      <c r="G772">
        <v>3939760000</v>
      </c>
      <c r="H772">
        <v>0</v>
      </c>
      <c r="I772">
        <v>0</v>
      </c>
      <c r="K772" s="11">
        <f t="shared" ref="K772:K835" si="12">(E772/E771)-1</f>
        <v>9.5141700908629723E-4</v>
      </c>
    </row>
    <row r="773" spans="1:11" x14ac:dyDescent="0.2">
      <c r="A773" s="2">
        <v>43586</v>
      </c>
      <c r="B773">
        <v>2952.330078125</v>
      </c>
      <c r="C773">
        <v>2954.1298828125</v>
      </c>
      <c r="D773">
        <v>2923.360107421875</v>
      </c>
      <c r="E773">
        <v>2923.72998046875</v>
      </c>
      <c r="F773">
        <v>2923.72998046875</v>
      </c>
      <c r="G773">
        <v>3669330000</v>
      </c>
      <c r="H773">
        <v>0</v>
      </c>
      <c r="I773">
        <v>0</v>
      </c>
      <c r="K773" s="11">
        <f t="shared" si="12"/>
        <v>-7.5021630814213758E-3</v>
      </c>
    </row>
    <row r="774" spans="1:11" x14ac:dyDescent="0.2">
      <c r="A774" s="2">
        <v>43587</v>
      </c>
      <c r="B774">
        <v>2922.159912109375</v>
      </c>
      <c r="C774">
        <v>2931.679931640625</v>
      </c>
      <c r="D774">
        <v>2900.5</v>
      </c>
      <c r="E774">
        <v>2917.52001953125</v>
      </c>
      <c r="F774">
        <v>2917.52001953125</v>
      </c>
      <c r="G774">
        <v>3802290000</v>
      </c>
      <c r="H774">
        <v>0</v>
      </c>
      <c r="I774">
        <v>0</v>
      </c>
      <c r="K774" s="11">
        <f t="shared" si="12"/>
        <v>-2.1239857917741967E-3</v>
      </c>
    </row>
    <row r="775" spans="1:11" x14ac:dyDescent="0.2">
      <c r="A775" s="2">
        <v>43588</v>
      </c>
      <c r="B775">
        <v>2929.2099609375</v>
      </c>
      <c r="C775">
        <v>2947.85009765625</v>
      </c>
      <c r="D775">
        <v>2929.2099609375</v>
      </c>
      <c r="E775">
        <v>2945.639892578125</v>
      </c>
      <c r="F775">
        <v>2945.639892578125</v>
      </c>
      <c r="G775">
        <v>3357180000</v>
      </c>
      <c r="H775">
        <v>0</v>
      </c>
      <c r="I775">
        <v>0</v>
      </c>
      <c r="K775" s="11">
        <f t="shared" si="12"/>
        <v>9.6382793806477629E-3</v>
      </c>
    </row>
    <row r="776" spans="1:11" x14ac:dyDescent="0.2">
      <c r="A776" s="2">
        <v>43591</v>
      </c>
      <c r="B776">
        <v>2908.889892578125</v>
      </c>
      <c r="C776">
        <v>2937.320068359375</v>
      </c>
      <c r="D776">
        <v>2898.2099609375</v>
      </c>
      <c r="E776">
        <v>2932.469970703125</v>
      </c>
      <c r="F776">
        <v>2932.469970703125</v>
      </c>
      <c r="G776">
        <v>3203260000</v>
      </c>
      <c r="H776">
        <v>0</v>
      </c>
      <c r="I776">
        <v>0</v>
      </c>
      <c r="K776" s="11">
        <f t="shared" si="12"/>
        <v>-4.4709884287563728E-3</v>
      </c>
    </row>
    <row r="777" spans="1:11" x14ac:dyDescent="0.2">
      <c r="A777" s="2">
        <v>43592</v>
      </c>
      <c r="B777">
        <v>2913.030029296875</v>
      </c>
      <c r="C777">
        <v>2913.030029296875</v>
      </c>
      <c r="D777">
        <v>2862.60009765625</v>
      </c>
      <c r="E777">
        <v>2884.050048828125</v>
      </c>
      <c r="F777">
        <v>2884.050048828125</v>
      </c>
      <c r="G777">
        <v>3793060000</v>
      </c>
      <c r="H777">
        <v>0</v>
      </c>
      <c r="I777">
        <v>0</v>
      </c>
      <c r="K777" s="11">
        <f t="shared" si="12"/>
        <v>-1.6511651392423388E-2</v>
      </c>
    </row>
    <row r="778" spans="1:11" x14ac:dyDescent="0.2">
      <c r="A778" s="2">
        <v>43593</v>
      </c>
      <c r="B778">
        <v>2879.610107421875</v>
      </c>
      <c r="C778">
        <v>2897.9599609375</v>
      </c>
      <c r="D778">
        <v>2873.280029296875</v>
      </c>
      <c r="E778">
        <v>2879.419921875</v>
      </c>
      <c r="F778">
        <v>2879.419921875</v>
      </c>
      <c r="G778">
        <v>3543110000</v>
      </c>
      <c r="H778">
        <v>0</v>
      </c>
      <c r="I778">
        <v>0</v>
      </c>
      <c r="K778" s="11">
        <f t="shared" si="12"/>
        <v>-1.6054253132695706E-3</v>
      </c>
    </row>
    <row r="779" spans="1:11" x14ac:dyDescent="0.2">
      <c r="A779" s="2">
        <v>43594</v>
      </c>
      <c r="B779">
        <v>2859.840087890625</v>
      </c>
      <c r="C779">
        <v>2875.969970703125</v>
      </c>
      <c r="D779">
        <v>2836.39990234375</v>
      </c>
      <c r="E779">
        <v>2870.719970703125</v>
      </c>
      <c r="F779">
        <v>2870.719970703125</v>
      </c>
      <c r="G779">
        <v>3659050000</v>
      </c>
      <c r="H779">
        <v>0</v>
      </c>
      <c r="I779">
        <v>0</v>
      </c>
      <c r="K779" s="11">
        <f t="shared" si="12"/>
        <v>-3.0214249424966866E-3</v>
      </c>
    </row>
    <row r="780" spans="1:11" x14ac:dyDescent="0.2">
      <c r="A780" s="2">
        <v>43595</v>
      </c>
      <c r="B780">
        <v>2863.10009765625</v>
      </c>
      <c r="C780">
        <v>2891.31005859375</v>
      </c>
      <c r="D780">
        <v>2825.389892578125</v>
      </c>
      <c r="E780">
        <v>2881.39990234375</v>
      </c>
      <c r="F780">
        <v>2881.39990234375</v>
      </c>
      <c r="G780">
        <v>3566780000</v>
      </c>
      <c r="H780">
        <v>0</v>
      </c>
      <c r="I780">
        <v>0</v>
      </c>
      <c r="K780" s="11">
        <f t="shared" si="12"/>
        <v>3.7202972597878414E-3</v>
      </c>
    </row>
    <row r="781" spans="1:11" x14ac:dyDescent="0.2">
      <c r="A781" s="2">
        <v>43598</v>
      </c>
      <c r="B781">
        <v>2840.18994140625</v>
      </c>
      <c r="C781">
        <v>2840.18994140625</v>
      </c>
      <c r="D781">
        <v>2801.429931640625</v>
      </c>
      <c r="E781">
        <v>2811.8701171875</v>
      </c>
      <c r="F781">
        <v>2811.8701171875</v>
      </c>
      <c r="G781">
        <v>3900270000</v>
      </c>
      <c r="H781">
        <v>0</v>
      </c>
      <c r="I781">
        <v>0</v>
      </c>
      <c r="K781" s="11">
        <f t="shared" si="12"/>
        <v>-2.4130557198844271E-2</v>
      </c>
    </row>
    <row r="782" spans="1:11" x14ac:dyDescent="0.2">
      <c r="A782" s="2">
        <v>43599</v>
      </c>
      <c r="B782">
        <v>2820.1201171875</v>
      </c>
      <c r="C782">
        <v>2852.5400390625</v>
      </c>
      <c r="D782">
        <v>2820.1201171875</v>
      </c>
      <c r="E782">
        <v>2834.409912109375</v>
      </c>
      <c r="F782">
        <v>2834.409912109375</v>
      </c>
      <c r="G782">
        <v>3354860000</v>
      </c>
      <c r="H782">
        <v>0</v>
      </c>
      <c r="I782">
        <v>0</v>
      </c>
      <c r="K782" s="11">
        <f t="shared" si="12"/>
        <v>8.0159445431355891E-3</v>
      </c>
    </row>
    <row r="783" spans="1:11" x14ac:dyDescent="0.2">
      <c r="A783" s="2">
        <v>43600</v>
      </c>
      <c r="B783">
        <v>2820.3798828125</v>
      </c>
      <c r="C783">
        <v>2858.679931640625</v>
      </c>
      <c r="D783">
        <v>2815.080078125</v>
      </c>
      <c r="E783">
        <v>2850.9599609375</v>
      </c>
      <c r="F783">
        <v>2850.9599609375</v>
      </c>
      <c r="G783">
        <v>3140900000</v>
      </c>
      <c r="H783">
        <v>0</v>
      </c>
      <c r="I783">
        <v>0</v>
      </c>
      <c r="K783" s="11">
        <f t="shared" si="12"/>
        <v>5.8389750746421498E-3</v>
      </c>
    </row>
    <row r="784" spans="1:11" x14ac:dyDescent="0.2">
      <c r="A784" s="2">
        <v>43601</v>
      </c>
      <c r="B784">
        <v>2855.800048828125</v>
      </c>
      <c r="C784">
        <v>2892.14990234375</v>
      </c>
      <c r="D784">
        <v>2855.800048828125</v>
      </c>
      <c r="E784">
        <v>2876.320068359375</v>
      </c>
      <c r="F784">
        <v>2876.320068359375</v>
      </c>
      <c r="G784">
        <v>3338470000</v>
      </c>
      <c r="H784">
        <v>0</v>
      </c>
      <c r="I784">
        <v>0</v>
      </c>
      <c r="K784" s="11">
        <f t="shared" si="12"/>
        <v>8.8952871206005035E-3</v>
      </c>
    </row>
    <row r="785" spans="1:11" x14ac:dyDescent="0.2">
      <c r="A785" s="2">
        <v>43602</v>
      </c>
      <c r="B785">
        <v>2858.60009765625</v>
      </c>
      <c r="C785">
        <v>2885.47998046875</v>
      </c>
      <c r="D785">
        <v>2854.22998046875</v>
      </c>
      <c r="E785">
        <v>2859.530029296875</v>
      </c>
      <c r="F785">
        <v>2859.530029296875</v>
      </c>
      <c r="G785">
        <v>3316040000</v>
      </c>
      <c r="H785">
        <v>0</v>
      </c>
      <c r="I785">
        <v>0</v>
      </c>
      <c r="K785" s="11">
        <f t="shared" si="12"/>
        <v>-5.8373333507619751E-3</v>
      </c>
    </row>
    <row r="786" spans="1:11" x14ac:dyDescent="0.2">
      <c r="A786" s="2">
        <v>43605</v>
      </c>
      <c r="B786">
        <v>2841.93994140625</v>
      </c>
      <c r="C786">
        <v>2853.860107421875</v>
      </c>
      <c r="D786">
        <v>2831.2900390625</v>
      </c>
      <c r="E786">
        <v>2840.22998046875</v>
      </c>
      <c r="F786">
        <v>2840.22998046875</v>
      </c>
      <c r="G786">
        <v>3293750000</v>
      </c>
      <c r="H786">
        <v>0</v>
      </c>
      <c r="I786">
        <v>0</v>
      </c>
      <c r="K786" s="11">
        <f t="shared" si="12"/>
        <v>-6.7493779153879885E-3</v>
      </c>
    </row>
    <row r="787" spans="1:11" x14ac:dyDescent="0.2">
      <c r="A787" s="2">
        <v>43606</v>
      </c>
      <c r="B787">
        <v>2854.02001953125</v>
      </c>
      <c r="C787">
        <v>2868.8798828125</v>
      </c>
      <c r="D787">
        <v>2854.02001953125</v>
      </c>
      <c r="E787">
        <v>2864.360107421875</v>
      </c>
      <c r="F787">
        <v>2864.360107421875</v>
      </c>
      <c r="G787">
        <v>3223050000</v>
      </c>
      <c r="H787">
        <v>0</v>
      </c>
      <c r="I787">
        <v>0</v>
      </c>
      <c r="K787" s="11">
        <f t="shared" si="12"/>
        <v>8.4958355904483085E-3</v>
      </c>
    </row>
    <row r="788" spans="1:11" x14ac:dyDescent="0.2">
      <c r="A788" s="2">
        <v>43607</v>
      </c>
      <c r="B788">
        <v>2856.06005859375</v>
      </c>
      <c r="C788">
        <v>2865.469970703125</v>
      </c>
      <c r="D788">
        <v>2851.110107421875</v>
      </c>
      <c r="E788">
        <v>2856.27001953125</v>
      </c>
      <c r="F788">
        <v>2856.27001953125</v>
      </c>
      <c r="G788">
        <v>3194000000</v>
      </c>
      <c r="H788">
        <v>0</v>
      </c>
      <c r="I788">
        <v>0</v>
      </c>
      <c r="K788" s="11">
        <f t="shared" si="12"/>
        <v>-2.8243962306494508E-3</v>
      </c>
    </row>
    <row r="789" spans="1:11" x14ac:dyDescent="0.2">
      <c r="A789" s="2">
        <v>43608</v>
      </c>
      <c r="B789">
        <v>2836.699951171875</v>
      </c>
      <c r="C789">
        <v>2836.699951171875</v>
      </c>
      <c r="D789">
        <v>2805.489990234375</v>
      </c>
      <c r="E789">
        <v>2822.239990234375</v>
      </c>
      <c r="F789">
        <v>2822.239990234375</v>
      </c>
      <c r="G789">
        <v>3899320000</v>
      </c>
      <c r="H789">
        <v>0</v>
      </c>
      <c r="I789">
        <v>0</v>
      </c>
      <c r="K789" s="11">
        <f t="shared" si="12"/>
        <v>-1.191414994527018E-2</v>
      </c>
    </row>
    <row r="790" spans="1:11" x14ac:dyDescent="0.2">
      <c r="A790" s="2">
        <v>43609</v>
      </c>
      <c r="B790">
        <v>2832.409912109375</v>
      </c>
      <c r="C790">
        <v>2841.360107421875</v>
      </c>
      <c r="D790">
        <v>2820.18994140625</v>
      </c>
      <c r="E790">
        <v>2826.06005859375</v>
      </c>
      <c r="F790">
        <v>2826.06005859375</v>
      </c>
      <c r="G790">
        <v>2889230000</v>
      </c>
      <c r="H790">
        <v>0</v>
      </c>
      <c r="I790">
        <v>0</v>
      </c>
      <c r="K790" s="11">
        <f t="shared" si="12"/>
        <v>1.3535590072402126E-3</v>
      </c>
    </row>
    <row r="791" spans="1:11" x14ac:dyDescent="0.2">
      <c r="A791" s="2">
        <v>43613</v>
      </c>
      <c r="B791">
        <v>2830.030029296875</v>
      </c>
      <c r="C791">
        <v>2840.510009765625</v>
      </c>
      <c r="D791">
        <v>2801.580078125</v>
      </c>
      <c r="E791">
        <v>2802.389892578125</v>
      </c>
      <c r="F791">
        <v>2802.389892578125</v>
      </c>
      <c r="G791">
        <v>4146980000</v>
      </c>
      <c r="H791">
        <v>0</v>
      </c>
      <c r="I791">
        <v>0</v>
      </c>
      <c r="K791" s="11">
        <f t="shared" si="12"/>
        <v>-8.3756769229467176E-3</v>
      </c>
    </row>
    <row r="792" spans="1:11" x14ac:dyDescent="0.2">
      <c r="A792" s="2">
        <v>43614</v>
      </c>
      <c r="B792">
        <v>2790.25</v>
      </c>
      <c r="C792">
        <v>2792.030029296875</v>
      </c>
      <c r="D792">
        <v>2766.06005859375</v>
      </c>
      <c r="E792">
        <v>2783.02001953125</v>
      </c>
      <c r="F792">
        <v>2783.02001953125</v>
      </c>
      <c r="G792">
        <v>3701110000</v>
      </c>
      <c r="H792">
        <v>0</v>
      </c>
      <c r="I792">
        <v>0</v>
      </c>
      <c r="K792" s="11">
        <f t="shared" si="12"/>
        <v>-6.9119122568113145E-3</v>
      </c>
    </row>
    <row r="793" spans="1:11" x14ac:dyDescent="0.2">
      <c r="A793" s="2">
        <v>43615</v>
      </c>
      <c r="B793">
        <v>2786.93994140625</v>
      </c>
      <c r="C793">
        <v>2799</v>
      </c>
      <c r="D793">
        <v>2776.739990234375</v>
      </c>
      <c r="E793">
        <v>2788.860107421875</v>
      </c>
      <c r="F793">
        <v>2788.860107421875</v>
      </c>
      <c r="G793">
        <v>3276030000</v>
      </c>
      <c r="H793">
        <v>0</v>
      </c>
      <c r="I793">
        <v>0</v>
      </c>
      <c r="K793" s="11">
        <f t="shared" si="12"/>
        <v>2.0984713906617714E-3</v>
      </c>
    </row>
    <row r="794" spans="1:11" x14ac:dyDescent="0.2">
      <c r="A794" s="2">
        <v>43616</v>
      </c>
      <c r="B794">
        <v>2766.14990234375</v>
      </c>
      <c r="C794">
        <v>2768.97998046875</v>
      </c>
      <c r="D794">
        <v>2750.52001953125</v>
      </c>
      <c r="E794">
        <v>2752.06005859375</v>
      </c>
      <c r="F794">
        <v>2752.06005859375</v>
      </c>
      <c r="G794">
        <v>3982670000</v>
      </c>
      <c r="H794">
        <v>0</v>
      </c>
      <c r="I794">
        <v>0</v>
      </c>
      <c r="K794" s="11">
        <f t="shared" si="12"/>
        <v>-1.3195372808478489E-2</v>
      </c>
    </row>
    <row r="795" spans="1:11" x14ac:dyDescent="0.2">
      <c r="A795" s="2">
        <v>43619</v>
      </c>
      <c r="B795">
        <v>2751.530029296875</v>
      </c>
      <c r="C795">
        <v>2763.070068359375</v>
      </c>
      <c r="D795">
        <v>2728.81005859375</v>
      </c>
      <c r="E795">
        <v>2744.449951171875</v>
      </c>
      <c r="F795">
        <v>2744.449951171875</v>
      </c>
      <c r="G795">
        <v>3952360000</v>
      </c>
      <c r="H795">
        <v>0</v>
      </c>
      <c r="I795">
        <v>0</v>
      </c>
      <c r="K795" s="11">
        <f t="shared" si="12"/>
        <v>-2.7652403144732274E-3</v>
      </c>
    </row>
    <row r="796" spans="1:11" x14ac:dyDescent="0.2">
      <c r="A796" s="2">
        <v>43620</v>
      </c>
      <c r="B796">
        <v>2762.639892578125</v>
      </c>
      <c r="C796">
        <v>2804.489990234375</v>
      </c>
      <c r="D796">
        <v>2762.639892578125</v>
      </c>
      <c r="E796">
        <v>2803.27001953125</v>
      </c>
      <c r="F796">
        <v>2803.27001953125</v>
      </c>
      <c r="G796">
        <v>3814130000</v>
      </c>
      <c r="H796">
        <v>0</v>
      </c>
      <c r="I796">
        <v>0</v>
      </c>
      <c r="K796" s="11">
        <f t="shared" si="12"/>
        <v>2.1432370568193138E-2</v>
      </c>
    </row>
    <row r="797" spans="1:11" x14ac:dyDescent="0.2">
      <c r="A797" s="2">
        <v>43621</v>
      </c>
      <c r="B797">
        <v>2818.090087890625</v>
      </c>
      <c r="C797">
        <v>2827.280029296875</v>
      </c>
      <c r="D797">
        <v>2800.919921875</v>
      </c>
      <c r="E797">
        <v>2826.14990234375</v>
      </c>
      <c r="F797">
        <v>2826.14990234375</v>
      </c>
      <c r="G797">
        <v>3570760000</v>
      </c>
      <c r="H797">
        <v>0</v>
      </c>
      <c r="I797">
        <v>0</v>
      </c>
      <c r="K797" s="11">
        <f t="shared" si="12"/>
        <v>8.1618547814119591E-3</v>
      </c>
    </row>
    <row r="798" spans="1:11" x14ac:dyDescent="0.2">
      <c r="A798" s="2">
        <v>43622</v>
      </c>
      <c r="B798">
        <v>2828.510009765625</v>
      </c>
      <c r="C798">
        <v>2852.10009765625</v>
      </c>
      <c r="D798">
        <v>2822.449951171875</v>
      </c>
      <c r="E798">
        <v>2843.489990234375</v>
      </c>
      <c r="F798">
        <v>2843.489990234375</v>
      </c>
      <c r="G798">
        <v>3445140000</v>
      </c>
      <c r="H798">
        <v>0</v>
      </c>
      <c r="I798">
        <v>0</v>
      </c>
      <c r="K798" s="11">
        <f t="shared" si="12"/>
        <v>6.1355867486876381E-3</v>
      </c>
    </row>
    <row r="799" spans="1:11" x14ac:dyDescent="0.2">
      <c r="A799" s="2">
        <v>43623</v>
      </c>
      <c r="B799">
        <v>2852.8701171875</v>
      </c>
      <c r="C799">
        <v>2884.969970703125</v>
      </c>
      <c r="D799">
        <v>2852.8701171875</v>
      </c>
      <c r="E799">
        <v>2873.340087890625</v>
      </c>
      <c r="F799">
        <v>2873.340087890625</v>
      </c>
      <c r="G799">
        <v>3244380000</v>
      </c>
      <c r="H799">
        <v>0</v>
      </c>
      <c r="I799">
        <v>0</v>
      </c>
      <c r="K799" s="11">
        <f t="shared" si="12"/>
        <v>1.0497697462894751E-2</v>
      </c>
    </row>
    <row r="800" spans="1:11" x14ac:dyDescent="0.2">
      <c r="A800" s="2">
        <v>43626</v>
      </c>
      <c r="B800">
        <v>2885.830078125</v>
      </c>
      <c r="C800">
        <v>2904.77001953125</v>
      </c>
      <c r="D800">
        <v>2885.510009765625</v>
      </c>
      <c r="E800">
        <v>2886.72998046875</v>
      </c>
      <c r="F800">
        <v>2886.72998046875</v>
      </c>
      <c r="G800">
        <v>3209890000</v>
      </c>
      <c r="H800">
        <v>0</v>
      </c>
      <c r="I800">
        <v>0</v>
      </c>
      <c r="K800" s="11">
        <f t="shared" si="12"/>
        <v>4.6600444669098184E-3</v>
      </c>
    </row>
    <row r="801" spans="1:11" x14ac:dyDescent="0.2">
      <c r="A801" s="2">
        <v>43627</v>
      </c>
      <c r="B801">
        <v>2903.27001953125</v>
      </c>
      <c r="C801">
        <v>2910.610107421875</v>
      </c>
      <c r="D801">
        <v>2878.530029296875</v>
      </c>
      <c r="E801">
        <v>2885.719970703125</v>
      </c>
      <c r="F801">
        <v>2885.719970703125</v>
      </c>
      <c r="G801">
        <v>3551000000</v>
      </c>
      <c r="H801">
        <v>0</v>
      </c>
      <c r="I801">
        <v>0</v>
      </c>
      <c r="K801" s="11">
        <f t="shared" si="12"/>
        <v>-3.4988023558091275E-4</v>
      </c>
    </row>
    <row r="802" spans="1:11" x14ac:dyDescent="0.2">
      <c r="A802" s="2">
        <v>43628</v>
      </c>
      <c r="B802">
        <v>2882.72998046875</v>
      </c>
      <c r="C802">
        <v>2888.570068359375</v>
      </c>
      <c r="D802">
        <v>2874.679931640625</v>
      </c>
      <c r="E802">
        <v>2879.840087890625</v>
      </c>
      <c r="F802">
        <v>2879.840087890625</v>
      </c>
      <c r="G802">
        <v>3039870000</v>
      </c>
      <c r="H802">
        <v>0</v>
      </c>
      <c r="I802">
        <v>0</v>
      </c>
      <c r="K802" s="11">
        <f t="shared" si="12"/>
        <v>-2.0375791387226005E-3</v>
      </c>
    </row>
    <row r="803" spans="1:11" x14ac:dyDescent="0.2">
      <c r="A803" s="2">
        <v>43629</v>
      </c>
      <c r="B803">
        <v>2886.239990234375</v>
      </c>
      <c r="C803">
        <v>2895.239990234375</v>
      </c>
      <c r="D803">
        <v>2881.989990234375</v>
      </c>
      <c r="E803">
        <v>2891.639892578125</v>
      </c>
      <c r="F803">
        <v>2891.639892578125</v>
      </c>
      <c r="G803">
        <v>3100640000</v>
      </c>
      <c r="H803">
        <v>0</v>
      </c>
      <c r="I803">
        <v>0</v>
      </c>
      <c r="K803" s="11">
        <f t="shared" si="12"/>
        <v>4.0973819126681743E-3</v>
      </c>
    </row>
    <row r="804" spans="1:11" x14ac:dyDescent="0.2">
      <c r="A804" s="2">
        <v>43630</v>
      </c>
      <c r="B804">
        <v>2886.820068359375</v>
      </c>
      <c r="C804">
        <v>2894.449951171875</v>
      </c>
      <c r="D804">
        <v>2879.6201171875</v>
      </c>
      <c r="E804">
        <v>2886.97998046875</v>
      </c>
      <c r="F804">
        <v>2886.97998046875</v>
      </c>
      <c r="G804">
        <v>2992810000</v>
      </c>
      <c r="H804">
        <v>0</v>
      </c>
      <c r="I804">
        <v>0</v>
      </c>
      <c r="K804" s="11">
        <f t="shared" si="12"/>
        <v>-1.611511904139773E-3</v>
      </c>
    </row>
    <row r="805" spans="1:11" x14ac:dyDescent="0.2">
      <c r="A805" s="2">
        <v>43633</v>
      </c>
      <c r="B805">
        <v>2889.75</v>
      </c>
      <c r="C805">
        <v>2897.27001953125</v>
      </c>
      <c r="D805">
        <v>2887.300048828125</v>
      </c>
      <c r="E805">
        <v>2889.669921875</v>
      </c>
      <c r="F805">
        <v>2889.669921875</v>
      </c>
      <c r="G805">
        <v>2828400000</v>
      </c>
      <c r="H805">
        <v>0</v>
      </c>
      <c r="I805">
        <v>0</v>
      </c>
      <c r="K805" s="11">
        <f t="shared" si="12"/>
        <v>9.317492412306283E-4</v>
      </c>
    </row>
    <row r="806" spans="1:11" x14ac:dyDescent="0.2">
      <c r="A806" s="2">
        <v>43634</v>
      </c>
      <c r="B806">
        <v>2906.7099609375</v>
      </c>
      <c r="C806">
        <v>2930.7900390625</v>
      </c>
      <c r="D806">
        <v>2905.43994140625</v>
      </c>
      <c r="E806">
        <v>2917.75</v>
      </c>
      <c r="F806">
        <v>2917.75</v>
      </c>
      <c r="G806">
        <v>3441540000</v>
      </c>
      <c r="H806">
        <v>0</v>
      </c>
      <c r="I806">
        <v>0</v>
      </c>
      <c r="K806" s="11">
        <f t="shared" si="12"/>
        <v>9.7173998706330256E-3</v>
      </c>
    </row>
    <row r="807" spans="1:11" x14ac:dyDescent="0.2">
      <c r="A807" s="2">
        <v>43635</v>
      </c>
      <c r="B807">
        <v>2920.550048828125</v>
      </c>
      <c r="C807">
        <v>2931.739990234375</v>
      </c>
      <c r="D807">
        <v>2911.429931640625</v>
      </c>
      <c r="E807">
        <v>2926.4599609375</v>
      </c>
      <c r="F807">
        <v>2926.4599609375</v>
      </c>
      <c r="G807">
        <v>3300220000</v>
      </c>
      <c r="H807">
        <v>0</v>
      </c>
      <c r="I807">
        <v>0</v>
      </c>
      <c r="K807" s="11">
        <f t="shared" si="12"/>
        <v>2.9851635463971071E-3</v>
      </c>
    </row>
    <row r="808" spans="1:11" x14ac:dyDescent="0.2">
      <c r="A808" s="2">
        <v>43636</v>
      </c>
      <c r="B808">
        <v>2949.60009765625</v>
      </c>
      <c r="C808">
        <v>2958.06005859375</v>
      </c>
      <c r="D808">
        <v>2931.5</v>
      </c>
      <c r="E808">
        <v>2954.179931640625</v>
      </c>
      <c r="F808">
        <v>2954.179931640625</v>
      </c>
      <c r="G808">
        <v>3943060000</v>
      </c>
      <c r="H808">
        <v>0</v>
      </c>
      <c r="I808">
        <v>0</v>
      </c>
      <c r="K808" s="11">
        <f t="shared" si="12"/>
        <v>9.4721851906851562E-3</v>
      </c>
    </row>
    <row r="809" spans="1:11" x14ac:dyDescent="0.2">
      <c r="A809" s="2">
        <v>43637</v>
      </c>
      <c r="B809">
        <v>2952.7099609375</v>
      </c>
      <c r="C809">
        <v>2964.14990234375</v>
      </c>
      <c r="D809">
        <v>2946.8701171875</v>
      </c>
      <c r="E809">
        <v>2950.4599609375</v>
      </c>
      <c r="F809">
        <v>2950.4599609375</v>
      </c>
      <c r="G809">
        <v>5003540000</v>
      </c>
      <c r="H809">
        <v>0</v>
      </c>
      <c r="I809">
        <v>0</v>
      </c>
      <c r="K809" s="11">
        <f t="shared" si="12"/>
        <v>-1.2592227925193322E-3</v>
      </c>
    </row>
    <row r="810" spans="1:11" x14ac:dyDescent="0.2">
      <c r="A810" s="2">
        <v>43640</v>
      </c>
      <c r="B810">
        <v>2951.419921875</v>
      </c>
      <c r="C810">
        <v>2954.919921875</v>
      </c>
      <c r="D810">
        <v>2944.050048828125</v>
      </c>
      <c r="E810">
        <v>2945.35009765625</v>
      </c>
      <c r="F810">
        <v>2945.35009765625</v>
      </c>
      <c r="G810">
        <v>3136960000</v>
      </c>
      <c r="H810">
        <v>0</v>
      </c>
      <c r="I810">
        <v>0</v>
      </c>
      <c r="K810" s="11">
        <f t="shared" si="12"/>
        <v>-1.7318870104667816E-3</v>
      </c>
    </row>
    <row r="811" spans="1:11" x14ac:dyDescent="0.2">
      <c r="A811" s="2">
        <v>43641</v>
      </c>
      <c r="B811">
        <v>2945.780029296875</v>
      </c>
      <c r="C811">
        <v>2946.52001953125</v>
      </c>
      <c r="D811">
        <v>2916.010009765625</v>
      </c>
      <c r="E811">
        <v>2917.3798828125</v>
      </c>
      <c r="F811">
        <v>2917.3798828125</v>
      </c>
      <c r="G811">
        <v>3579430000</v>
      </c>
      <c r="H811">
        <v>0</v>
      </c>
      <c r="I811">
        <v>0</v>
      </c>
      <c r="K811" s="11">
        <f t="shared" si="12"/>
        <v>-9.4963973437341975E-3</v>
      </c>
    </row>
    <row r="812" spans="1:11" x14ac:dyDescent="0.2">
      <c r="A812" s="2">
        <v>43642</v>
      </c>
      <c r="B812">
        <v>2926.070068359375</v>
      </c>
      <c r="C812">
        <v>2932.590087890625</v>
      </c>
      <c r="D812">
        <v>2912.989990234375</v>
      </c>
      <c r="E812">
        <v>2913.780029296875</v>
      </c>
      <c r="F812">
        <v>2913.780029296875</v>
      </c>
      <c r="G812">
        <v>3511350000</v>
      </c>
      <c r="H812">
        <v>0</v>
      </c>
      <c r="I812">
        <v>0</v>
      </c>
      <c r="K812" s="11">
        <f t="shared" si="12"/>
        <v>-1.2339337557076835E-3</v>
      </c>
    </row>
    <row r="813" spans="1:11" x14ac:dyDescent="0.2">
      <c r="A813" s="2">
        <v>43643</v>
      </c>
      <c r="B813">
        <v>2919.659912109375</v>
      </c>
      <c r="C813">
        <v>2929.300048828125</v>
      </c>
      <c r="D813">
        <v>2918.570068359375</v>
      </c>
      <c r="E813">
        <v>2924.919921875</v>
      </c>
      <c r="F813">
        <v>2924.919921875</v>
      </c>
      <c r="G813">
        <v>3162500000</v>
      </c>
      <c r="H813">
        <v>0</v>
      </c>
      <c r="I813">
        <v>0</v>
      </c>
      <c r="K813" s="11">
        <f t="shared" si="12"/>
        <v>3.823175554131808E-3</v>
      </c>
    </row>
    <row r="814" spans="1:11" x14ac:dyDescent="0.2">
      <c r="A814" s="2">
        <v>43644</v>
      </c>
      <c r="B814">
        <v>2932.93994140625</v>
      </c>
      <c r="C814">
        <v>2943.97998046875</v>
      </c>
      <c r="D814">
        <v>2929.050048828125</v>
      </c>
      <c r="E814">
        <v>2941.760009765625</v>
      </c>
      <c r="F814">
        <v>2941.760009765625</v>
      </c>
      <c r="G814">
        <v>5422650000</v>
      </c>
      <c r="H814">
        <v>0</v>
      </c>
      <c r="I814">
        <v>0</v>
      </c>
      <c r="K814" s="11">
        <f t="shared" si="12"/>
        <v>5.7574526279098315E-3</v>
      </c>
    </row>
    <row r="815" spans="1:11" x14ac:dyDescent="0.2">
      <c r="A815" s="2">
        <v>43647</v>
      </c>
      <c r="B815">
        <v>2971.409912109375</v>
      </c>
      <c r="C815">
        <v>2977.929931640625</v>
      </c>
      <c r="D815">
        <v>2952.219970703125</v>
      </c>
      <c r="E815">
        <v>2964.330078125</v>
      </c>
      <c r="F815">
        <v>2964.330078125</v>
      </c>
      <c r="G815">
        <v>3524860000</v>
      </c>
      <c r="H815">
        <v>0</v>
      </c>
      <c r="I815">
        <v>0</v>
      </c>
      <c r="K815" s="11">
        <f t="shared" si="12"/>
        <v>7.672301032188189E-3</v>
      </c>
    </row>
    <row r="816" spans="1:11" x14ac:dyDescent="0.2">
      <c r="A816" s="2">
        <v>43648</v>
      </c>
      <c r="B816">
        <v>2964.659912109375</v>
      </c>
      <c r="C816">
        <v>2973.2099609375</v>
      </c>
      <c r="D816">
        <v>2955.919921875</v>
      </c>
      <c r="E816">
        <v>2973.010009765625</v>
      </c>
      <c r="F816">
        <v>2973.010009765625</v>
      </c>
      <c r="G816">
        <v>3224490000</v>
      </c>
      <c r="H816">
        <v>0</v>
      </c>
      <c r="I816">
        <v>0</v>
      </c>
      <c r="K816" s="11">
        <f t="shared" si="12"/>
        <v>2.9281258874231941E-3</v>
      </c>
    </row>
    <row r="817" spans="1:11" x14ac:dyDescent="0.2">
      <c r="A817" s="2">
        <v>43649</v>
      </c>
      <c r="B817">
        <v>2978.080078125</v>
      </c>
      <c r="C817">
        <v>2995.840087890625</v>
      </c>
      <c r="D817">
        <v>2977.9599609375</v>
      </c>
      <c r="E817">
        <v>2995.820068359375</v>
      </c>
      <c r="F817">
        <v>2995.820068359375</v>
      </c>
      <c r="G817">
        <v>1963570000</v>
      </c>
      <c r="H817">
        <v>0</v>
      </c>
      <c r="I817">
        <v>0</v>
      </c>
      <c r="K817" s="11">
        <f t="shared" si="12"/>
        <v>7.6723786730701349E-3</v>
      </c>
    </row>
    <row r="818" spans="1:11" x14ac:dyDescent="0.2">
      <c r="A818" s="2">
        <v>43651</v>
      </c>
      <c r="B818">
        <v>2984.25</v>
      </c>
      <c r="C818">
        <v>2994.030029296875</v>
      </c>
      <c r="D818">
        <v>2967.969970703125</v>
      </c>
      <c r="E818">
        <v>2990.409912109375</v>
      </c>
      <c r="F818">
        <v>2990.409912109375</v>
      </c>
      <c r="G818">
        <v>2434680000</v>
      </c>
      <c r="H818">
        <v>0</v>
      </c>
      <c r="I818">
        <v>0</v>
      </c>
      <c r="K818" s="11">
        <f t="shared" si="12"/>
        <v>-1.8059015984103199E-3</v>
      </c>
    </row>
    <row r="819" spans="1:11" x14ac:dyDescent="0.2">
      <c r="A819" s="2">
        <v>43654</v>
      </c>
      <c r="B819">
        <v>2979.77001953125</v>
      </c>
      <c r="C819">
        <v>2980.760009765625</v>
      </c>
      <c r="D819">
        <v>2970.090087890625</v>
      </c>
      <c r="E819">
        <v>2975.949951171875</v>
      </c>
      <c r="F819">
        <v>2975.949951171875</v>
      </c>
      <c r="G819">
        <v>2922360000</v>
      </c>
      <c r="H819">
        <v>0</v>
      </c>
      <c r="I819">
        <v>0</v>
      </c>
      <c r="K819" s="11">
        <f t="shared" si="12"/>
        <v>-4.8354444248415174E-3</v>
      </c>
    </row>
    <row r="820" spans="1:11" x14ac:dyDescent="0.2">
      <c r="A820" s="2">
        <v>43655</v>
      </c>
      <c r="B820">
        <v>2965.52001953125</v>
      </c>
      <c r="C820">
        <v>2981.89990234375</v>
      </c>
      <c r="D820">
        <v>2963.43994140625</v>
      </c>
      <c r="E820">
        <v>2979.6298828125</v>
      </c>
      <c r="F820">
        <v>2979.6298828125</v>
      </c>
      <c r="G820">
        <v>3033330000</v>
      </c>
      <c r="H820">
        <v>0</v>
      </c>
      <c r="I820">
        <v>0</v>
      </c>
      <c r="K820" s="11">
        <f t="shared" si="12"/>
        <v>1.2365569653400854E-3</v>
      </c>
    </row>
    <row r="821" spans="1:11" x14ac:dyDescent="0.2">
      <c r="A821" s="2">
        <v>43656</v>
      </c>
      <c r="B821">
        <v>2989.300048828125</v>
      </c>
      <c r="C821">
        <v>3002.97998046875</v>
      </c>
      <c r="D821">
        <v>2984.6201171875</v>
      </c>
      <c r="E821">
        <v>2993.070068359375</v>
      </c>
      <c r="F821">
        <v>2993.070068359375</v>
      </c>
      <c r="G821">
        <v>3157800000</v>
      </c>
      <c r="H821">
        <v>0</v>
      </c>
      <c r="I821">
        <v>0</v>
      </c>
      <c r="K821" s="11">
        <f t="shared" si="12"/>
        <v>4.5106896075925995E-3</v>
      </c>
    </row>
    <row r="822" spans="1:11" x14ac:dyDescent="0.2">
      <c r="A822" s="2">
        <v>43657</v>
      </c>
      <c r="B822">
        <v>2999.6201171875</v>
      </c>
      <c r="C822">
        <v>3002.330078125</v>
      </c>
      <c r="D822">
        <v>2988.800048828125</v>
      </c>
      <c r="E822">
        <v>2999.909912109375</v>
      </c>
      <c r="F822">
        <v>2999.909912109375</v>
      </c>
      <c r="G822">
        <v>3155710000</v>
      </c>
      <c r="H822">
        <v>0</v>
      </c>
      <c r="I822">
        <v>0</v>
      </c>
      <c r="K822" s="11">
        <f t="shared" si="12"/>
        <v>2.2852267383599578E-3</v>
      </c>
    </row>
    <row r="823" spans="1:11" x14ac:dyDescent="0.2">
      <c r="A823" s="2">
        <v>43658</v>
      </c>
      <c r="B823">
        <v>3003.360107421875</v>
      </c>
      <c r="C823">
        <v>3013.919921875</v>
      </c>
      <c r="D823">
        <v>3001.8701171875</v>
      </c>
      <c r="E823">
        <v>3013.77001953125</v>
      </c>
      <c r="F823">
        <v>3013.77001953125</v>
      </c>
      <c r="G823">
        <v>2984140000</v>
      </c>
      <c r="H823">
        <v>0</v>
      </c>
      <c r="I823">
        <v>0</v>
      </c>
      <c r="K823" s="11">
        <f t="shared" si="12"/>
        <v>4.620174547884881E-3</v>
      </c>
    </row>
    <row r="824" spans="1:11" x14ac:dyDescent="0.2">
      <c r="A824" s="2">
        <v>43661</v>
      </c>
      <c r="B824">
        <v>3017.800048828125</v>
      </c>
      <c r="C824">
        <v>3017.800048828125</v>
      </c>
      <c r="D824">
        <v>3008.77001953125</v>
      </c>
      <c r="E824">
        <v>3014.300048828125</v>
      </c>
      <c r="F824">
        <v>3014.300048828125</v>
      </c>
      <c r="G824">
        <v>2876100000</v>
      </c>
      <c r="H824">
        <v>0</v>
      </c>
      <c r="I824">
        <v>0</v>
      </c>
      <c r="K824" s="11">
        <f t="shared" si="12"/>
        <v>1.7586919155743175E-4</v>
      </c>
    </row>
    <row r="825" spans="1:11" x14ac:dyDescent="0.2">
      <c r="A825" s="2">
        <v>43662</v>
      </c>
      <c r="B825">
        <v>3012.1298828125</v>
      </c>
      <c r="C825">
        <v>3015.02001953125</v>
      </c>
      <c r="D825">
        <v>3001.14990234375</v>
      </c>
      <c r="E825">
        <v>3004.0400390625</v>
      </c>
      <c r="F825">
        <v>3004.0400390625</v>
      </c>
      <c r="G825">
        <v>3297030000</v>
      </c>
      <c r="H825">
        <v>0</v>
      </c>
      <c r="I825">
        <v>0</v>
      </c>
      <c r="K825" s="11">
        <f t="shared" si="12"/>
        <v>-3.4037785221858741E-3</v>
      </c>
    </row>
    <row r="826" spans="1:11" x14ac:dyDescent="0.2">
      <c r="A826" s="2">
        <v>43663</v>
      </c>
      <c r="B826">
        <v>3005.10009765625</v>
      </c>
      <c r="C826">
        <v>3005.260009765625</v>
      </c>
      <c r="D826">
        <v>2984.25</v>
      </c>
      <c r="E826">
        <v>2984.419921875</v>
      </c>
      <c r="F826">
        <v>2984.419921875</v>
      </c>
      <c r="G826">
        <v>3185650000</v>
      </c>
      <c r="H826">
        <v>0</v>
      </c>
      <c r="I826">
        <v>0</v>
      </c>
      <c r="K826" s="11">
        <f t="shared" si="12"/>
        <v>-6.5312435694508952E-3</v>
      </c>
    </row>
    <row r="827" spans="1:11" x14ac:dyDescent="0.2">
      <c r="A827" s="2">
        <v>43664</v>
      </c>
      <c r="B827">
        <v>2978.8701171875</v>
      </c>
      <c r="C827">
        <v>2998.280029296875</v>
      </c>
      <c r="D827">
        <v>2973.090087890625</v>
      </c>
      <c r="E827">
        <v>2995.110107421875</v>
      </c>
      <c r="F827">
        <v>2995.110107421875</v>
      </c>
      <c r="G827">
        <v>3369820000</v>
      </c>
      <c r="H827">
        <v>0</v>
      </c>
      <c r="I827">
        <v>0</v>
      </c>
      <c r="K827" s="11">
        <f t="shared" si="12"/>
        <v>3.581997784064761E-3</v>
      </c>
    </row>
    <row r="828" spans="1:11" x14ac:dyDescent="0.2">
      <c r="A828" s="2">
        <v>43665</v>
      </c>
      <c r="B828">
        <v>3004.260009765625</v>
      </c>
      <c r="C828">
        <v>3006.02001953125</v>
      </c>
      <c r="D828">
        <v>2975.860107421875</v>
      </c>
      <c r="E828">
        <v>2976.610107421875</v>
      </c>
      <c r="F828">
        <v>2976.610107421875</v>
      </c>
      <c r="G828">
        <v>3285890000</v>
      </c>
      <c r="H828">
        <v>0</v>
      </c>
      <c r="I828">
        <v>0</v>
      </c>
      <c r="K828" s="11">
        <f t="shared" si="12"/>
        <v>-6.1767345227666803E-3</v>
      </c>
    </row>
    <row r="829" spans="1:11" x14ac:dyDescent="0.2">
      <c r="A829" s="2">
        <v>43668</v>
      </c>
      <c r="B829">
        <v>2981.929931640625</v>
      </c>
      <c r="C829">
        <v>2990.7099609375</v>
      </c>
      <c r="D829">
        <v>2976.64990234375</v>
      </c>
      <c r="E829">
        <v>2985.030029296875</v>
      </c>
      <c r="F829">
        <v>2985.030029296875</v>
      </c>
      <c r="G829">
        <v>3016200000</v>
      </c>
      <c r="H829">
        <v>0</v>
      </c>
      <c r="I829">
        <v>0</v>
      </c>
      <c r="K829" s="11">
        <f t="shared" si="12"/>
        <v>2.828694915066654E-3</v>
      </c>
    </row>
    <row r="830" spans="1:11" x14ac:dyDescent="0.2">
      <c r="A830" s="2">
        <v>43669</v>
      </c>
      <c r="B830">
        <v>2994.739990234375</v>
      </c>
      <c r="C830">
        <v>3005.89990234375</v>
      </c>
      <c r="D830">
        <v>2988.56005859375</v>
      </c>
      <c r="E830">
        <v>3005.469970703125</v>
      </c>
      <c r="F830">
        <v>3005.469970703125</v>
      </c>
      <c r="G830">
        <v>3333810000</v>
      </c>
      <c r="H830">
        <v>0</v>
      </c>
      <c r="I830">
        <v>0</v>
      </c>
      <c r="K830" s="11">
        <f t="shared" si="12"/>
        <v>6.8474826737554562E-3</v>
      </c>
    </row>
    <row r="831" spans="1:11" x14ac:dyDescent="0.2">
      <c r="A831" s="2">
        <v>43670</v>
      </c>
      <c r="B831">
        <v>2998.77001953125</v>
      </c>
      <c r="C831">
        <v>3019.590087890625</v>
      </c>
      <c r="D831">
        <v>2996.820068359375</v>
      </c>
      <c r="E831">
        <v>3019.56005859375</v>
      </c>
      <c r="F831">
        <v>3019.56005859375</v>
      </c>
      <c r="G831">
        <v>3433220000</v>
      </c>
      <c r="H831">
        <v>0</v>
      </c>
      <c r="I831">
        <v>0</v>
      </c>
      <c r="K831" s="11">
        <f t="shared" si="12"/>
        <v>4.688147952890187E-3</v>
      </c>
    </row>
    <row r="832" spans="1:11" x14ac:dyDescent="0.2">
      <c r="A832" s="2">
        <v>43671</v>
      </c>
      <c r="B832">
        <v>3016.260009765625</v>
      </c>
      <c r="C832">
        <v>3016.31005859375</v>
      </c>
      <c r="D832">
        <v>2997.239990234375</v>
      </c>
      <c r="E832">
        <v>3003.669921875</v>
      </c>
      <c r="F832">
        <v>3003.669921875</v>
      </c>
      <c r="G832">
        <v>3657050000</v>
      </c>
      <c r="H832">
        <v>0</v>
      </c>
      <c r="I832">
        <v>0</v>
      </c>
      <c r="K832" s="11">
        <f t="shared" si="12"/>
        <v>-5.2624012804535214E-3</v>
      </c>
    </row>
    <row r="833" spans="1:11" x14ac:dyDescent="0.2">
      <c r="A833" s="2">
        <v>43672</v>
      </c>
      <c r="B833">
        <v>3013.25</v>
      </c>
      <c r="C833">
        <v>3027.97998046875</v>
      </c>
      <c r="D833">
        <v>3012.590087890625</v>
      </c>
      <c r="E833">
        <v>3025.860107421875</v>
      </c>
      <c r="F833">
        <v>3025.860107421875</v>
      </c>
      <c r="G833">
        <v>3260170000</v>
      </c>
      <c r="H833">
        <v>0</v>
      </c>
      <c r="I833">
        <v>0</v>
      </c>
      <c r="K833" s="11">
        <f t="shared" si="12"/>
        <v>7.3876910992347611E-3</v>
      </c>
    </row>
    <row r="834" spans="1:11" x14ac:dyDescent="0.2">
      <c r="A834" s="2">
        <v>43675</v>
      </c>
      <c r="B834">
        <v>3024.469970703125</v>
      </c>
      <c r="C834">
        <v>3025.610107421875</v>
      </c>
      <c r="D834">
        <v>3014.300048828125</v>
      </c>
      <c r="E834">
        <v>3020.969970703125</v>
      </c>
      <c r="F834">
        <v>3020.969970703125</v>
      </c>
      <c r="G834">
        <v>3224490000</v>
      </c>
      <c r="H834">
        <v>0</v>
      </c>
      <c r="I834">
        <v>0</v>
      </c>
      <c r="K834" s="11">
        <f t="shared" si="12"/>
        <v>-1.6161146071345112E-3</v>
      </c>
    </row>
    <row r="835" spans="1:11" x14ac:dyDescent="0.2">
      <c r="A835" s="2">
        <v>43676</v>
      </c>
      <c r="B835">
        <v>3007.659912109375</v>
      </c>
      <c r="C835">
        <v>3017.18994140625</v>
      </c>
      <c r="D835">
        <v>3000.93994140625</v>
      </c>
      <c r="E835">
        <v>3013.179931640625</v>
      </c>
      <c r="F835">
        <v>3013.179931640625</v>
      </c>
      <c r="G835">
        <v>3632770000</v>
      </c>
      <c r="H835">
        <v>0</v>
      </c>
      <c r="I835">
        <v>0</v>
      </c>
      <c r="K835" s="11">
        <f t="shared" si="12"/>
        <v>-2.5786549148275606E-3</v>
      </c>
    </row>
    <row r="836" spans="1:11" x14ac:dyDescent="0.2">
      <c r="A836" s="2">
        <v>43677</v>
      </c>
      <c r="B836">
        <v>3016.219970703125</v>
      </c>
      <c r="C836">
        <v>3017.39990234375</v>
      </c>
      <c r="D836">
        <v>2958.080078125</v>
      </c>
      <c r="E836">
        <v>2980.3798828125</v>
      </c>
      <c r="F836">
        <v>2980.3798828125</v>
      </c>
      <c r="G836">
        <v>4626330000</v>
      </c>
      <c r="H836">
        <v>0</v>
      </c>
      <c r="I836">
        <v>0</v>
      </c>
      <c r="K836" s="11">
        <f t="shared" ref="K836:K899" si="13">(E836/E835)-1</f>
        <v>-1.0885526112695776E-2</v>
      </c>
    </row>
    <row r="837" spans="1:11" x14ac:dyDescent="0.2">
      <c r="A837" s="2">
        <v>43678</v>
      </c>
      <c r="B837">
        <v>2980.320068359375</v>
      </c>
      <c r="C837">
        <v>3013.590087890625</v>
      </c>
      <c r="D837">
        <v>2945.22998046875</v>
      </c>
      <c r="E837">
        <v>2953.56005859375</v>
      </c>
      <c r="F837">
        <v>2953.56005859375</v>
      </c>
      <c r="G837">
        <v>4793810000</v>
      </c>
      <c r="H837">
        <v>0</v>
      </c>
      <c r="I837">
        <v>0</v>
      </c>
      <c r="K837" s="11">
        <f t="shared" si="13"/>
        <v>-8.9987938696730607E-3</v>
      </c>
    </row>
    <row r="838" spans="1:11" x14ac:dyDescent="0.2">
      <c r="A838" s="2">
        <v>43679</v>
      </c>
      <c r="B838">
        <v>2943.89990234375</v>
      </c>
      <c r="C838">
        <v>2945.5</v>
      </c>
      <c r="D838">
        <v>2914.110107421875</v>
      </c>
      <c r="E838">
        <v>2932.050048828125</v>
      </c>
      <c r="F838">
        <v>2932.050048828125</v>
      </c>
      <c r="G838">
        <v>3882810000</v>
      </c>
      <c r="H838">
        <v>0</v>
      </c>
      <c r="I838">
        <v>0</v>
      </c>
      <c r="K838" s="11">
        <f t="shared" si="13"/>
        <v>-7.2827399270378734E-3</v>
      </c>
    </row>
    <row r="839" spans="1:11" x14ac:dyDescent="0.2">
      <c r="A839" s="2">
        <v>43682</v>
      </c>
      <c r="B839">
        <v>2898.070068359375</v>
      </c>
      <c r="C839">
        <v>2898.070068359375</v>
      </c>
      <c r="D839">
        <v>2822.1201171875</v>
      </c>
      <c r="E839">
        <v>2844.739990234375</v>
      </c>
      <c r="F839">
        <v>2844.739990234375</v>
      </c>
      <c r="G839">
        <v>4542850000</v>
      </c>
      <c r="H839">
        <v>0</v>
      </c>
      <c r="I839">
        <v>0</v>
      </c>
      <c r="K839" s="11">
        <f t="shared" si="13"/>
        <v>-2.97778200029859E-2</v>
      </c>
    </row>
    <row r="840" spans="1:11" x14ac:dyDescent="0.2">
      <c r="A840" s="2">
        <v>43683</v>
      </c>
      <c r="B840">
        <v>2861.179931640625</v>
      </c>
      <c r="C840">
        <v>2884.39990234375</v>
      </c>
      <c r="D840">
        <v>2847.419921875</v>
      </c>
      <c r="E840">
        <v>2881.77001953125</v>
      </c>
      <c r="F840">
        <v>2881.77001953125</v>
      </c>
      <c r="G840">
        <v>4156640000</v>
      </c>
      <c r="H840">
        <v>0</v>
      </c>
      <c r="I840">
        <v>0</v>
      </c>
      <c r="K840" s="11">
        <f t="shared" si="13"/>
        <v>1.3017017169932643E-2</v>
      </c>
    </row>
    <row r="841" spans="1:11" x14ac:dyDescent="0.2">
      <c r="A841" s="2">
        <v>43684</v>
      </c>
      <c r="B841">
        <v>2858.64990234375</v>
      </c>
      <c r="C841">
        <v>2892.169921875</v>
      </c>
      <c r="D841">
        <v>2825.7099609375</v>
      </c>
      <c r="E841">
        <v>2883.97998046875</v>
      </c>
      <c r="F841">
        <v>2883.97998046875</v>
      </c>
      <c r="G841">
        <v>4512720000</v>
      </c>
      <c r="H841">
        <v>0</v>
      </c>
      <c r="I841">
        <v>0</v>
      </c>
      <c r="K841" s="11">
        <f t="shared" si="13"/>
        <v>7.6687623319071641E-4</v>
      </c>
    </row>
    <row r="842" spans="1:11" x14ac:dyDescent="0.2">
      <c r="A842" s="2">
        <v>43685</v>
      </c>
      <c r="B842">
        <v>2896.2099609375</v>
      </c>
      <c r="C842">
        <v>2938.719970703125</v>
      </c>
      <c r="D842">
        <v>2894.469970703125</v>
      </c>
      <c r="E842">
        <v>2938.090087890625</v>
      </c>
      <c r="F842">
        <v>2938.090087890625</v>
      </c>
      <c r="G842">
        <v>4118530000</v>
      </c>
      <c r="H842">
        <v>0</v>
      </c>
      <c r="I842">
        <v>0</v>
      </c>
      <c r="K842" s="11">
        <f t="shared" si="13"/>
        <v>1.8762303409984193E-2</v>
      </c>
    </row>
    <row r="843" spans="1:11" x14ac:dyDescent="0.2">
      <c r="A843" s="2">
        <v>43686</v>
      </c>
      <c r="B843">
        <v>2930.510009765625</v>
      </c>
      <c r="C843">
        <v>2935.75</v>
      </c>
      <c r="D843">
        <v>2900.14990234375</v>
      </c>
      <c r="E843">
        <v>2918.64990234375</v>
      </c>
      <c r="F843">
        <v>2918.64990234375</v>
      </c>
      <c r="G843">
        <v>3356850000</v>
      </c>
      <c r="H843">
        <v>0</v>
      </c>
      <c r="I843">
        <v>0</v>
      </c>
      <c r="K843" s="11">
        <f t="shared" si="13"/>
        <v>-6.6166063549235599E-3</v>
      </c>
    </row>
    <row r="844" spans="1:11" x14ac:dyDescent="0.2">
      <c r="A844" s="2">
        <v>43689</v>
      </c>
      <c r="B844">
        <v>2907.070068359375</v>
      </c>
      <c r="C844">
        <v>2907.580078125</v>
      </c>
      <c r="D844">
        <v>2873.139892578125</v>
      </c>
      <c r="E844">
        <v>2882.699951171875</v>
      </c>
      <c r="F844">
        <v>2882.699951171875</v>
      </c>
      <c r="G844">
        <v>3328570000</v>
      </c>
      <c r="H844">
        <v>0</v>
      </c>
      <c r="I844">
        <v>0</v>
      </c>
      <c r="K844" s="11">
        <f t="shared" si="13"/>
        <v>-1.2317322177972212E-2</v>
      </c>
    </row>
    <row r="845" spans="1:11" x14ac:dyDescent="0.2">
      <c r="A845" s="2">
        <v>43690</v>
      </c>
      <c r="B845">
        <v>2880.719970703125</v>
      </c>
      <c r="C845">
        <v>2943.31005859375</v>
      </c>
      <c r="D845">
        <v>2877.050048828125</v>
      </c>
      <c r="E845">
        <v>2926.320068359375</v>
      </c>
      <c r="F845">
        <v>2926.320068359375</v>
      </c>
      <c r="G845">
        <v>3857190000</v>
      </c>
      <c r="H845">
        <v>0</v>
      </c>
      <c r="I845">
        <v>0</v>
      </c>
      <c r="K845" s="11">
        <f t="shared" si="13"/>
        <v>1.5131688322181258E-2</v>
      </c>
    </row>
    <row r="846" spans="1:11" x14ac:dyDescent="0.2">
      <c r="A846" s="2">
        <v>43691</v>
      </c>
      <c r="B846">
        <v>2894.14990234375</v>
      </c>
      <c r="C846">
        <v>2894.14990234375</v>
      </c>
      <c r="D846">
        <v>2839.639892578125</v>
      </c>
      <c r="E846">
        <v>2840.60009765625</v>
      </c>
      <c r="F846">
        <v>2840.60009765625</v>
      </c>
      <c r="G846">
        <v>4325150000</v>
      </c>
      <c r="H846">
        <v>0</v>
      </c>
      <c r="I846">
        <v>0</v>
      </c>
      <c r="K846" s="11">
        <f t="shared" si="13"/>
        <v>-2.9292752911742603E-2</v>
      </c>
    </row>
    <row r="847" spans="1:11" x14ac:dyDescent="0.2">
      <c r="A847" s="2">
        <v>43692</v>
      </c>
      <c r="B847">
        <v>2846.199951171875</v>
      </c>
      <c r="C847">
        <v>2856.669921875</v>
      </c>
      <c r="D847">
        <v>2825.510009765625</v>
      </c>
      <c r="E847">
        <v>2847.60009765625</v>
      </c>
      <c r="F847">
        <v>2847.60009765625</v>
      </c>
      <c r="G847">
        <v>4041720000</v>
      </c>
      <c r="H847">
        <v>0</v>
      </c>
      <c r="I847">
        <v>0</v>
      </c>
      <c r="K847" s="11">
        <f t="shared" si="13"/>
        <v>2.4642680276520945E-3</v>
      </c>
    </row>
    <row r="848" spans="1:11" x14ac:dyDescent="0.2">
      <c r="A848" s="2">
        <v>43693</v>
      </c>
      <c r="B848">
        <v>2864.739990234375</v>
      </c>
      <c r="C848">
        <v>2893.6298828125</v>
      </c>
      <c r="D848">
        <v>2864.739990234375</v>
      </c>
      <c r="E848">
        <v>2888.679931640625</v>
      </c>
      <c r="F848">
        <v>2888.679931640625</v>
      </c>
      <c r="G848">
        <v>3524080000</v>
      </c>
      <c r="H848">
        <v>0</v>
      </c>
      <c r="I848">
        <v>0</v>
      </c>
      <c r="K848" s="11">
        <f t="shared" si="13"/>
        <v>1.4426124657807904E-2</v>
      </c>
    </row>
    <row r="849" spans="1:11" x14ac:dyDescent="0.2">
      <c r="A849" s="2">
        <v>43696</v>
      </c>
      <c r="B849">
        <v>2913.47998046875</v>
      </c>
      <c r="C849">
        <v>2931</v>
      </c>
      <c r="D849">
        <v>2913.47998046875</v>
      </c>
      <c r="E849">
        <v>2923.64990234375</v>
      </c>
      <c r="F849">
        <v>2923.64990234375</v>
      </c>
      <c r="G849">
        <v>3221050000</v>
      </c>
      <c r="H849">
        <v>0</v>
      </c>
      <c r="I849">
        <v>0</v>
      </c>
      <c r="K849" s="11">
        <f t="shared" si="13"/>
        <v>1.2105865492430645E-2</v>
      </c>
    </row>
    <row r="850" spans="1:11" x14ac:dyDescent="0.2">
      <c r="A850" s="2">
        <v>43697</v>
      </c>
      <c r="B850">
        <v>2919.010009765625</v>
      </c>
      <c r="C850">
        <v>2923.6298828125</v>
      </c>
      <c r="D850">
        <v>2899.60009765625</v>
      </c>
      <c r="E850">
        <v>2900.510009765625</v>
      </c>
      <c r="F850">
        <v>2900.510009765625</v>
      </c>
      <c r="G850">
        <v>3067710000</v>
      </c>
      <c r="H850">
        <v>0</v>
      </c>
      <c r="I850">
        <v>0</v>
      </c>
      <c r="K850" s="11">
        <f t="shared" si="13"/>
        <v>-7.9147276011313217E-3</v>
      </c>
    </row>
    <row r="851" spans="1:11" x14ac:dyDescent="0.2">
      <c r="A851" s="2">
        <v>43698</v>
      </c>
      <c r="B851">
        <v>2922.0400390625</v>
      </c>
      <c r="C851">
        <v>2928.72998046875</v>
      </c>
      <c r="D851">
        <v>2917.909912109375</v>
      </c>
      <c r="E851">
        <v>2924.429931640625</v>
      </c>
      <c r="F851">
        <v>2924.429931640625</v>
      </c>
      <c r="G851">
        <v>3016540000</v>
      </c>
      <c r="H851">
        <v>0</v>
      </c>
      <c r="I851">
        <v>0</v>
      </c>
      <c r="K851" s="11">
        <f t="shared" si="13"/>
        <v>8.2467985955796408E-3</v>
      </c>
    </row>
    <row r="852" spans="1:11" x14ac:dyDescent="0.2">
      <c r="A852" s="2">
        <v>43699</v>
      </c>
      <c r="B852">
        <v>2930.93994140625</v>
      </c>
      <c r="C852">
        <v>2939.080078125</v>
      </c>
      <c r="D852">
        <v>2904.510009765625</v>
      </c>
      <c r="E852">
        <v>2922.949951171875</v>
      </c>
      <c r="F852">
        <v>2922.949951171875</v>
      </c>
      <c r="G852">
        <v>2893660000</v>
      </c>
      <c r="H852">
        <v>0</v>
      </c>
      <c r="I852">
        <v>0</v>
      </c>
      <c r="K852" s="11">
        <f t="shared" si="13"/>
        <v>-5.0607486017617553E-4</v>
      </c>
    </row>
    <row r="853" spans="1:11" x14ac:dyDescent="0.2">
      <c r="A853" s="2">
        <v>43700</v>
      </c>
      <c r="B853">
        <v>2911.070068359375</v>
      </c>
      <c r="C853">
        <v>2927.010009765625</v>
      </c>
      <c r="D853">
        <v>2834.969970703125</v>
      </c>
      <c r="E853">
        <v>2847.110107421875</v>
      </c>
      <c r="F853">
        <v>2847.110107421875</v>
      </c>
      <c r="G853">
        <v>3942520000</v>
      </c>
      <c r="H853">
        <v>0</v>
      </c>
      <c r="I853">
        <v>0</v>
      </c>
      <c r="K853" s="11">
        <f t="shared" si="13"/>
        <v>-2.5946336754618105E-2</v>
      </c>
    </row>
    <row r="854" spans="1:11" x14ac:dyDescent="0.2">
      <c r="A854" s="2">
        <v>43703</v>
      </c>
      <c r="B854">
        <v>2866.699951171875</v>
      </c>
      <c r="C854">
        <v>2879.27001953125</v>
      </c>
      <c r="D854">
        <v>2856</v>
      </c>
      <c r="E854">
        <v>2878.3798828125</v>
      </c>
      <c r="F854">
        <v>2878.3798828125</v>
      </c>
      <c r="G854">
        <v>2859790000</v>
      </c>
      <c r="H854">
        <v>0</v>
      </c>
      <c r="I854">
        <v>0</v>
      </c>
      <c r="K854" s="11">
        <f t="shared" si="13"/>
        <v>1.0982987735216332E-2</v>
      </c>
    </row>
    <row r="855" spans="1:11" x14ac:dyDescent="0.2">
      <c r="A855" s="2">
        <v>43704</v>
      </c>
      <c r="B855">
        <v>2893.139892578125</v>
      </c>
      <c r="C855">
        <v>2898.7900390625</v>
      </c>
      <c r="D855">
        <v>2860.590087890625</v>
      </c>
      <c r="E855">
        <v>2869.159912109375</v>
      </c>
      <c r="F855">
        <v>2869.159912109375</v>
      </c>
      <c r="G855">
        <v>3537490000</v>
      </c>
      <c r="H855">
        <v>0</v>
      </c>
      <c r="I855">
        <v>0</v>
      </c>
      <c r="K855" s="11">
        <f t="shared" si="13"/>
        <v>-3.2031806358082671E-3</v>
      </c>
    </row>
    <row r="856" spans="1:11" x14ac:dyDescent="0.2">
      <c r="A856" s="2">
        <v>43705</v>
      </c>
      <c r="B856">
        <v>2861.280029296875</v>
      </c>
      <c r="C856">
        <v>2890.030029296875</v>
      </c>
      <c r="D856">
        <v>2853.050048828125</v>
      </c>
      <c r="E856">
        <v>2887.93994140625</v>
      </c>
      <c r="F856">
        <v>2887.93994140625</v>
      </c>
      <c r="G856">
        <v>3102480000</v>
      </c>
      <c r="H856">
        <v>0</v>
      </c>
      <c r="I856">
        <v>0</v>
      </c>
      <c r="K856" s="11">
        <f t="shared" si="13"/>
        <v>6.5454801656796846E-3</v>
      </c>
    </row>
    <row r="857" spans="1:11" x14ac:dyDescent="0.2">
      <c r="A857" s="2">
        <v>43706</v>
      </c>
      <c r="B857">
        <v>2910.3701171875</v>
      </c>
      <c r="C857">
        <v>2930.5</v>
      </c>
      <c r="D857">
        <v>2905.669921875</v>
      </c>
      <c r="E857">
        <v>2924.580078125</v>
      </c>
      <c r="F857">
        <v>2924.580078125</v>
      </c>
      <c r="G857">
        <v>3177150000</v>
      </c>
      <c r="H857">
        <v>0</v>
      </c>
      <c r="I857">
        <v>0</v>
      </c>
      <c r="K857" s="11">
        <f t="shared" si="13"/>
        <v>1.2687291793508804E-2</v>
      </c>
    </row>
    <row r="858" spans="1:11" x14ac:dyDescent="0.2">
      <c r="A858" s="2">
        <v>43707</v>
      </c>
      <c r="B858">
        <v>2937.090087890625</v>
      </c>
      <c r="C858">
        <v>2940.429931640625</v>
      </c>
      <c r="D858">
        <v>2913.320068359375</v>
      </c>
      <c r="E858">
        <v>2926.4599609375</v>
      </c>
      <c r="F858">
        <v>2926.4599609375</v>
      </c>
      <c r="G858">
        <v>3009910000</v>
      </c>
      <c r="H858">
        <v>0</v>
      </c>
      <c r="I858">
        <v>0</v>
      </c>
      <c r="K858" s="11">
        <f t="shared" si="13"/>
        <v>6.4278725912170209E-4</v>
      </c>
    </row>
    <row r="859" spans="1:11" x14ac:dyDescent="0.2">
      <c r="A859" s="2">
        <v>43711</v>
      </c>
      <c r="B859">
        <v>2909.010009765625</v>
      </c>
      <c r="C859">
        <v>2914.389892578125</v>
      </c>
      <c r="D859">
        <v>2891.85009765625</v>
      </c>
      <c r="E859">
        <v>2906.27001953125</v>
      </c>
      <c r="F859">
        <v>2906.27001953125</v>
      </c>
      <c r="G859">
        <v>3427830000</v>
      </c>
      <c r="H859">
        <v>0</v>
      </c>
      <c r="I859">
        <v>0</v>
      </c>
      <c r="K859" s="11">
        <f t="shared" si="13"/>
        <v>-6.8991005090608404E-3</v>
      </c>
    </row>
    <row r="860" spans="1:11" x14ac:dyDescent="0.2">
      <c r="A860" s="2">
        <v>43712</v>
      </c>
      <c r="B860">
        <v>2924.669921875</v>
      </c>
      <c r="C860">
        <v>2938.840087890625</v>
      </c>
      <c r="D860">
        <v>2921.860107421875</v>
      </c>
      <c r="E860">
        <v>2937.780029296875</v>
      </c>
      <c r="F860">
        <v>2937.780029296875</v>
      </c>
      <c r="G860">
        <v>3167900000</v>
      </c>
      <c r="H860">
        <v>0</v>
      </c>
      <c r="I860">
        <v>0</v>
      </c>
      <c r="K860" s="11">
        <f t="shared" si="13"/>
        <v>1.0842079212828093E-2</v>
      </c>
    </row>
    <row r="861" spans="1:11" x14ac:dyDescent="0.2">
      <c r="A861" s="2">
        <v>43713</v>
      </c>
      <c r="B861">
        <v>2960.60009765625</v>
      </c>
      <c r="C861">
        <v>2985.860107421875</v>
      </c>
      <c r="D861">
        <v>2960.60009765625</v>
      </c>
      <c r="E861">
        <v>2976</v>
      </c>
      <c r="F861">
        <v>2976</v>
      </c>
      <c r="G861">
        <v>3902600000</v>
      </c>
      <c r="H861">
        <v>0</v>
      </c>
      <c r="I861">
        <v>0</v>
      </c>
      <c r="K861" s="11">
        <f t="shared" si="13"/>
        <v>1.3009813642266721E-2</v>
      </c>
    </row>
    <row r="862" spans="1:11" x14ac:dyDescent="0.2">
      <c r="A862" s="2">
        <v>43714</v>
      </c>
      <c r="B862">
        <v>2980.330078125</v>
      </c>
      <c r="C862">
        <v>2985.030029296875</v>
      </c>
      <c r="D862">
        <v>2972.510009765625</v>
      </c>
      <c r="E862">
        <v>2978.7099609375</v>
      </c>
      <c r="F862">
        <v>2978.7099609375</v>
      </c>
      <c r="G862">
        <v>3209340000</v>
      </c>
      <c r="H862">
        <v>0</v>
      </c>
      <c r="I862">
        <v>0</v>
      </c>
      <c r="K862" s="11">
        <f t="shared" si="13"/>
        <v>9.1060515372975992E-4</v>
      </c>
    </row>
    <row r="863" spans="1:11" x14ac:dyDescent="0.2">
      <c r="A863" s="2">
        <v>43717</v>
      </c>
      <c r="B863">
        <v>2988.429931640625</v>
      </c>
      <c r="C863">
        <v>2989.429931640625</v>
      </c>
      <c r="D863">
        <v>2969.389892578125</v>
      </c>
      <c r="E863">
        <v>2978.429931640625</v>
      </c>
      <c r="F863">
        <v>2978.429931640625</v>
      </c>
      <c r="G863">
        <v>4031120000</v>
      </c>
      <c r="H863">
        <v>0</v>
      </c>
      <c r="I863">
        <v>0</v>
      </c>
      <c r="K863" s="11">
        <f t="shared" si="13"/>
        <v>-9.4010259658494633E-5</v>
      </c>
    </row>
    <row r="864" spans="1:11" x14ac:dyDescent="0.2">
      <c r="A864" s="2">
        <v>43718</v>
      </c>
      <c r="B864">
        <v>2971.010009765625</v>
      </c>
      <c r="C864">
        <v>2979.389892578125</v>
      </c>
      <c r="D864">
        <v>2957.010009765625</v>
      </c>
      <c r="E864">
        <v>2979.389892578125</v>
      </c>
      <c r="F864">
        <v>2979.389892578125</v>
      </c>
      <c r="G864">
        <v>4393040000</v>
      </c>
      <c r="H864">
        <v>0</v>
      </c>
      <c r="I864">
        <v>0</v>
      </c>
      <c r="K864" s="11">
        <f t="shared" si="13"/>
        <v>3.2230435482194508E-4</v>
      </c>
    </row>
    <row r="865" spans="1:11" x14ac:dyDescent="0.2">
      <c r="A865" s="2">
        <v>43719</v>
      </c>
      <c r="B865">
        <v>2981.409912109375</v>
      </c>
      <c r="C865">
        <v>3000.929931640625</v>
      </c>
      <c r="D865">
        <v>2975.31005859375</v>
      </c>
      <c r="E865">
        <v>3000.929931640625</v>
      </c>
      <c r="F865">
        <v>3000.929931640625</v>
      </c>
      <c r="G865">
        <v>3934370000</v>
      </c>
      <c r="H865">
        <v>0</v>
      </c>
      <c r="I865">
        <v>0</v>
      </c>
      <c r="K865" s="11">
        <f t="shared" si="13"/>
        <v>7.2296811894803081E-3</v>
      </c>
    </row>
    <row r="866" spans="1:11" x14ac:dyDescent="0.2">
      <c r="A866" s="2">
        <v>43720</v>
      </c>
      <c r="B866">
        <v>3009.080078125</v>
      </c>
      <c r="C866">
        <v>3020.739990234375</v>
      </c>
      <c r="D866">
        <v>3000.919921875</v>
      </c>
      <c r="E866">
        <v>3009.570068359375</v>
      </c>
      <c r="F866">
        <v>3009.570068359375</v>
      </c>
      <c r="G866">
        <v>3796990000</v>
      </c>
      <c r="H866">
        <v>0</v>
      </c>
      <c r="I866">
        <v>0</v>
      </c>
      <c r="K866" s="11">
        <f t="shared" si="13"/>
        <v>2.8791531010610161E-3</v>
      </c>
    </row>
    <row r="867" spans="1:11" x14ac:dyDescent="0.2">
      <c r="A867" s="2">
        <v>43721</v>
      </c>
      <c r="B867">
        <v>3012.2099609375</v>
      </c>
      <c r="C867">
        <v>3017.330078125</v>
      </c>
      <c r="D867">
        <v>3002.89990234375</v>
      </c>
      <c r="E867">
        <v>3007.389892578125</v>
      </c>
      <c r="F867">
        <v>3007.389892578125</v>
      </c>
      <c r="G867">
        <v>3557010000</v>
      </c>
      <c r="H867">
        <v>0</v>
      </c>
      <c r="I867">
        <v>0</v>
      </c>
      <c r="K867" s="11">
        <f t="shared" si="13"/>
        <v>-7.2441436209469412E-4</v>
      </c>
    </row>
    <row r="868" spans="1:11" x14ac:dyDescent="0.2">
      <c r="A868" s="2">
        <v>43724</v>
      </c>
      <c r="B868">
        <v>2996.409912109375</v>
      </c>
      <c r="C868">
        <v>3002.18994140625</v>
      </c>
      <c r="D868">
        <v>2990.669921875</v>
      </c>
      <c r="E868">
        <v>2997.9599609375</v>
      </c>
      <c r="F868">
        <v>2997.9599609375</v>
      </c>
      <c r="G868">
        <v>4285860000</v>
      </c>
      <c r="H868">
        <v>0</v>
      </c>
      <c r="I868">
        <v>0</v>
      </c>
      <c r="K868" s="11">
        <f t="shared" si="13"/>
        <v>-3.1355866640028207E-3</v>
      </c>
    </row>
    <row r="869" spans="1:11" x14ac:dyDescent="0.2">
      <c r="A869" s="2">
        <v>43725</v>
      </c>
      <c r="B869">
        <v>2995.669921875</v>
      </c>
      <c r="C869">
        <v>3006.2099609375</v>
      </c>
      <c r="D869">
        <v>2993.72998046875</v>
      </c>
      <c r="E869">
        <v>3005.699951171875</v>
      </c>
      <c r="F869">
        <v>3005.699951171875</v>
      </c>
      <c r="G869">
        <v>3673250000</v>
      </c>
      <c r="H869">
        <v>0</v>
      </c>
      <c r="I869">
        <v>0</v>
      </c>
      <c r="K869" s="11">
        <f t="shared" si="13"/>
        <v>2.5817523700197853E-3</v>
      </c>
    </row>
    <row r="870" spans="1:11" x14ac:dyDescent="0.2">
      <c r="A870" s="2">
        <v>43726</v>
      </c>
      <c r="B870">
        <v>3001.5</v>
      </c>
      <c r="C870">
        <v>3007.830078125</v>
      </c>
      <c r="D870">
        <v>2978.570068359375</v>
      </c>
      <c r="E870">
        <v>3006.72998046875</v>
      </c>
      <c r="F870">
        <v>3006.72998046875</v>
      </c>
      <c r="G870">
        <v>3458800000</v>
      </c>
      <c r="H870">
        <v>0</v>
      </c>
      <c r="I870">
        <v>0</v>
      </c>
      <c r="K870" s="11">
        <f t="shared" si="13"/>
        <v>3.4269198975556137E-4</v>
      </c>
    </row>
    <row r="871" spans="1:11" x14ac:dyDescent="0.2">
      <c r="A871" s="2">
        <v>43727</v>
      </c>
      <c r="B871">
        <v>3010.360107421875</v>
      </c>
      <c r="C871">
        <v>3021.989990234375</v>
      </c>
      <c r="D871">
        <v>3003.159912109375</v>
      </c>
      <c r="E871">
        <v>3006.7900390625</v>
      </c>
      <c r="F871">
        <v>3006.7900390625</v>
      </c>
      <c r="G871">
        <v>3265660000</v>
      </c>
      <c r="H871">
        <v>0</v>
      </c>
      <c r="I871">
        <v>0</v>
      </c>
      <c r="K871" s="11">
        <f t="shared" si="13"/>
        <v>1.997472142156731E-5</v>
      </c>
    </row>
    <row r="872" spans="1:11" x14ac:dyDescent="0.2">
      <c r="A872" s="2">
        <v>43728</v>
      </c>
      <c r="B872">
        <v>3008.419921875</v>
      </c>
      <c r="C872">
        <v>3016.3701171875</v>
      </c>
      <c r="D872">
        <v>2984.679931640625</v>
      </c>
      <c r="E872">
        <v>2992.070068359375</v>
      </c>
      <c r="F872">
        <v>2992.070068359375</v>
      </c>
      <c r="G872">
        <v>6103440000</v>
      </c>
      <c r="H872">
        <v>0</v>
      </c>
      <c r="I872">
        <v>0</v>
      </c>
      <c r="K872" s="11">
        <f t="shared" si="13"/>
        <v>-4.8955765157830955E-3</v>
      </c>
    </row>
    <row r="873" spans="1:11" x14ac:dyDescent="0.2">
      <c r="A873" s="2">
        <v>43731</v>
      </c>
      <c r="B873">
        <v>2983.5</v>
      </c>
      <c r="C873">
        <v>2999.14990234375</v>
      </c>
      <c r="D873">
        <v>2982.22998046875</v>
      </c>
      <c r="E873">
        <v>2991.780029296875</v>
      </c>
      <c r="F873">
        <v>2991.780029296875</v>
      </c>
      <c r="G873">
        <v>3187250000</v>
      </c>
      <c r="H873">
        <v>0</v>
      </c>
      <c r="I873">
        <v>0</v>
      </c>
      <c r="K873" s="11">
        <f t="shared" si="13"/>
        <v>-9.6935919237650658E-5</v>
      </c>
    </row>
    <row r="874" spans="1:11" x14ac:dyDescent="0.2">
      <c r="A874" s="2">
        <v>43732</v>
      </c>
      <c r="B874">
        <v>3002.429931640625</v>
      </c>
      <c r="C874">
        <v>3007.97998046875</v>
      </c>
      <c r="D874">
        <v>2957.72998046875</v>
      </c>
      <c r="E874">
        <v>2966.60009765625</v>
      </c>
      <c r="F874">
        <v>2966.60009765625</v>
      </c>
      <c r="G874">
        <v>3872800000</v>
      </c>
      <c r="H874">
        <v>0</v>
      </c>
      <c r="I874">
        <v>0</v>
      </c>
      <c r="K874" s="11">
        <f t="shared" si="13"/>
        <v>-8.4163713221064862E-3</v>
      </c>
    </row>
    <row r="875" spans="1:11" x14ac:dyDescent="0.2">
      <c r="A875" s="2">
        <v>43733</v>
      </c>
      <c r="B875">
        <v>2968.35009765625</v>
      </c>
      <c r="C875">
        <v>2989.820068359375</v>
      </c>
      <c r="D875">
        <v>2952.860107421875</v>
      </c>
      <c r="E875">
        <v>2984.8701171875</v>
      </c>
      <c r="F875">
        <v>2984.8701171875</v>
      </c>
      <c r="G875">
        <v>3331200000</v>
      </c>
      <c r="H875">
        <v>0</v>
      </c>
      <c r="I875">
        <v>0</v>
      </c>
      <c r="K875" s="11">
        <f t="shared" si="13"/>
        <v>6.1585717420034047E-3</v>
      </c>
    </row>
    <row r="876" spans="1:11" x14ac:dyDescent="0.2">
      <c r="A876" s="2">
        <v>43734</v>
      </c>
      <c r="B876">
        <v>2985.72998046875</v>
      </c>
      <c r="C876">
        <v>2987.280029296875</v>
      </c>
      <c r="D876">
        <v>2963.7099609375</v>
      </c>
      <c r="E876">
        <v>2977.6201171875</v>
      </c>
      <c r="F876">
        <v>2977.6201171875</v>
      </c>
      <c r="G876">
        <v>3084910000</v>
      </c>
      <c r="H876">
        <v>0</v>
      </c>
      <c r="I876">
        <v>0</v>
      </c>
      <c r="K876" s="11">
        <f t="shared" si="13"/>
        <v>-2.428916406865711E-3</v>
      </c>
    </row>
    <row r="877" spans="1:11" x14ac:dyDescent="0.2">
      <c r="A877" s="2">
        <v>43735</v>
      </c>
      <c r="B877">
        <v>2985.469970703125</v>
      </c>
      <c r="C877">
        <v>2987.31005859375</v>
      </c>
      <c r="D877">
        <v>2945.530029296875</v>
      </c>
      <c r="E877">
        <v>2961.7900390625</v>
      </c>
      <c r="F877">
        <v>2961.7900390625</v>
      </c>
      <c r="G877">
        <v>3246480000</v>
      </c>
      <c r="H877">
        <v>0</v>
      </c>
      <c r="I877">
        <v>0</v>
      </c>
      <c r="K877" s="11">
        <f t="shared" si="13"/>
        <v>-5.316352490240539E-3</v>
      </c>
    </row>
    <row r="878" spans="1:11" x14ac:dyDescent="0.2">
      <c r="A878" s="2">
        <v>43738</v>
      </c>
      <c r="B878">
        <v>2967.070068359375</v>
      </c>
      <c r="C878">
        <v>2983.85009765625</v>
      </c>
      <c r="D878">
        <v>2967.070068359375</v>
      </c>
      <c r="E878">
        <v>2976.739990234375</v>
      </c>
      <c r="F878">
        <v>2976.739990234375</v>
      </c>
      <c r="G878">
        <v>3249130000</v>
      </c>
      <c r="H878">
        <v>0</v>
      </c>
      <c r="I878">
        <v>0</v>
      </c>
      <c r="K878" s="11">
        <f t="shared" si="13"/>
        <v>5.0476066752547233E-3</v>
      </c>
    </row>
    <row r="879" spans="1:11" x14ac:dyDescent="0.2">
      <c r="A879" s="2">
        <v>43739</v>
      </c>
      <c r="B879">
        <v>2983.68994140625</v>
      </c>
      <c r="C879">
        <v>2992.530029296875</v>
      </c>
      <c r="D879">
        <v>2938.699951171875</v>
      </c>
      <c r="E879">
        <v>2940.25</v>
      </c>
      <c r="F879">
        <v>2940.25</v>
      </c>
      <c r="G879">
        <v>3560750000</v>
      </c>
      <c r="H879">
        <v>0</v>
      </c>
      <c r="I879">
        <v>0</v>
      </c>
      <c r="K879" s="11">
        <f t="shared" si="13"/>
        <v>-1.2258373372913245E-2</v>
      </c>
    </row>
    <row r="880" spans="1:11" x14ac:dyDescent="0.2">
      <c r="A880" s="2">
        <v>43740</v>
      </c>
      <c r="B880">
        <v>2924.780029296875</v>
      </c>
      <c r="C880">
        <v>2924.780029296875</v>
      </c>
      <c r="D880">
        <v>2874.929931640625</v>
      </c>
      <c r="E880">
        <v>2887.610107421875</v>
      </c>
      <c r="F880">
        <v>2887.610107421875</v>
      </c>
      <c r="G880">
        <v>3914180000</v>
      </c>
      <c r="H880">
        <v>0</v>
      </c>
      <c r="I880">
        <v>0</v>
      </c>
      <c r="K880" s="11">
        <f t="shared" si="13"/>
        <v>-1.7903202985502964E-2</v>
      </c>
    </row>
    <row r="881" spans="1:11" x14ac:dyDescent="0.2">
      <c r="A881" s="2">
        <v>43741</v>
      </c>
      <c r="B881">
        <v>2885.3798828125</v>
      </c>
      <c r="C881">
        <v>2911.1298828125</v>
      </c>
      <c r="D881">
        <v>2855.93994140625</v>
      </c>
      <c r="E881">
        <v>2910.6298828125</v>
      </c>
      <c r="F881">
        <v>2910.6298828125</v>
      </c>
      <c r="G881">
        <v>3515130000</v>
      </c>
      <c r="H881">
        <v>0</v>
      </c>
      <c r="I881">
        <v>0</v>
      </c>
      <c r="K881" s="11">
        <f t="shared" si="13"/>
        <v>7.9719125970152405E-3</v>
      </c>
    </row>
    <row r="882" spans="1:11" x14ac:dyDescent="0.2">
      <c r="A882" s="2">
        <v>43742</v>
      </c>
      <c r="B882">
        <v>2918.56005859375</v>
      </c>
      <c r="C882">
        <v>2953.739990234375</v>
      </c>
      <c r="D882">
        <v>2918.56005859375</v>
      </c>
      <c r="E882">
        <v>2952.010009765625</v>
      </c>
      <c r="F882">
        <v>2952.010009765625</v>
      </c>
      <c r="G882">
        <v>3005600000</v>
      </c>
      <c r="H882">
        <v>0</v>
      </c>
      <c r="I882">
        <v>0</v>
      </c>
      <c r="K882" s="11">
        <f t="shared" si="13"/>
        <v>1.4216897585460186E-2</v>
      </c>
    </row>
    <row r="883" spans="1:11" x14ac:dyDescent="0.2">
      <c r="A883" s="2">
        <v>43745</v>
      </c>
      <c r="B883">
        <v>2944.22998046875</v>
      </c>
      <c r="C883">
        <v>2959.75</v>
      </c>
      <c r="D883">
        <v>2935.679931640625</v>
      </c>
      <c r="E883">
        <v>2938.7900390625</v>
      </c>
      <c r="F883">
        <v>2938.7900390625</v>
      </c>
      <c r="G883">
        <v>2959050000</v>
      </c>
      <c r="H883">
        <v>0</v>
      </c>
      <c r="I883">
        <v>0</v>
      </c>
      <c r="K883" s="11">
        <f t="shared" si="13"/>
        <v>-4.4782946735923979E-3</v>
      </c>
    </row>
    <row r="884" spans="1:11" x14ac:dyDescent="0.2">
      <c r="A884" s="2">
        <v>43746</v>
      </c>
      <c r="B884">
        <v>2920.39990234375</v>
      </c>
      <c r="C884">
        <v>2925.469970703125</v>
      </c>
      <c r="D884">
        <v>2892.659912109375</v>
      </c>
      <c r="E884">
        <v>2893.06005859375</v>
      </c>
      <c r="F884">
        <v>2893.06005859375</v>
      </c>
      <c r="G884">
        <v>3370700000</v>
      </c>
      <c r="H884">
        <v>0</v>
      </c>
      <c r="I884">
        <v>0</v>
      </c>
      <c r="K884" s="11">
        <f t="shared" si="13"/>
        <v>-1.5560819201407838E-2</v>
      </c>
    </row>
    <row r="885" spans="1:11" x14ac:dyDescent="0.2">
      <c r="A885" s="2">
        <v>43747</v>
      </c>
      <c r="B885">
        <v>2911.10009765625</v>
      </c>
      <c r="C885">
        <v>2929.320068359375</v>
      </c>
      <c r="D885">
        <v>2907.409912109375</v>
      </c>
      <c r="E885">
        <v>2919.39990234375</v>
      </c>
      <c r="F885">
        <v>2919.39990234375</v>
      </c>
      <c r="G885">
        <v>2735350000</v>
      </c>
      <c r="H885">
        <v>0</v>
      </c>
      <c r="I885">
        <v>0</v>
      </c>
      <c r="K885" s="11">
        <f t="shared" si="13"/>
        <v>9.1044925499415008E-3</v>
      </c>
    </row>
    <row r="886" spans="1:11" x14ac:dyDescent="0.2">
      <c r="A886" s="2">
        <v>43748</v>
      </c>
      <c r="B886">
        <v>2918.550048828125</v>
      </c>
      <c r="C886">
        <v>2948.4599609375</v>
      </c>
      <c r="D886">
        <v>2917.1201171875</v>
      </c>
      <c r="E886">
        <v>2938.1298828125</v>
      </c>
      <c r="F886">
        <v>2938.1298828125</v>
      </c>
      <c r="G886">
        <v>3234400000</v>
      </c>
      <c r="H886">
        <v>0</v>
      </c>
      <c r="I886">
        <v>0</v>
      </c>
      <c r="K886" s="11">
        <f t="shared" si="13"/>
        <v>6.4156953809970663E-3</v>
      </c>
    </row>
    <row r="887" spans="1:11" x14ac:dyDescent="0.2">
      <c r="A887" s="2">
        <v>43749</v>
      </c>
      <c r="B887">
        <v>2963.070068359375</v>
      </c>
      <c r="C887">
        <v>2993.280029296875</v>
      </c>
      <c r="D887">
        <v>2963.070068359375</v>
      </c>
      <c r="E887">
        <v>2970.27001953125</v>
      </c>
      <c r="F887">
        <v>2970.27001953125</v>
      </c>
      <c r="G887">
        <v>3581320000</v>
      </c>
      <c r="H887">
        <v>0</v>
      </c>
      <c r="I887">
        <v>0</v>
      </c>
      <c r="K887" s="11">
        <f t="shared" si="13"/>
        <v>1.0938977513132997E-2</v>
      </c>
    </row>
    <row r="888" spans="1:11" x14ac:dyDescent="0.2">
      <c r="A888" s="2">
        <v>43752</v>
      </c>
      <c r="B888">
        <v>2965.81005859375</v>
      </c>
      <c r="C888">
        <v>2972.840087890625</v>
      </c>
      <c r="D888">
        <v>2962.93994140625</v>
      </c>
      <c r="E888">
        <v>2966.14990234375</v>
      </c>
      <c r="F888">
        <v>2966.14990234375</v>
      </c>
      <c r="G888">
        <v>2559270000</v>
      </c>
      <c r="H888">
        <v>0</v>
      </c>
      <c r="I888">
        <v>0</v>
      </c>
      <c r="K888" s="11">
        <f t="shared" si="13"/>
        <v>-1.3871187334510982E-3</v>
      </c>
    </row>
    <row r="889" spans="1:11" x14ac:dyDescent="0.2">
      <c r="A889" s="2">
        <v>43753</v>
      </c>
      <c r="B889">
        <v>2973.610107421875</v>
      </c>
      <c r="C889">
        <v>3003.280029296875</v>
      </c>
      <c r="D889">
        <v>2973.610107421875</v>
      </c>
      <c r="E889">
        <v>2995.679931640625</v>
      </c>
      <c r="F889">
        <v>2995.679931640625</v>
      </c>
      <c r="G889">
        <v>3345090000</v>
      </c>
      <c r="H889">
        <v>0</v>
      </c>
      <c r="I889">
        <v>0</v>
      </c>
      <c r="K889" s="11">
        <f t="shared" si="13"/>
        <v>9.9556766411372788E-3</v>
      </c>
    </row>
    <row r="890" spans="1:11" x14ac:dyDescent="0.2">
      <c r="A890" s="2">
        <v>43754</v>
      </c>
      <c r="B890">
        <v>2989.679931640625</v>
      </c>
      <c r="C890">
        <v>2997.5400390625</v>
      </c>
      <c r="D890">
        <v>2985.199951171875</v>
      </c>
      <c r="E890">
        <v>2989.68994140625</v>
      </c>
      <c r="F890">
        <v>2989.68994140625</v>
      </c>
      <c r="G890">
        <v>3230320000</v>
      </c>
      <c r="H890">
        <v>0</v>
      </c>
      <c r="I890">
        <v>0</v>
      </c>
      <c r="K890" s="11">
        <f t="shared" si="13"/>
        <v>-1.9995427986508885E-3</v>
      </c>
    </row>
    <row r="891" spans="1:11" x14ac:dyDescent="0.2">
      <c r="A891" s="2">
        <v>43755</v>
      </c>
      <c r="B891">
        <v>3000.77001953125</v>
      </c>
      <c r="C891">
        <v>3008.2900390625</v>
      </c>
      <c r="D891">
        <v>2991.7900390625</v>
      </c>
      <c r="E891">
        <v>2997.949951171875</v>
      </c>
      <c r="F891">
        <v>2997.949951171875</v>
      </c>
      <c r="G891">
        <v>3103470000</v>
      </c>
      <c r="H891">
        <v>0</v>
      </c>
      <c r="I891">
        <v>0</v>
      </c>
      <c r="K891" s="11">
        <f t="shared" si="13"/>
        <v>2.7628315736780706E-3</v>
      </c>
    </row>
    <row r="892" spans="1:11" x14ac:dyDescent="0.2">
      <c r="A892" s="2">
        <v>43756</v>
      </c>
      <c r="B892">
        <v>2996.840087890625</v>
      </c>
      <c r="C892">
        <v>3000</v>
      </c>
      <c r="D892">
        <v>2976.31005859375</v>
      </c>
      <c r="E892">
        <v>2986.199951171875</v>
      </c>
      <c r="F892">
        <v>2986.199951171875</v>
      </c>
      <c r="G892">
        <v>3268970000</v>
      </c>
      <c r="H892">
        <v>0</v>
      </c>
      <c r="I892">
        <v>0</v>
      </c>
      <c r="K892" s="11">
        <f t="shared" si="13"/>
        <v>-3.9193449495069643E-3</v>
      </c>
    </row>
    <row r="893" spans="1:11" x14ac:dyDescent="0.2">
      <c r="A893" s="2">
        <v>43759</v>
      </c>
      <c r="B893">
        <v>2996.47998046875</v>
      </c>
      <c r="C893">
        <v>3007.330078125</v>
      </c>
      <c r="D893">
        <v>2995.35009765625</v>
      </c>
      <c r="E893">
        <v>3006.719970703125</v>
      </c>
      <c r="F893">
        <v>3006.719970703125</v>
      </c>
      <c r="G893">
        <v>3271960000</v>
      </c>
      <c r="H893">
        <v>0</v>
      </c>
      <c r="I893">
        <v>0</v>
      </c>
      <c r="K893" s="11">
        <f t="shared" si="13"/>
        <v>6.8716160561175244E-3</v>
      </c>
    </row>
    <row r="894" spans="1:11" x14ac:dyDescent="0.2">
      <c r="A894" s="2">
        <v>43760</v>
      </c>
      <c r="B894">
        <v>3010.72998046875</v>
      </c>
      <c r="C894">
        <v>3014.570068359375</v>
      </c>
      <c r="D894">
        <v>2995.0400390625</v>
      </c>
      <c r="E894">
        <v>2995.989990234375</v>
      </c>
      <c r="F894">
        <v>2995.989990234375</v>
      </c>
      <c r="G894">
        <v>3527540000</v>
      </c>
      <c r="H894">
        <v>0</v>
      </c>
      <c r="I894">
        <v>0</v>
      </c>
      <c r="K894" s="11">
        <f t="shared" si="13"/>
        <v>-3.5686663784125772E-3</v>
      </c>
    </row>
    <row r="895" spans="1:11" x14ac:dyDescent="0.2">
      <c r="A895" s="2">
        <v>43761</v>
      </c>
      <c r="B895">
        <v>2994.010009765625</v>
      </c>
      <c r="C895">
        <v>3004.780029296875</v>
      </c>
      <c r="D895">
        <v>2991.2099609375</v>
      </c>
      <c r="E895">
        <v>3004.52001953125</v>
      </c>
      <c r="F895">
        <v>3004.52001953125</v>
      </c>
      <c r="G895">
        <v>3413600000</v>
      </c>
      <c r="H895">
        <v>0</v>
      </c>
      <c r="I895">
        <v>0</v>
      </c>
      <c r="K895" s="11">
        <f t="shared" si="13"/>
        <v>2.8471487971184484E-3</v>
      </c>
    </row>
    <row r="896" spans="1:11" x14ac:dyDescent="0.2">
      <c r="A896" s="2">
        <v>43762</v>
      </c>
      <c r="B896">
        <v>3014.780029296875</v>
      </c>
      <c r="C896">
        <v>3016.070068359375</v>
      </c>
      <c r="D896">
        <v>3000.419921875</v>
      </c>
      <c r="E896">
        <v>3010.2900390625</v>
      </c>
      <c r="F896">
        <v>3010.2900390625</v>
      </c>
      <c r="G896">
        <v>3696510000</v>
      </c>
      <c r="H896">
        <v>0</v>
      </c>
      <c r="I896">
        <v>0</v>
      </c>
      <c r="K896" s="11">
        <f t="shared" si="13"/>
        <v>1.9204463587332299E-3</v>
      </c>
    </row>
    <row r="897" spans="1:11" x14ac:dyDescent="0.2">
      <c r="A897" s="2">
        <v>43763</v>
      </c>
      <c r="B897">
        <v>3003.320068359375</v>
      </c>
      <c r="C897">
        <v>3027.389892578125</v>
      </c>
      <c r="D897">
        <v>3001.93994140625</v>
      </c>
      <c r="E897">
        <v>3022.550048828125</v>
      </c>
      <c r="F897">
        <v>3022.550048828125</v>
      </c>
      <c r="G897">
        <v>3379060000</v>
      </c>
      <c r="H897">
        <v>0</v>
      </c>
      <c r="I897">
        <v>0</v>
      </c>
      <c r="K897" s="11">
        <f t="shared" si="13"/>
        <v>4.0727005061091948E-3</v>
      </c>
    </row>
    <row r="898" spans="1:11" x14ac:dyDescent="0.2">
      <c r="A898" s="2">
        <v>43766</v>
      </c>
      <c r="B898">
        <v>3032.1201171875</v>
      </c>
      <c r="C898">
        <v>3044.080078125</v>
      </c>
      <c r="D898">
        <v>3032.1201171875</v>
      </c>
      <c r="E898">
        <v>3039.419921875</v>
      </c>
      <c r="F898">
        <v>3039.419921875</v>
      </c>
      <c r="G898">
        <v>3524970000</v>
      </c>
      <c r="H898">
        <v>0</v>
      </c>
      <c r="I898">
        <v>0</v>
      </c>
      <c r="K898" s="11">
        <f t="shared" si="13"/>
        <v>5.5813378684714809E-3</v>
      </c>
    </row>
    <row r="899" spans="1:11" x14ac:dyDescent="0.2">
      <c r="A899" s="2">
        <v>43767</v>
      </c>
      <c r="B899">
        <v>3035.389892578125</v>
      </c>
      <c r="C899">
        <v>3047.8701171875</v>
      </c>
      <c r="D899">
        <v>3034.81005859375</v>
      </c>
      <c r="E899">
        <v>3036.889892578125</v>
      </c>
      <c r="F899">
        <v>3036.889892578125</v>
      </c>
      <c r="G899">
        <v>3594430000</v>
      </c>
      <c r="H899">
        <v>0</v>
      </c>
      <c r="I899">
        <v>0</v>
      </c>
      <c r="K899" s="11">
        <f t="shared" si="13"/>
        <v>-8.3240531479911173E-4</v>
      </c>
    </row>
    <row r="900" spans="1:11" x14ac:dyDescent="0.2">
      <c r="A900" s="2">
        <v>43768</v>
      </c>
      <c r="B900">
        <v>3039.739990234375</v>
      </c>
      <c r="C900">
        <v>3050.10009765625</v>
      </c>
      <c r="D900">
        <v>3025.9599609375</v>
      </c>
      <c r="E900">
        <v>3046.77001953125</v>
      </c>
      <c r="F900">
        <v>3046.77001953125</v>
      </c>
      <c r="G900">
        <v>3779660000</v>
      </c>
      <c r="H900">
        <v>0</v>
      </c>
      <c r="I900">
        <v>0</v>
      </c>
      <c r="K900" s="11">
        <f t="shared" ref="K900:K963" si="14">(E900/E899)-1</f>
        <v>3.2533701591457298E-3</v>
      </c>
    </row>
    <row r="901" spans="1:11" x14ac:dyDescent="0.2">
      <c r="A901" s="2">
        <v>43769</v>
      </c>
      <c r="B901">
        <v>3046.89990234375</v>
      </c>
      <c r="C901">
        <v>3046.89990234375</v>
      </c>
      <c r="D901">
        <v>3023.18994140625</v>
      </c>
      <c r="E901">
        <v>3037.56005859375</v>
      </c>
      <c r="F901">
        <v>3037.56005859375</v>
      </c>
      <c r="G901">
        <v>4149310000</v>
      </c>
      <c r="H901">
        <v>0</v>
      </c>
      <c r="I901">
        <v>0</v>
      </c>
      <c r="K901" s="11">
        <f t="shared" si="14"/>
        <v>-3.0228605633046968E-3</v>
      </c>
    </row>
    <row r="902" spans="1:11" x14ac:dyDescent="0.2">
      <c r="A902" s="2">
        <v>43770</v>
      </c>
      <c r="B902">
        <v>3050.719970703125</v>
      </c>
      <c r="C902">
        <v>3066.949951171875</v>
      </c>
      <c r="D902">
        <v>3050.719970703125</v>
      </c>
      <c r="E902">
        <v>3066.909912109375</v>
      </c>
      <c r="F902">
        <v>3066.909912109375</v>
      </c>
      <c r="G902">
        <v>3956290000</v>
      </c>
      <c r="H902">
        <v>0</v>
      </c>
      <c r="I902">
        <v>0</v>
      </c>
      <c r="K902" s="11">
        <f t="shared" si="14"/>
        <v>9.6623121681460589E-3</v>
      </c>
    </row>
    <row r="903" spans="1:11" x14ac:dyDescent="0.2">
      <c r="A903" s="2">
        <v>43773</v>
      </c>
      <c r="B903">
        <v>3078.9599609375</v>
      </c>
      <c r="C903">
        <v>3085.199951171875</v>
      </c>
      <c r="D903">
        <v>3074.8701171875</v>
      </c>
      <c r="E903">
        <v>3078.27001953125</v>
      </c>
      <c r="F903">
        <v>3078.27001953125</v>
      </c>
      <c r="G903">
        <v>4178040000</v>
      </c>
      <c r="H903">
        <v>0</v>
      </c>
      <c r="I903">
        <v>0</v>
      </c>
      <c r="K903" s="11">
        <f t="shared" si="14"/>
        <v>3.7040890497046508E-3</v>
      </c>
    </row>
    <row r="904" spans="1:11" x14ac:dyDescent="0.2">
      <c r="A904" s="2">
        <v>43774</v>
      </c>
      <c r="B904">
        <v>3080.800048828125</v>
      </c>
      <c r="C904">
        <v>3083.949951171875</v>
      </c>
      <c r="D904">
        <v>3072.14990234375</v>
      </c>
      <c r="E904">
        <v>3074.6201171875</v>
      </c>
      <c r="F904">
        <v>3074.6201171875</v>
      </c>
      <c r="G904">
        <v>4490590000</v>
      </c>
      <c r="H904">
        <v>0</v>
      </c>
      <c r="I904">
        <v>0</v>
      </c>
      <c r="K904" s="11">
        <f t="shared" si="14"/>
        <v>-1.185699214361291E-3</v>
      </c>
    </row>
    <row r="905" spans="1:11" x14ac:dyDescent="0.2">
      <c r="A905" s="2">
        <v>43775</v>
      </c>
      <c r="B905">
        <v>3075.10009765625</v>
      </c>
      <c r="C905">
        <v>3078.340087890625</v>
      </c>
      <c r="D905">
        <v>3065.889892578125</v>
      </c>
      <c r="E905">
        <v>3076.780029296875</v>
      </c>
      <c r="F905">
        <v>3076.780029296875</v>
      </c>
      <c r="G905">
        <v>4465510000</v>
      </c>
      <c r="H905">
        <v>0</v>
      </c>
      <c r="I905">
        <v>0</v>
      </c>
      <c r="K905" s="11">
        <f t="shared" si="14"/>
        <v>7.0249722796678071E-4</v>
      </c>
    </row>
    <row r="906" spans="1:11" x14ac:dyDescent="0.2">
      <c r="A906" s="2">
        <v>43776</v>
      </c>
      <c r="B906">
        <v>3087.02001953125</v>
      </c>
      <c r="C906">
        <v>3097.77001953125</v>
      </c>
      <c r="D906">
        <v>3080.22998046875</v>
      </c>
      <c r="E906">
        <v>3085.179931640625</v>
      </c>
      <c r="F906">
        <v>3085.179931640625</v>
      </c>
      <c r="G906">
        <v>4151990000</v>
      </c>
      <c r="H906">
        <v>0</v>
      </c>
      <c r="I906">
        <v>0</v>
      </c>
      <c r="K906" s="11">
        <f t="shared" si="14"/>
        <v>2.7300951851503275E-3</v>
      </c>
    </row>
    <row r="907" spans="1:11" x14ac:dyDescent="0.2">
      <c r="A907" s="2">
        <v>43777</v>
      </c>
      <c r="B907">
        <v>3081.25</v>
      </c>
      <c r="C907">
        <v>3093.090087890625</v>
      </c>
      <c r="D907">
        <v>3073.580078125</v>
      </c>
      <c r="E907">
        <v>3093.080078125</v>
      </c>
      <c r="F907">
        <v>3093.080078125</v>
      </c>
      <c r="G907">
        <v>3508160000</v>
      </c>
      <c r="H907">
        <v>0</v>
      </c>
      <c r="I907">
        <v>0</v>
      </c>
      <c r="K907" s="11">
        <f t="shared" si="14"/>
        <v>2.5606760900243053E-3</v>
      </c>
    </row>
    <row r="908" spans="1:11" x14ac:dyDescent="0.2">
      <c r="A908" s="2">
        <v>43780</v>
      </c>
      <c r="B908">
        <v>3080.330078125</v>
      </c>
      <c r="C908">
        <v>3088.330078125</v>
      </c>
      <c r="D908">
        <v>3075.820068359375</v>
      </c>
      <c r="E908">
        <v>3087.010009765625</v>
      </c>
      <c r="F908">
        <v>3087.010009765625</v>
      </c>
      <c r="G908">
        <v>3041120000</v>
      </c>
      <c r="H908">
        <v>0</v>
      </c>
      <c r="I908">
        <v>0</v>
      </c>
      <c r="K908" s="11">
        <f t="shared" si="14"/>
        <v>-1.9624672514313435E-3</v>
      </c>
    </row>
    <row r="909" spans="1:11" x14ac:dyDescent="0.2">
      <c r="A909" s="2">
        <v>43781</v>
      </c>
      <c r="B909">
        <v>3089.280029296875</v>
      </c>
      <c r="C909">
        <v>3102.610107421875</v>
      </c>
      <c r="D909">
        <v>3084.72998046875</v>
      </c>
      <c r="E909">
        <v>3091.840087890625</v>
      </c>
      <c r="F909">
        <v>3091.840087890625</v>
      </c>
      <c r="G909">
        <v>3495560000</v>
      </c>
      <c r="H909">
        <v>0</v>
      </c>
      <c r="I909">
        <v>0</v>
      </c>
      <c r="K909" s="11">
        <f t="shared" si="14"/>
        <v>1.5646460846321375E-3</v>
      </c>
    </row>
    <row r="910" spans="1:11" x14ac:dyDescent="0.2">
      <c r="A910" s="2">
        <v>43782</v>
      </c>
      <c r="B910">
        <v>3084.179931640625</v>
      </c>
      <c r="C910">
        <v>3098.06005859375</v>
      </c>
      <c r="D910">
        <v>3078.800048828125</v>
      </c>
      <c r="E910">
        <v>3094.0400390625</v>
      </c>
      <c r="F910">
        <v>3094.0400390625</v>
      </c>
      <c r="G910">
        <v>3513720000</v>
      </c>
      <c r="H910">
        <v>0</v>
      </c>
      <c r="I910">
        <v>0</v>
      </c>
      <c r="K910" s="11">
        <f t="shared" si="14"/>
        <v>7.1153459083839188E-4</v>
      </c>
    </row>
    <row r="911" spans="1:11" x14ac:dyDescent="0.2">
      <c r="A911" s="2">
        <v>43783</v>
      </c>
      <c r="B911">
        <v>3090.75</v>
      </c>
      <c r="C911">
        <v>3098.199951171875</v>
      </c>
      <c r="D911">
        <v>3083.260009765625</v>
      </c>
      <c r="E911">
        <v>3096.6298828125</v>
      </c>
      <c r="F911">
        <v>3096.6298828125</v>
      </c>
      <c r="G911">
        <v>3282090000</v>
      </c>
      <c r="H911">
        <v>0</v>
      </c>
      <c r="I911">
        <v>0</v>
      </c>
      <c r="K911" s="11">
        <f t="shared" si="14"/>
        <v>8.370427393644686E-4</v>
      </c>
    </row>
    <row r="912" spans="1:11" x14ac:dyDescent="0.2">
      <c r="A912" s="2">
        <v>43784</v>
      </c>
      <c r="B912">
        <v>3107.919921875</v>
      </c>
      <c r="C912">
        <v>3120.4599609375</v>
      </c>
      <c r="D912">
        <v>3104.60009765625</v>
      </c>
      <c r="E912">
        <v>3120.4599609375</v>
      </c>
      <c r="F912">
        <v>3120.4599609375</v>
      </c>
      <c r="G912">
        <v>3359800000</v>
      </c>
      <c r="H912">
        <v>0</v>
      </c>
      <c r="I912">
        <v>0</v>
      </c>
      <c r="K912" s="11">
        <f t="shared" si="14"/>
        <v>7.6954880069026732E-3</v>
      </c>
    </row>
    <row r="913" spans="1:11" x14ac:dyDescent="0.2">
      <c r="A913" s="2">
        <v>43787</v>
      </c>
      <c r="B913">
        <v>3117.909912109375</v>
      </c>
      <c r="C913">
        <v>3124.169921875</v>
      </c>
      <c r="D913">
        <v>3112.06005859375</v>
      </c>
      <c r="E913">
        <v>3122.030029296875</v>
      </c>
      <c r="F913">
        <v>3122.030029296875</v>
      </c>
      <c r="G913">
        <v>3440140000</v>
      </c>
      <c r="H913">
        <v>0</v>
      </c>
      <c r="I913">
        <v>0</v>
      </c>
      <c r="K913" s="11">
        <f t="shared" si="14"/>
        <v>5.0315286176694229E-4</v>
      </c>
    </row>
    <row r="914" spans="1:11" x14ac:dyDescent="0.2">
      <c r="A914" s="2">
        <v>43788</v>
      </c>
      <c r="B914">
        <v>3127.449951171875</v>
      </c>
      <c r="C914">
        <v>3127.639892578125</v>
      </c>
      <c r="D914">
        <v>3113.469970703125</v>
      </c>
      <c r="E914">
        <v>3120.179931640625</v>
      </c>
      <c r="F914">
        <v>3120.179931640625</v>
      </c>
      <c r="G914">
        <v>3613670000</v>
      </c>
      <c r="H914">
        <v>0</v>
      </c>
      <c r="I914">
        <v>0</v>
      </c>
      <c r="K914" s="11">
        <f t="shared" si="14"/>
        <v>-5.9259444620607393E-4</v>
      </c>
    </row>
    <row r="915" spans="1:11" x14ac:dyDescent="0.2">
      <c r="A915" s="2">
        <v>43789</v>
      </c>
      <c r="B915">
        <v>3114.659912109375</v>
      </c>
      <c r="C915">
        <v>3118.969970703125</v>
      </c>
      <c r="D915">
        <v>3091.409912109375</v>
      </c>
      <c r="E915">
        <v>3108.4599609375</v>
      </c>
      <c r="F915">
        <v>3108.4599609375</v>
      </c>
      <c r="G915">
        <v>4041010000</v>
      </c>
      <c r="H915">
        <v>0</v>
      </c>
      <c r="I915">
        <v>0</v>
      </c>
      <c r="K915" s="11">
        <f t="shared" si="14"/>
        <v>-3.7561842457471961E-3</v>
      </c>
    </row>
    <row r="916" spans="1:11" x14ac:dyDescent="0.2">
      <c r="A916" s="2">
        <v>43790</v>
      </c>
      <c r="B916">
        <v>3108.489990234375</v>
      </c>
      <c r="C916">
        <v>3110.110107421875</v>
      </c>
      <c r="D916">
        <v>3094.550048828125</v>
      </c>
      <c r="E916">
        <v>3103.5400390625</v>
      </c>
      <c r="F916">
        <v>3103.5400390625</v>
      </c>
      <c r="G916">
        <v>3744010000</v>
      </c>
      <c r="H916">
        <v>0</v>
      </c>
      <c r="I916">
        <v>0</v>
      </c>
      <c r="K916" s="11">
        <f t="shared" si="14"/>
        <v>-1.5827522106851566E-3</v>
      </c>
    </row>
    <row r="917" spans="1:11" x14ac:dyDescent="0.2">
      <c r="A917" s="2">
        <v>43791</v>
      </c>
      <c r="B917">
        <v>3111.409912109375</v>
      </c>
      <c r="C917">
        <v>3112.8701171875</v>
      </c>
      <c r="D917">
        <v>3099.260009765625</v>
      </c>
      <c r="E917">
        <v>3110.2900390625</v>
      </c>
      <c r="F917">
        <v>3110.2900390625</v>
      </c>
      <c r="G917">
        <v>3235270000</v>
      </c>
      <c r="H917">
        <v>0</v>
      </c>
      <c r="I917">
        <v>0</v>
      </c>
      <c r="K917" s="11">
        <f t="shared" si="14"/>
        <v>2.1749356911917594E-3</v>
      </c>
    </row>
    <row r="918" spans="1:11" x14ac:dyDescent="0.2">
      <c r="A918" s="2">
        <v>43794</v>
      </c>
      <c r="B918">
        <v>3117.43994140625</v>
      </c>
      <c r="C918">
        <v>3133.830078125</v>
      </c>
      <c r="D918">
        <v>3117.43994140625</v>
      </c>
      <c r="E918">
        <v>3133.639892578125</v>
      </c>
      <c r="F918">
        <v>3133.639892578125</v>
      </c>
      <c r="G918">
        <v>3514310000</v>
      </c>
      <c r="H918">
        <v>0</v>
      </c>
      <c r="I918">
        <v>0</v>
      </c>
      <c r="K918" s="11">
        <f t="shared" si="14"/>
        <v>7.5072913530158658E-3</v>
      </c>
    </row>
    <row r="919" spans="1:11" x14ac:dyDescent="0.2">
      <c r="A919" s="2">
        <v>43795</v>
      </c>
      <c r="B919">
        <v>3134.85009765625</v>
      </c>
      <c r="C919">
        <v>3142.68994140625</v>
      </c>
      <c r="D919">
        <v>3131</v>
      </c>
      <c r="E919">
        <v>3140.52001953125</v>
      </c>
      <c r="F919">
        <v>3140.52001953125</v>
      </c>
      <c r="G919">
        <v>4600450000</v>
      </c>
      <c r="H919">
        <v>0</v>
      </c>
      <c r="I919">
        <v>0</v>
      </c>
      <c r="K919" s="11">
        <f t="shared" si="14"/>
        <v>2.1955703874654287E-3</v>
      </c>
    </row>
    <row r="920" spans="1:11" x14ac:dyDescent="0.2">
      <c r="A920" s="2">
        <v>43796</v>
      </c>
      <c r="B920">
        <v>3145.489990234375</v>
      </c>
      <c r="C920">
        <v>3154.260009765625</v>
      </c>
      <c r="D920">
        <v>3143.409912109375</v>
      </c>
      <c r="E920">
        <v>3153.6298828125</v>
      </c>
      <c r="F920">
        <v>3153.6298828125</v>
      </c>
      <c r="G920">
        <v>3035470000</v>
      </c>
      <c r="H920">
        <v>0</v>
      </c>
      <c r="I920">
        <v>0</v>
      </c>
      <c r="K920" s="11">
        <f t="shared" si="14"/>
        <v>4.174424362754614E-3</v>
      </c>
    </row>
    <row r="921" spans="1:11" x14ac:dyDescent="0.2">
      <c r="A921" s="2">
        <v>43798</v>
      </c>
      <c r="B921">
        <v>3147.179931640625</v>
      </c>
      <c r="C921">
        <v>3150.300048828125</v>
      </c>
      <c r="D921">
        <v>3139.340087890625</v>
      </c>
      <c r="E921">
        <v>3140.97998046875</v>
      </c>
      <c r="F921">
        <v>3140.97998046875</v>
      </c>
      <c r="G921">
        <v>1743420000</v>
      </c>
      <c r="H921">
        <v>0</v>
      </c>
      <c r="I921">
        <v>0</v>
      </c>
      <c r="K921" s="11">
        <f t="shared" si="14"/>
        <v>-4.0112197099262392E-3</v>
      </c>
    </row>
    <row r="922" spans="1:11" x14ac:dyDescent="0.2">
      <c r="A922" s="2">
        <v>43801</v>
      </c>
      <c r="B922">
        <v>3143.85009765625</v>
      </c>
      <c r="C922">
        <v>3144.31005859375</v>
      </c>
      <c r="D922">
        <v>3110.780029296875</v>
      </c>
      <c r="E922">
        <v>3113.8701171875</v>
      </c>
      <c r="F922">
        <v>3113.8701171875</v>
      </c>
      <c r="G922">
        <v>3285750000</v>
      </c>
      <c r="H922">
        <v>0</v>
      </c>
      <c r="I922">
        <v>0</v>
      </c>
      <c r="K922" s="11">
        <f t="shared" si="14"/>
        <v>-8.6310207164084218E-3</v>
      </c>
    </row>
    <row r="923" spans="1:11" x14ac:dyDescent="0.2">
      <c r="A923" s="2">
        <v>43802</v>
      </c>
      <c r="B923">
        <v>3087.409912109375</v>
      </c>
      <c r="C923">
        <v>3094.969970703125</v>
      </c>
      <c r="D923">
        <v>3070.330078125</v>
      </c>
      <c r="E923">
        <v>3093.199951171875</v>
      </c>
      <c r="F923">
        <v>3093.199951171875</v>
      </c>
      <c r="G923">
        <v>3671580000</v>
      </c>
      <c r="H923">
        <v>0</v>
      </c>
      <c r="I923">
        <v>0</v>
      </c>
      <c r="K923" s="11">
        <f t="shared" si="14"/>
        <v>-6.6380951156352896E-3</v>
      </c>
    </row>
    <row r="924" spans="1:11" x14ac:dyDescent="0.2">
      <c r="A924" s="2">
        <v>43803</v>
      </c>
      <c r="B924">
        <v>3103.5</v>
      </c>
      <c r="C924">
        <v>3119.3798828125</v>
      </c>
      <c r="D924">
        <v>3102.530029296875</v>
      </c>
      <c r="E924">
        <v>3112.760009765625</v>
      </c>
      <c r="F924">
        <v>3112.760009765625</v>
      </c>
      <c r="G924">
        <v>3702980000</v>
      </c>
      <c r="H924">
        <v>0</v>
      </c>
      <c r="I924">
        <v>0</v>
      </c>
      <c r="K924" s="11">
        <f t="shared" si="14"/>
        <v>6.3235674713946199E-3</v>
      </c>
    </row>
    <row r="925" spans="1:11" x14ac:dyDescent="0.2">
      <c r="A925" s="2">
        <v>43804</v>
      </c>
      <c r="B925">
        <v>3119.2099609375</v>
      </c>
      <c r="C925">
        <v>3119.449951171875</v>
      </c>
      <c r="D925">
        <v>3103.760009765625</v>
      </c>
      <c r="E925">
        <v>3117.429931640625</v>
      </c>
      <c r="F925">
        <v>3117.429931640625</v>
      </c>
      <c r="G925">
        <v>3360480000</v>
      </c>
      <c r="H925">
        <v>0</v>
      </c>
      <c r="I925">
        <v>0</v>
      </c>
      <c r="K925" s="11">
        <f t="shared" si="14"/>
        <v>1.5002511791302187E-3</v>
      </c>
    </row>
    <row r="926" spans="1:11" x14ac:dyDescent="0.2">
      <c r="A926" s="2">
        <v>43805</v>
      </c>
      <c r="B926">
        <v>3134.6201171875</v>
      </c>
      <c r="C926">
        <v>3150.60009765625</v>
      </c>
      <c r="D926">
        <v>3134.6201171875</v>
      </c>
      <c r="E926">
        <v>3145.909912109375</v>
      </c>
      <c r="F926">
        <v>3145.909912109375</v>
      </c>
      <c r="G926">
        <v>3483310000</v>
      </c>
      <c r="H926">
        <v>0</v>
      </c>
      <c r="I926">
        <v>0</v>
      </c>
      <c r="K926" s="11">
        <f t="shared" si="14"/>
        <v>9.1357243284573286E-3</v>
      </c>
    </row>
    <row r="927" spans="1:11" x14ac:dyDescent="0.2">
      <c r="A927" s="2">
        <v>43808</v>
      </c>
      <c r="B927">
        <v>3141.860107421875</v>
      </c>
      <c r="C927">
        <v>3148.8701171875</v>
      </c>
      <c r="D927">
        <v>3135.4599609375</v>
      </c>
      <c r="E927">
        <v>3135.9599609375</v>
      </c>
      <c r="F927">
        <v>3135.9599609375</v>
      </c>
      <c r="G927">
        <v>3400470000</v>
      </c>
      <c r="H927">
        <v>0</v>
      </c>
      <c r="I927">
        <v>0</v>
      </c>
      <c r="K927" s="11">
        <f t="shared" si="14"/>
        <v>-3.1628213934464799E-3</v>
      </c>
    </row>
    <row r="928" spans="1:11" x14ac:dyDescent="0.2">
      <c r="A928" s="2">
        <v>43809</v>
      </c>
      <c r="B928">
        <v>3135.360107421875</v>
      </c>
      <c r="C928">
        <v>3142.1201171875</v>
      </c>
      <c r="D928">
        <v>3126.090087890625</v>
      </c>
      <c r="E928">
        <v>3132.52001953125</v>
      </c>
      <c r="F928">
        <v>3132.52001953125</v>
      </c>
      <c r="G928">
        <v>3346310000</v>
      </c>
      <c r="H928">
        <v>0</v>
      </c>
      <c r="I928">
        <v>0</v>
      </c>
      <c r="K928" s="11">
        <f t="shared" si="14"/>
        <v>-1.0969340964486207E-3</v>
      </c>
    </row>
    <row r="929" spans="1:11" x14ac:dyDescent="0.2">
      <c r="A929" s="2">
        <v>43810</v>
      </c>
      <c r="B929">
        <v>3135.75</v>
      </c>
      <c r="C929">
        <v>3143.97998046875</v>
      </c>
      <c r="D929">
        <v>3133.2099609375</v>
      </c>
      <c r="E929">
        <v>3141.6298828125</v>
      </c>
      <c r="F929">
        <v>3141.6298828125</v>
      </c>
      <c r="G929">
        <v>3257650000</v>
      </c>
      <c r="H929">
        <v>0</v>
      </c>
      <c r="I929">
        <v>0</v>
      </c>
      <c r="K929" s="11">
        <f t="shared" si="14"/>
        <v>2.9081580403158558E-3</v>
      </c>
    </row>
    <row r="930" spans="1:11" x14ac:dyDescent="0.2">
      <c r="A930" s="2">
        <v>43811</v>
      </c>
      <c r="B930">
        <v>3141.22998046875</v>
      </c>
      <c r="C930">
        <v>3176.280029296875</v>
      </c>
      <c r="D930">
        <v>3138.469970703125</v>
      </c>
      <c r="E930">
        <v>3168.570068359375</v>
      </c>
      <c r="F930">
        <v>3168.570068359375</v>
      </c>
      <c r="G930">
        <v>4003200000</v>
      </c>
      <c r="H930">
        <v>0</v>
      </c>
      <c r="I930">
        <v>0</v>
      </c>
      <c r="K930" s="11">
        <f t="shared" si="14"/>
        <v>8.5752257750861816E-3</v>
      </c>
    </row>
    <row r="931" spans="1:11" x14ac:dyDescent="0.2">
      <c r="A931" s="2">
        <v>43812</v>
      </c>
      <c r="B931">
        <v>3166.64990234375</v>
      </c>
      <c r="C931">
        <v>3182.679931640625</v>
      </c>
      <c r="D931">
        <v>3156.510009765625</v>
      </c>
      <c r="E931">
        <v>3168.800048828125</v>
      </c>
      <c r="F931">
        <v>3168.800048828125</v>
      </c>
      <c r="G931">
        <v>3757650000</v>
      </c>
      <c r="H931">
        <v>0</v>
      </c>
      <c r="I931">
        <v>0</v>
      </c>
      <c r="K931" s="11">
        <f t="shared" si="14"/>
        <v>7.258178414493166E-5</v>
      </c>
    </row>
    <row r="932" spans="1:11" x14ac:dyDescent="0.2">
      <c r="A932" s="2">
        <v>43815</v>
      </c>
      <c r="B932">
        <v>3183.6298828125</v>
      </c>
      <c r="C932">
        <v>3197.7099609375</v>
      </c>
      <c r="D932">
        <v>3183.6298828125</v>
      </c>
      <c r="E932">
        <v>3191.449951171875</v>
      </c>
      <c r="F932">
        <v>3191.449951171875</v>
      </c>
      <c r="G932">
        <v>4070200000</v>
      </c>
      <c r="H932">
        <v>0</v>
      </c>
      <c r="I932">
        <v>0</v>
      </c>
      <c r="K932" s="11">
        <f t="shared" si="14"/>
        <v>7.1477852798336183E-3</v>
      </c>
    </row>
    <row r="933" spans="1:11" x14ac:dyDescent="0.2">
      <c r="A933" s="2">
        <v>43816</v>
      </c>
      <c r="B933">
        <v>3195.39990234375</v>
      </c>
      <c r="C933">
        <v>3198.219970703125</v>
      </c>
      <c r="D933">
        <v>3191.030029296875</v>
      </c>
      <c r="E933">
        <v>3192.52001953125</v>
      </c>
      <c r="F933">
        <v>3192.52001953125</v>
      </c>
      <c r="G933">
        <v>3842940000</v>
      </c>
      <c r="H933">
        <v>0</v>
      </c>
      <c r="I933">
        <v>0</v>
      </c>
      <c r="K933" s="11">
        <f t="shared" si="14"/>
        <v>3.3529222633799094E-4</v>
      </c>
    </row>
    <row r="934" spans="1:11" x14ac:dyDescent="0.2">
      <c r="A934" s="2">
        <v>43817</v>
      </c>
      <c r="B934">
        <v>3195.2099609375</v>
      </c>
      <c r="C934">
        <v>3198.47998046875</v>
      </c>
      <c r="D934">
        <v>3191.139892578125</v>
      </c>
      <c r="E934">
        <v>3191.139892578125</v>
      </c>
      <c r="F934">
        <v>3191.139892578125</v>
      </c>
      <c r="G934">
        <v>4029950000</v>
      </c>
      <c r="H934">
        <v>0</v>
      </c>
      <c r="I934">
        <v>0</v>
      </c>
      <c r="K934" s="11">
        <f t="shared" si="14"/>
        <v>-4.3230017186479675E-4</v>
      </c>
    </row>
    <row r="935" spans="1:11" x14ac:dyDescent="0.2">
      <c r="A935" s="2">
        <v>43818</v>
      </c>
      <c r="B935">
        <v>3192.320068359375</v>
      </c>
      <c r="C935">
        <v>3205.47998046875</v>
      </c>
      <c r="D935">
        <v>3192.320068359375</v>
      </c>
      <c r="E935">
        <v>3205.3701171875</v>
      </c>
      <c r="F935">
        <v>3205.3701171875</v>
      </c>
      <c r="G935">
        <v>3784360000</v>
      </c>
      <c r="H935">
        <v>0</v>
      </c>
      <c r="I935">
        <v>0</v>
      </c>
      <c r="K935" s="11">
        <f t="shared" si="14"/>
        <v>4.4592920048636131E-3</v>
      </c>
    </row>
    <row r="936" spans="1:11" x14ac:dyDescent="0.2">
      <c r="A936" s="2">
        <v>43819</v>
      </c>
      <c r="B936">
        <v>3223.330078125</v>
      </c>
      <c r="C936">
        <v>3225.64990234375</v>
      </c>
      <c r="D936">
        <v>3216.030029296875</v>
      </c>
      <c r="E936">
        <v>3221.219970703125</v>
      </c>
      <c r="F936">
        <v>3221.219970703125</v>
      </c>
      <c r="G936">
        <v>6457480000</v>
      </c>
      <c r="H936">
        <v>0</v>
      </c>
      <c r="I936">
        <v>0</v>
      </c>
      <c r="K936" s="11">
        <f t="shared" si="14"/>
        <v>4.9447810817966342E-3</v>
      </c>
    </row>
    <row r="937" spans="1:11" x14ac:dyDescent="0.2">
      <c r="A937" s="2">
        <v>43822</v>
      </c>
      <c r="B937">
        <v>3226.050048828125</v>
      </c>
      <c r="C937">
        <v>3227.780029296875</v>
      </c>
      <c r="D937">
        <v>3222.300048828125</v>
      </c>
      <c r="E937">
        <v>3224.010009765625</v>
      </c>
      <c r="F937">
        <v>3224.010009765625</v>
      </c>
      <c r="G937">
        <v>3064530000</v>
      </c>
      <c r="H937">
        <v>0</v>
      </c>
      <c r="I937">
        <v>0</v>
      </c>
      <c r="K937" s="11">
        <f t="shared" si="14"/>
        <v>8.6614360021219916E-4</v>
      </c>
    </row>
    <row r="938" spans="1:11" x14ac:dyDescent="0.2">
      <c r="A938" s="2">
        <v>43823</v>
      </c>
      <c r="B938">
        <v>3225.449951171875</v>
      </c>
      <c r="C938">
        <v>3226.429931640625</v>
      </c>
      <c r="D938">
        <v>3220.510009765625</v>
      </c>
      <c r="E938">
        <v>3223.3798828125</v>
      </c>
      <c r="F938">
        <v>3223.3798828125</v>
      </c>
      <c r="G938">
        <v>1296530000</v>
      </c>
      <c r="H938">
        <v>0</v>
      </c>
      <c r="I938">
        <v>0</v>
      </c>
      <c r="K938" s="11">
        <f t="shared" si="14"/>
        <v>-1.9544819997963092E-4</v>
      </c>
    </row>
    <row r="939" spans="1:11" x14ac:dyDescent="0.2">
      <c r="A939" s="2">
        <v>43825</v>
      </c>
      <c r="B939">
        <v>3227.199951171875</v>
      </c>
      <c r="C939">
        <v>3240.080078125</v>
      </c>
      <c r="D939">
        <v>3227.199951171875</v>
      </c>
      <c r="E939">
        <v>3239.909912109375</v>
      </c>
      <c r="F939">
        <v>3239.909912109375</v>
      </c>
      <c r="G939">
        <v>2164540000</v>
      </c>
      <c r="H939">
        <v>0</v>
      </c>
      <c r="I939">
        <v>0</v>
      </c>
      <c r="K939" s="11">
        <f t="shared" si="14"/>
        <v>5.1281666753011379E-3</v>
      </c>
    </row>
    <row r="940" spans="1:11" x14ac:dyDescent="0.2">
      <c r="A940" s="2">
        <v>43826</v>
      </c>
      <c r="B940">
        <v>3247.22998046875</v>
      </c>
      <c r="C940">
        <v>3247.929931640625</v>
      </c>
      <c r="D940">
        <v>3234.3701171875</v>
      </c>
      <c r="E940">
        <v>3240.02001953125</v>
      </c>
      <c r="F940">
        <v>3240.02001953125</v>
      </c>
      <c r="G940">
        <v>2429150000</v>
      </c>
      <c r="H940">
        <v>0</v>
      </c>
      <c r="I940">
        <v>0</v>
      </c>
      <c r="K940" s="11">
        <f t="shared" si="14"/>
        <v>3.3984717125346009E-5</v>
      </c>
    </row>
    <row r="941" spans="1:11" x14ac:dyDescent="0.2">
      <c r="A941" s="2">
        <v>43829</v>
      </c>
      <c r="B941">
        <v>3240.090087890625</v>
      </c>
      <c r="C941">
        <v>3240.919921875</v>
      </c>
      <c r="D941">
        <v>3216.570068359375</v>
      </c>
      <c r="E941">
        <v>3221.2900390625</v>
      </c>
      <c r="F941">
        <v>3221.2900390625</v>
      </c>
      <c r="G941">
        <v>3021720000</v>
      </c>
      <c r="H941">
        <v>0</v>
      </c>
      <c r="I941">
        <v>0</v>
      </c>
      <c r="K941" s="11">
        <f t="shared" si="14"/>
        <v>-5.7808224504303229E-3</v>
      </c>
    </row>
    <row r="942" spans="1:11" x14ac:dyDescent="0.2">
      <c r="A942" s="2">
        <v>43830</v>
      </c>
      <c r="B942">
        <v>3215.179931640625</v>
      </c>
      <c r="C942">
        <v>3231.719970703125</v>
      </c>
      <c r="D942">
        <v>3212.030029296875</v>
      </c>
      <c r="E942">
        <v>3230.780029296875</v>
      </c>
      <c r="F942">
        <v>3230.780029296875</v>
      </c>
      <c r="G942">
        <v>2894760000</v>
      </c>
      <c r="H942">
        <v>0</v>
      </c>
      <c r="I942">
        <v>0</v>
      </c>
      <c r="K942" s="11">
        <f t="shared" si="14"/>
        <v>2.9460216619106028E-3</v>
      </c>
    </row>
    <row r="943" spans="1:11" x14ac:dyDescent="0.2">
      <c r="A943" s="2">
        <v>43832</v>
      </c>
      <c r="B943">
        <v>3244.669921875</v>
      </c>
      <c r="C943">
        <v>3258.139892578125</v>
      </c>
      <c r="D943">
        <v>3235.530029296875</v>
      </c>
      <c r="E943">
        <v>3257.85009765625</v>
      </c>
      <c r="F943">
        <v>3257.85009765625</v>
      </c>
      <c r="G943">
        <v>3459930000</v>
      </c>
      <c r="H943">
        <v>0</v>
      </c>
      <c r="I943">
        <v>0</v>
      </c>
      <c r="K943" s="11">
        <f t="shared" si="14"/>
        <v>8.3788026773417013E-3</v>
      </c>
    </row>
    <row r="944" spans="1:11" x14ac:dyDescent="0.2">
      <c r="A944" s="2">
        <v>43833</v>
      </c>
      <c r="B944">
        <v>3226.360107421875</v>
      </c>
      <c r="C944">
        <v>3246.14990234375</v>
      </c>
      <c r="D944">
        <v>3222.340087890625</v>
      </c>
      <c r="E944">
        <v>3234.85009765625</v>
      </c>
      <c r="F944">
        <v>3234.85009765625</v>
      </c>
      <c r="G944">
        <v>3484700000</v>
      </c>
      <c r="H944">
        <v>0</v>
      </c>
      <c r="I944">
        <v>0</v>
      </c>
      <c r="K944" s="11">
        <f t="shared" si="14"/>
        <v>-7.0598705620453783E-3</v>
      </c>
    </row>
    <row r="945" spans="1:11" x14ac:dyDescent="0.2">
      <c r="A945" s="2">
        <v>43836</v>
      </c>
      <c r="B945">
        <v>3217.550048828125</v>
      </c>
      <c r="C945">
        <v>3246.840087890625</v>
      </c>
      <c r="D945">
        <v>3214.639892578125</v>
      </c>
      <c r="E945">
        <v>3246.280029296875</v>
      </c>
      <c r="F945">
        <v>3246.280029296875</v>
      </c>
      <c r="G945">
        <v>3702460000</v>
      </c>
      <c r="H945">
        <v>0</v>
      </c>
      <c r="I945">
        <v>0</v>
      </c>
      <c r="K945" s="11">
        <f t="shared" si="14"/>
        <v>3.5333728907271933E-3</v>
      </c>
    </row>
    <row r="946" spans="1:11" x14ac:dyDescent="0.2">
      <c r="A946" s="2">
        <v>43837</v>
      </c>
      <c r="B946">
        <v>3241.860107421875</v>
      </c>
      <c r="C946">
        <v>3244.909912109375</v>
      </c>
      <c r="D946">
        <v>3232.429931640625</v>
      </c>
      <c r="E946">
        <v>3237.179931640625</v>
      </c>
      <c r="F946">
        <v>3237.179931640625</v>
      </c>
      <c r="G946">
        <v>3435910000</v>
      </c>
      <c r="H946">
        <v>0</v>
      </c>
      <c r="I946">
        <v>0</v>
      </c>
      <c r="K946" s="11">
        <f t="shared" si="14"/>
        <v>-2.8032386528962228E-3</v>
      </c>
    </row>
    <row r="947" spans="1:11" x14ac:dyDescent="0.2">
      <c r="A947" s="2">
        <v>43838</v>
      </c>
      <c r="B947">
        <v>3238.590087890625</v>
      </c>
      <c r="C947">
        <v>3267.070068359375</v>
      </c>
      <c r="D947">
        <v>3236.669921875</v>
      </c>
      <c r="E947">
        <v>3253.050048828125</v>
      </c>
      <c r="F947">
        <v>3253.050048828125</v>
      </c>
      <c r="G947">
        <v>3726840000</v>
      </c>
      <c r="H947">
        <v>0</v>
      </c>
      <c r="I947">
        <v>0</v>
      </c>
      <c r="K947" s="11">
        <f t="shared" si="14"/>
        <v>4.9024513689781557E-3</v>
      </c>
    </row>
    <row r="948" spans="1:11" x14ac:dyDescent="0.2">
      <c r="A948" s="2">
        <v>43839</v>
      </c>
      <c r="B948">
        <v>3266.030029296875</v>
      </c>
      <c r="C948">
        <v>3275.580078125</v>
      </c>
      <c r="D948">
        <v>3263.669921875</v>
      </c>
      <c r="E948">
        <v>3274.699951171875</v>
      </c>
      <c r="F948">
        <v>3274.699951171875</v>
      </c>
      <c r="G948">
        <v>3641230000</v>
      </c>
      <c r="H948">
        <v>0</v>
      </c>
      <c r="I948">
        <v>0</v>
      </c>
      <c r="K948" s="11">
        <f t="shared" si="14"/>
        <v>6.6552626054889874E-3</v>
      </c>
    </row>
    <row r="949" spans="1:11" x14ac:dyDescent="0.2">
      <c r="A949" s="2">
        <v>43840</v>
      </c>
      <c r="B949">
        <v>3281.81005859375</v>
      </c>
      <c r="C949">
        <v>3282.989990234375</v>
      </c>
      <c r="D949">
        <v>3260.860107421875</v>
      </c>
      <c r="E949">
        <v>3265.35009765625</v>
      </c>
      <c r="F949">
        <v>3265.35009765625</v>
      </c>
      <c r="G949">
        <v>3214580000</v>
      </c>
      <c r="H949">
        <v>0</v>
      </c>
      <c r="I949">
        <v>0</v>
      </c>
      <c r="K949" s="11">
        <f t="shared" si="14"/>
        <v>-2.8551786896625631E-3</v>
      </c>
    </row>
    <row r="950" spans="1:11" x14ac:dyDescent="0.2">
      <c r="A950" s="2">
        <v>43843</v>
      </c>
      <c r="B950">
        <v>3271.1298828125</v>
      </c>
      <c r="C950">
        <v>3288.1298828125</v>
      </c>
      <c r="D950">
        <v>3268.429931640625</v>
      </c>
      <c r="E950">
        <v>3288.1298828125</v>
      </c>
      <c r="F950">
        <v>3288.1298828125</v>
      </c>
      <c r="G950">
        <v>3459390000</v>
      </c>
      <c r="H950">
        <v>0</v>
      </c>
      <c r="I950">
        <v>0</v>
      </c>
      <c r="K950" s="11">
        <f t="shared" si="14"/>
        <v>6.9762152525698617E-3</v>
      </c>
    </row>
    <row r="951" spans="1:11" x14ac:dyDescent="0.2">
      <c r="A951" s="2">
        <v>43844</v>
      </c>
      <c r="B951">
        <v>3285.35009765625</v>
      </c>
      <c r="C951">
        <v>3294.25</v>
      </c>
      <c r="D951">
        <v>3277.18994140625</v>
      </c>
      <c r="E951">
        <v>3283.14990234375</v>
      </c>
      <c r="F951">
        <v>3283.14990234375</v>
      </c>
      <c r="G951">
        <v>3687620000</v>
      </c>
      <c r="H951">
        <v>0</v>
      </c>
      <c r="I951">
        <v>0</v>
      </c>
      <c r="K951" s="11">
        <f t="shared" si="14"/>
        <v>-1.514532772802224E-3</v>
      </c>
    </row>
    <row r="952" spans="1:11" x14ac:dyDescent="0.2">
      <c r="A952" s="2">
        <v>43845</v>
      </c>
      <c r="B952">
        <v>3282.27001953125</v>
      </c>
      <c r="C952">
        <v>3298.659912109375</v>
      </c>
      <c r="D952">
        <v>3280.68994140625</v>
      </c>
      <c r="E952">
        <v>3289.2900390625</v>
      </c>
      <c r="F952">
        <v>3289.2900390625</v>
      </c>
      <c r="G952">
        <v>3721490000</v>
      </c>
      <c r="H952">
        <v>0</v>
      </c>
      <c r="I952">
        <v>0</v>
      </c>
      <c r="K952" s="11">
        <f t="shared" si="14"/>
        <v>1.8701968845122874E-3</v>
      </c>
    </row>
    <row r="953" spans="1:11" x14ac:dyDescent="0.2">
      <c r="A953" s="2">
        <v>43846</v>
      </c>
      <c r="B953">
        <v>3302.969970703125</v>
      </c>
      <c r="C953">
        <v>3317.110107421875</v>
      </c>
      <c r="D953">
        <v>3302.820068359375</v>
      </c>
      <c r="E953">
        <v>3316.81005859375</v>
      </c>
      <c r="F953">
        <v>3316.81005859375</v>
      </c>
      <c r="G953">
        <v>3540580000</v>
      </c>
      <c r="H953">
        <v>0</v>
      </c>
      <c r="I953">
        <v>0</v>
      </c>
      <c r="K953" s="11">
        <f t="shared" si="14"/>
        <v>8.3665530264682708E-3</v>
      </c>
    </row>
    <row r="954" spans="1:11" x14ac:dyDescent="0.2">
      <c r="A954" s="2">
        <v>43847</v>
      </c>
      <c r="B954">
        <v>3323.659912109375</v>
      </c>
      <c r="C954">
        <v>3329.8798828125</v>
      </c>
      <c r="D954">
        <v>3318.860107421875</v>
      </c>
      <c r="E954">
        <v>3329.6201171875</v>
      </c>
      <c r="F954">
        <v>3329.6201171875</v>
      </c>
      <c r="G954">
        <v>3726220000</v>
      </c>
      <c r="H954">
        <v>0</v>
      </c>
      <c r="I954">
        <v>0</v>
      </c>
      <c r="K954" s="11">
        <f t="shared" si="14"/>
        <v>3.8621622485013329E-3</v>
      </c>
    </row>
    <row r="955" spans="1:11" x14ac:dyDescent="0.2">
      <c r="A955" s="2">
        <v>43851</v>
      </c>
      <c r="B955">
        <v>3321.030029296875</v>
      </c>
      <c r="C955">
        <v>3329.7900390625</v>
      </c>
      <c r="D955">
        <v>3316.610107421875</v>
      </c>
      <c r="E955">
        <v>3320.7900390625</v>
      </c>
      <c r="F955">
        <v>3320.7900390625</v>
      </c>
      <c r="G955">
        <v>4104840000</v>
      </c>
      <c r="H955">
        <v>0</v>
      </c>
      <c r="I955">
        <v>0</v>
      </c>
      <c r="K955" s="11">
        <f t="shared" si="14"/>
        <v>-2.6519776473655776E-3</v>
      </c>
    </row>
    <row r="956" spans="1:11" x14ac:dyDescent="0.2">
      <c r="A956" s="2">
        <v>43852</v>
      </c>
      <c r="B956">
        <v>3330.02001953125</v>
      </c>
      <c r="C956">
        <v>3337.77001953125</v>
      </c>
      <c r="D956">
        <v>3320.0400390625</v>
      </c>
      <c r="E956">
        <v>3321.75</v>
      </c>
      <c r="F956">
        <v>3321.75</v>
      </c>
      <c r="G956">
        <v>3623780000</v>
      </c>
      <c r="H956">
        <v>0</v>
      </c>
      <c r="I956">
        <v>0</v>
      </c>
      <c r="K956" s="11">
        <f t="shared" si="14"/>
        <v>2.8907607111805511E-4</v>
      </c>
    </row>
    <row r="957" spans="1:11" x14ac:dyDescent="0.2">
      <c r="A957" s="2">
        <v>43853</v>
      </c>
      <c r="B957">
        <v>3315.77001953125</v>
      </c>
      <c r="C957">
        <v>3326.8798828125</v>
      </c>
      <c r="D957">
        <v>3301.8701171875</v>
      </c>
      <c r="E957">
        <v>3325.5400390625</v>
      </c>
      <c r="F957">
        <v>3325.5400390625</v>
      </c>
      <c r="G957">
        <v>3766710000</v>
      </c>
      <c r="H957">
        <v>0</v>
      </c>
      <c r="I957">
        <v>0</v>
      </c>
      <c r="K957" s="11">
        <f t="shared" si="14"/>
        <v>1.1409766124783616E-3</v>
      </c>
    </row>
    <row r="958" spans="1:11" x14ac:dyDescent="0.2">
      <c r="A958" s="2">
        <v>43854</v>
      </c>
      <c r="B958">
        <v>3333.10009765625</v>
      </c>
      <c r="C958">
        <v>3333.179931640625</v>
      </c>
      <c r="D958">
        <v>3281.530029296875</v>
      </c>
      <c r="E958">
        <v>3295.469970703125</v>
      </c>
      <c r="F958">
        <v>3295.469970703125</v>
      </c>
      <c r="G958">
        <v>3708780000</v>
      </c>
      <c r="H958">
        <v>0</v>
      </c>
      <c r="I958">
        <v>0</v>
      </c>
      <c r="K958" s="11">
        <f t="shared" si="14"/>
        <v>-9.0421609742074027E-3</v>
      </c>
    </row>
    <row r="959" spans="1:11" x14ac:dyDescent="0.2">
      <c r="A959" s="2">
        <v>43857</v>
      </c>
      <c r="B959">
        <v>3247.159912109375</v>
      </c>
      <c r="C959">
        <v>3258.85009765625</v>
      </c>
      <c r="D959">
        <v>3234.5</v>
      </c>
      <c r="E959">
        <v>3243.6298828125</v>
      </c>
      <c r="F959">
        <v>3243.6298828125</v>
      </c>
      <c r="G959">
        <v>3831050000</v>
      </c>
      <c r="H959">
        <v>0</v>
      </c>
      <c r="I959">
        <v>0</v>
      </c>
      <c r="K959" s="11">
        <f t="shared" si="14"/>
        <v>-1.5730711659182384E-2</v>
      </c>
    </row>
    <row r="960" spans="1:11" x14ac:dyDescent="0.2">
      <c r="A960" s="2">
        <v>43858</v>
      </c>
      <c r="B960">
        <v>3255.35009765625</v>
      </c>
      <c r="C960">
        <v>3285.780029296875</v>
      </c>
      <c r="D960">
        <v>3253.219970703125</v>
      </c>
      <c r="E960">
        <v>3276.239990234375</v>
      </c>
      <c r="F960">
        <v>3276.239990234375</v>
      </c>
      <c r="G960">
        <v>3531570000</v>
      </c>
      <c r="H960">
        <v>0</v>
      </c>
      <c r="I960">
        <v>0</v>
      </c>
      <c r="K960" s="11">
        <f t="shared" si="14"/>
        <v>1.0053584595046017E-2</v>
      </c>
    </row>
    <row r="961" spans="1:11" x14ac:dyDescent="0.2">
      <c r="A961" s="2">
        <v>43859</v>
      </c>
      <c r="B961">
        <v>3289.4599609375</v>
      </c>
      <c r="C961">
        <v>3293.469970703125</v>
      </c>
      <c r="D961">
        <v>3271.889892578125</v>
      </c>
      <c r="E961">
        <v>3273.39990234375</v>
      </c>
      <c r="F961">
        <v>3273.39990234375</v>
      </c>
      <c r="G961">
        <v>3600250000</v>
      </c>
      <c r="H961">
        <v>0</v>
      </c>
      <c r="I961">
        <v>0</v>
      </c>
      <c r="K961" s="11">
        <f t="shared" si="14"/>
        <v>-8.6687419086839412E-4</v>
      </c>
    </row>
    <row r="962" spans="1:11" x14ac:dyDescent="0.2">
      <c r="A962" s="2">
        <v>43860</v>
      </c>
      <c r="B962">
        <v>3256.449951171875</v>
      </c>
      <c r="C962">
        <v>3285.909912109375</v>
      </c>
      <c r="D962">
        <v>3242.800048828125</v>
      </c>
      <c r="E962">
        <v>3283.659912109375</v>
      </c>
      <c r="F962">
        <v>3283.659912109375</v>
      </c>
      <c r="G962">
        <v>3790350000</v>
      </c>
      <c r="H962">
        <v>0</v>
      </c>
      <c r="I962">
        <v>0</v>
      </c>
      <c r="K962" s="11">
        <f t="shared" si="14"/>
        <v>3.134358792605374E-3</v>
      </c>
    </row>
    <row r="963" spans="1:11" x14ac:dyDescent="0.2">
      <c r="A963" s="2">
        <v>43861</v>
      </c>
      <c r="B963">
        <v>3282.330078125</v>
      </c>
      <c r="C963">
        <v>3282.330078125</v>
      </c>
      <c r="D963">
        <v>3214.679931640625</v>
      </c>
      <c r="E963">
        <v>3225.52001953125</v>
      </c>
      <c r="F963">
        <v>3225.52001953125</v>
      </c>
      <c r="G963">
        <v>4529700000</v>
      </c>
      <c r="H963">
        <v>0</v>
      </c>
      <c r="I963">
        <v>0</v>
      </c>
      <c r="K963" s="11">
        <f t="shared" si="14"/>
        <v>-1.770582037552626E-2</v>
      </c>
    </row>
    <row r="964" spans="1:11" x14ac:dyDescent="0.2">
      <c r="A964" s="2">
        <v>43864</v>
      </c>
      <c r="B964">
        <v>3235.659912109375</v>
      </c>
      <c r="C964">
        <v>3268.43994140625</v>
      </c>
      <c r="D964">
        <v>3235.659912109375</v>
      </c>
      <c r="E964">
        <v>3248.919921875</v>
      </c>
      <c r="F964">
        <v>3248.919921875</v>
      </c>
      <c r="G964">
        <v>3760460000</v>
      </c>
      <c r="H964">
        <v>0</v>
      </c>
      <c r="I964">
        <v>0</v>
      </c>
      <c r="K964" s="11">
        <f t="shared" ref="K964:K1027" si="15">(E964/E963)-1</f>
        <v>7.2546138923517134E-3</v>
      </c>
    </row>
    <row r="965" spans="1:11" x14ac:dyDescent="0.2">
      <c r="A965" s="2">
        <v>43865</v>
      </c>
      <c r="B965">
        <v>3280.610107421875</v>
      </c>
      <c r="C965">
        <v>3306.919921875</v>
      </c>
      <c r="D965">
        <v>3280.610107421875</v>
      </c>
      <c r="E965">
        <v>3297.590087890625</v>
      </c>
      <c r="F965">
        <v>3297.590087890625</v>
      </c>
      <c r="G965">
        <v>3996900000</v>
      </c>
      <c r="H965">
        <v>0</v>
      </c>
      <c r="I965">
        <v>0</v>
      </c>
      <c r="K965" s="11">
        <f t="shared" si="15"/>
        <v>1.4980414164082134E-2</v>
      </c>
    </row>
    <row r="966" spans="1:11" x14ac:dyDescent="0.2">
      <c r="A966" s="2">
        <v>43866</v>
      </c>
      <c r="B966">
        <v>3324.909912109375</v>
      </c>
      <c r="C966">
        <v>3337.580078125</v>
      </c>
      <c r="D966">
        <v>3313.75</v>
      </c>
      <c r="E966">
        <v>3334.68994140625</v>
      </c>
      <c r="F966">
        <v>3334.68994140625</v>
      </c>
      <c r="G966">
        <v>4121480000</v>
      </c>
      <c r="H966">
        <v>0</v>
      </c>
      <c r="I966">
        <v>0</v>
      </c>
      <c r="K966" s="11">
        <f t="shared" si="15"/>
        <v>1.125059589785371E-2</v>
      </c>
    </row>
    <row r="967" spans="1:11" x14ac:dyDescent="0.2">
      <c r="A967" s="2">
        <v>43867</v>
      </c>
      <c r="B967">
        <v>3344.919921875</v>
      </c>
      <c r="C967">
        <v>3347.9599609375</v>
      </c>
      <c r="D967">
        <v>3334.389892578125</v>
      </c>
      <c r="E967">
        <v>3345.780029296875</v>
      </c>
      <c r="F967">
        <v>3345.780029296875</v>
      </c>
      <c r="G967">
        <v>3887250000</v>
      </c>
      <c r="H967">
        <v>0</v>
      </c>
      <c r="I967">
        <v>0</v>
      </c>
      <c r="K967" s="11">
        <f t="shared" si="15"/>
        <v>3.3256728767856458E-3</v>
      </c>
    </row>
    <row r="968" spans="1:11" x14ac:dyDescent="0.2">
      <c r="A968" s="2">
        <v>43868</v>
      </c>
      <c r="B968">
        <v>3335.5400390625</v>
      </c>
      <c r="C968">
        <v>3341.419921875</v>
      </c>
      <c r="D968">
        <v>3322.1201171875</v>
      </c>
      <c r="E968">
        <v>3327.7099609375</v>
      </c>
      <c r="F968">
        <v>3327.7099609375</v>
      </c>
      <c r="G968">
        <v>3733920000</v>
      </c>
      <c r="H968">
        <v>0</v>
      </c>
      <c r="I968">
        <v>0</v>
      </c>
      <c r="K968" s="11">
        <f t="shared" si="15"/>
        <v>-5.4008536727301326E-3</v>
      </c>
    </row>
    <row r="969" spans="1:11" x14ac:dyDescent="0.2">
      <c r="A969" s="2">
        <v>43871</v>
      </c>
      <c r="B969">
        <v>3318.280029296875</v>
      </c>
      <c r="C969">
        <v>3352.260009765625</v>
      </c>
      <c r="D969">
        <v>3317.77001953125</v>
      </c>
      <c r="E969">
        <v>3352.090087890625</v>
      </c>
      <c r="F969">
        <v>3352.090087890625</v>
      </c>
      <c r="G969">
        <v>3462730000</v>
      </c>
      <c r="H969">
        <v>0</v>
      </c>
      <c r="I969">
        <v>0</v>
      </c>
      <c r="K969" s="11">
        <f t="shared" si="15"/>
        <v>7.3263978048905276E-3</v>
      </c>
    </row>
    <row r="970" spans="1:11" x14ac:dyDescent="0.2">
      <c r="A970" s="2">
        <v>43872</v>
      </c>
      <c r="B970">
        <v>3365.8701171875</v>
      </c>
      <c r="C970">
        <v>3375.6298828125</v>
      </c>
      <c r="D970">
        <v>3352.719970703125</v>
      </c>
      <c r="E970">
        <v>3357.75</v>
      </c>
      <c r="F970">
        <v>3357.75</v>
      </c>
      <c r="G970">
        <v>3762940000</v>
      </c>
      <c r="H970">
        <v>0</v>
      </c>
      <c r="I970">
        <v>0</v>
      </c>
      <c r="K970" s="11">
        <f t="shared" si="15"/>
        <v>1.6884725532351208E-3</v>
      </c>
    </row>
    <row r="971" spans="1:11" x14ac:dyDescent="0.2">
      <c r="A971" s="2">
        <v>43873</v>
      </c>
      <c r="B971">
        <v>3370.5</v>
      </c>
      <c r="C971">
        <v>3381.469970703125</v>
      </c>
      <c r="D971">
        <v>3369.719970703125</v>
      </c>
      <c r="E971">
        <v>3379.449951171875</v>
      </c>
      <c r="F971">
        <v>3379.449951171875</v>
      </c>
      <c r="G971">
        <v>3930910000</v>
      </c>
      <c r="H971">
        <v>0</v>
      </c>
      <c r="I971">
        <v>0</v>
      </c>
      <c r="K971" s="11">
        <f t="shared" si="15"/>
        <v>6.4626464661976524E-3</v>
      </c>
    </row>
    <row r="972" spans="1:11" x14ac:dyDescent="0.2">
      <c r="A972" s="2">
        <v>43874</v>
      </c>
      <c r="B972">
        <v>3365.89990234375</v>
      </c>
      <c r="C972">
        <v>3385.090087890625</v>
      </c>
      <c r="D972">
        <v>3360.52001953125</v>
      </c>
      <c r="E972">
        <v>3373.93994140625</v>
      </c>
      <c r="F972">
        <v>3373.93994140625</v>
      </c>
      <c r="G972">
        <v>3500890000</v>
      </c>
      <c r="H972">
        <v>0</v>
      </c>
      <c r="I972">
        <v>0</v>
      </c>
      <c r="K972" s="11">
        <f t="shared" si="15"/>
        <v>-1.6304457368023773E-3</v>
      </c>
    </row>
    <row r="973" spans="1:11" x14ac:dyDescent="0.2">
      <c r="A973" s="2">
        <v>43875</v>
      </c>
      <c r="B973">
        <v>3378.080078125</v>
      </c>
      <c r="C973">
        <v>3380.68994140625</v>
      </c>
      <c r="D973">
        <v>3366.14990234375</v>
      </c>
      <c r="E973">
        <v>3380.159912109375</v>
      </c>
      <c r="F973">
        <v>3380.159912109375</v>
      </c>
      <c r="G973">
        <v>3419700000</v>
      </c>
      <c r="H973">
        <v>0</v>
      </c>
      <c r="I973">
        <v>0</v>
      </c>
      <c r="K973" s="11">
        <f t="shared" si="15"/>
        <v>1.8435333204338544E-3</v>
      </c>
    </row>
    <row r="974" spans="1:11" x14ac:dyDescent="0.2">
      <c r="A974" s="2">
        <v>43879</v>
      </c>
      <c r="B974">
        <v>3369.0400390625</v>
      </c>
      <c r="C974">
        <v>3375.010009765625</v>
      </c>
      <c r="D974">
        <v>3355.610107421875</v>
      </c>
      <c r="E974">
        <v>3370.2900390625</v>
      </c>
      <c r="F974">
        <v>3370.2900390625</v>
      </c>
      <c r="G974">
        <v>3750400000</v>
      </c>
      <c r="H974">
        <v>0</v>
      </c>
      <c r="I974">
        <v>0</v>
      </c>
      <c r="K974" s="11">
        <f t="shared" si="15"/>
        <v>-2.9199426368901049E-3</v>
      </c>
    </row>
    <row r="975" spans="1:11" x14ac:dyDescent="0.2">
      <c r="A975" s="2">
        <v>43880</v>
      </c>
      <c r="B975">
        <v>3380.389892578125</v>
      </c>
      <c r="C975">
        <v>3393.52001953125</v>
      </c>
      <c r="D975">
        <v>3378.830078125</v>
      </c>
      <c r="E975">
        <v>3386.14990234375</v>
      </c>
      <c r="F975">
        <v>3386.14990234375</v>
      </c>
      <c r="G975">
        <v>3614200000</v>
      </c>
      <c r="H975">
        <v>0</v>
      </c>
      <c r="I975">
        <v>0</v>
      </c>
      <c r="K975" s="11">
        <f t="shared" si="15"/>
        <v>4.7057858811645481E-3</v>
      </c>
    </row>
    <row r="976" spans="1:11" x14ac:dyDescent="0.2">
      <c r="A976" s="2">
        <v>43881</v>
      </c>
      <c r="B976">
        <v>3380.449951171875</v>
      </c>
      <c r="C976">
        <v>3389.14990234375</v>
      </c>
      <c r="D976">
        <v>3341.02001953125</v>
      </c>
      <c r="E976">
        <v>3373.22998046875</v>
      </c>
      <c r="F976">
        <v>3373.22998046875</v>
      </c>
      <c r="G976">
        <v>4019180000</v>
      </c>
      <c r="H976">
        <v>0</v>
      </c>
      <c r="I976">
        <v>0</v>
      </c>
      <c r="K976" s="11">
        <f t="shared" si="15"/>
        <v>-3.8155197636281502E-3</v>
      </c>
    </row>
    <row r="977" spans="1:11" x14ac:dyDescent="0.2">
      <c r="A977" s="2">
        <v>43882</v>
      </c>
      <c r="B977">
        <v>3360.5</v>
      </c>
      <c r="C977">
        <v>3360.760009765625</v>
      </c>
      <c r="D977">
        <v>3328.449951171875</v>
      </c>
      <c r="E977">
        <v>3337.75</v>
      </c>
      <c r="F977">
        <v>3337.75</v>
      </c>
      <c r="G977">
        <v>3908780000</v>
      </c>
      <c r="H977">
        <v>0</v>
      </c>
      <c r="I977">
        <v>0</v>
      </c>
      <c r="K977" s="11">
        <f t="shared" si="15"/>
        <v>-1.051810302712286E-2</v>
      </c>
    </row>
    <row r="978" spans="1:11" x14ac:dyDescent="0.2">
      <c r="A978" s="2">
        <v>43885</v>
      </c>
      <c r="B978">
        <v>3257.610107421875</v>
      </c>
      <c r="C978">
        <v>3259.81005859375</v>
      </c>
      <c r="D978">
        <v>3214.64990234375</v>
      </c>
      <c r="E978">
        <v>3225.889892578125</v>
      </c>
      <c r="F978">
        <v>3225.889892578125</v>
      </c>
      <c r="G978">
        <v>4851160000</v>
      </c>
      <c r="H978">
        <v>0</v>
      </c>
      <c r="I978">
        <v>0</v>
      </c>
      <c r="K978" s="11">
        <f t="shared" si="15"/>
        <v>-3.3513626671223151E-2</v>
      </c>
    </row>
    <row r="979" spans="1:11" x14ac:dyDescent="0.2">
      <c r="A979" s="2">
        <v>43886</v>
      </c>
      <c r="B979">
        <v>3238.93994140625</v>
      </c>
      <c r="C979">
        <v>3246.989990234375</v>
      </c>
      <c r="D979">
        <v>3118.77001953125</v>
      </c>
      <c r="E979">
        <v>3128.2099609375</v>
      </c>
      <c r="F979">
        <v>3128.2099609375</v>
      </c>
      <c r="G979">
        <v>5596760000</v>
      </c>
      <c r="H979">
        <v>0</v>
      </c>
      <c r="I979">
        <v>0</v>
      </c>
      <c r="K979" s="11">
        <f t="shared" si="15"/>
        <v>-3.0279995565056117E-2</v>
      </c>
    </row>
    <row r="980" spans="1:11" x14ac:dyDescent="0.2">
      <c r="A980" s="2">
        <v>43887</v>
      </c>
      <c r="B980">
        <v>3139.89990234375</v>
      </c>
      <c r="C980">
        <v>3182.510009765625</v>
      </c>
      <c r="D980">
        <v>3108.989990234375</v>
      </c>
      <c r="E980">
        <v>3116.389892578125</v>
      </c>
      <c r="F980">
        <v>3116.389892578125</v>
      </c>
      <c r="G980">
        <v>5484650000</v>
      </c>
      <c r="H980">
        <v>0</v>
      </c>
      <c r="I980">
        <v>0</v>
      </c>
      <c r="K980" s="11">
        <f t="shared" si="15"/>
        <v>-3.7785406053220116E-3</v>
      </c>
    </row>
    <row r="981" spans="1:11" x14ac:dyDescent="0.2">
      <c r="A981" s="2">
        <v>43888</v>
      </c>
      <c r="B981">
        <v>3062.5400390625</v>
      </c>
      <c r="C981">
        <v>3097.070068359375</v>
      </c>
      <c r="D981">
        <v>2977.389892578125</v>
      </c>
      <c r="E981">
        <v>2978.760009765625</v>
      </c>
      <c r="F981">
        <v>2978.760009765625</v>
      </c>
      <c r="G981">
        <v>7064710000</v>
      </c>
      <c r="H981">
        <v>0</v>
      </c>
      <c r="I981">
        <v>0</v>
      </c>
      <c r="K981" s="11">
        <f t="shared" si="15"/>
        <v>-4.416324258407911E-2</v>
      </c>
    </row>
    <row r="982" spans="1:11" x14ac:dyDescent="0.2">
      <c r="A982" s="2">
        <v>43889</v>
      </c>
      <c r="B982">
        <v>2916.89990234375</v>
      </c>
      <c r="C982">
        <v>2959.719970703125</v>
      </c>
      <c r="D982">
        <v>2855.840087890625</v>
      </c>
      <c r="E982">
        <v>2954.219970703125</v>
      </c>
      <c r="F982">
        <v>2954.219970703125</v>
      </c>
      <c r="G982">
        <v>8569570000</v>
      </c>
      <c r="H982">
        <v>0</v>
      </c>
      <c r="I982">
        <v>0</v>
      </c>
      <c r="K982" s="11">
        <f t="shared" si="15"/>
        <v>-8.2383404443618913E-3</v>
      </c>
    </row>
    <row r="983" spans="1:11" x14ac:dyDescent="0.2">
      <c r="A983" s="2">
        <v>43892</v>
      </c>
      <c r="B983">
        <v>2974.280029296875</v>
      </c>
      <c r="C983">
        <v>3090.9599609375</v>
      </c>
      <c r="D983">
        <v>2945.18994140625</v>
      </c>
      <c r="E983">
        <v>3090.22998046875</v>
      </c>
      <c r="F983">
        <v>3090.22998046875</v>
      </c>
      <c r="G983">
        <v>6381330000</v>
      </c>
      <c r="H983">
        <v>0</v>
      </c>
      <c r="I983">
        <v>0</v>
      </c>
      <c r="K983" s="11">
        <f t="shared" si="15"/>
        <v>4.6039229006110016E-2</v>
      </c>
    </row>
    <row r="984" spans="1:11" x14ac:dyDescent="0.2">
      <c r="A984" s="2">
        <v>43893</v>
      </c>
      <c r="B984">
        <v>3096.4599609375</v>
      </c>
      <c r="C984">
        <v>3136.719970703125</v>
      </c>
      <c r="D984">
        <v>2976.6298828125</v>
      </c>
      <c r="E984">
        <v>3003.3701171875</v>
      </c>
      <c r="F984">
        <v>3003.3701171875</v>
      </c>
      <c r="G984">
        <v>6376510000</v>
      </c>
      <c r="H984">
        <v>0</v>
      </c>
      <c r="I984">
        <v>0</v>
      </c>
      <c r="K984" s="11">
        <f t="shared" si="15"/>
        <v>-2.8107896121075893E-2</v>
      </c>
    </row>
    <row r="985" spans="1:11" x14ac:dyDescent="0.2">
      <c r="A985" s="2">
        <v>43894</v>
      </c>
      <c r="B985">
        <v>3045.75</v>
      </c>
      <c r="C985">
        <v>3130.969970703125</v>
      </c>
      <c r="D985">
        <v>3034.3798828125</v>
      </c>
      <c r="E985">
        <v>3130.1201171875</v>
      </c>
      <c r="F985">
        <v>3130.1201171875</v>
      </c>
      <c r="G985">
        <v>5073020000</v>
      </c>
      <c r="H985">
        <v>0</v>
      </c>
      <c r="I985">
        <v>0</v>
      </c>
      <c r="K985" s="11">
        <f t="shared" si="15"/>
        <v>4.2202590774491178E-2</v>
      </c>
    </row>
    <row r="986" spans="1:11" x14ac:dyDescent="0.2">
      <c r="A986" s="2">
        <v>43895</v>
      </c>
      <c r="B986">
        <v>3075.699951171875</v>
      </c>
      <c r="C986">
        <v>3083.0400390625</v>
      </c>
      <c r="D986">
        <v>2999.830078125</v>
      </c>
      <c r="E986">
        <v>3023.93994140625</v>
      </c>
      <c r="F986">
        <v>3023.93994140625</v>
      </c>
      <c r="G986">
        <v>5579290000</v>
      </c>
      <c r="H986">
        <v>0</v>
      </c>
      <c r="I986">
        <v>0</v>
      </c>
      <c r="K986" s="11">
        <f t="shared" si="15"/>
        <v>-3.3922077046888544E-2</v>
      </c>
    </row>
    <row r="987" spans="1:11" x14ac:dyDescent="0.2">
      <c r="A987" s="2">
        <v>43896</v>
      </c>
      <c r="B987">
        <v>2954.199951171875</v>
      </c>
      <c r="C987">
        <v>2985.929931640625</v>
      </c>
      <c r="D987">
        <v>2901.5400390625</v>
      </c>
      <c r="E987">
        <v>2972.3701171875</v>
      </c>
      <c r="F987">
        <v>2972.3701171875</v>
      </c>
      <c r="G987">
        <v>6555240000</v>
      </c>
      <c r="H987">
        <v>0</v>
      </c>
      <c r="I987">
        <v>0</v>
      </c>
      <c r="K987" s="11">
        <f t="shared" si="15"/>
        <v>-1.7053852000370129E-2</v>
      </c>
    </row>
    <row r="988" spans="1:11" x14ac:dyDescent="0.2">
      <c r="A988" s="2">
        <v>43899</v>
      </c>
      <c r="B988">
        <v>2863.889892578125</v>
      </c>
      <c r="C988">
        <v>2863.889892578125</v>
      </c>
      <c r="D988">
        <v>2734.429931640625</v>
      </c>
      <c r="E988">
        <v>2746.56005859375</v>
      </c>
      <c r="F988">
        <v>2746.56005859375</v>
      </c>
      <c r="G988">
        <v>8441290000</v>
      </c>
      <c r="H988">
        <v>0</v>
      </c>
      <c r="I988">
        <v>0</v>
      </c>
      <c r="K988" s="11">
        <f t="shared" si="15"/>
        <v>-7.596969747745097E-2</v>
      </c>
    </row>
    <row r="989" spans="1:11" x14ac:dyDescent="0.2">
      <c r="A989" s="2">
        <v>43900</v>
      </c>
      <c r="B989">
        <v>2813.47998046875</v>
      </c>
      <c r="C989">
        <v>2882.590087890625</v>
      </c>
      <c r="D989">
        <v>2734</v>
      </c>
      <c r="E989">
        <v>2882.22998046875</v>
      </c>
      <c r="F989">
        <v>2882.22998046875</v>
      </c>
      <c r="G989">
        <v>7642040000</v>
      </c>
      <c r="H989">
        <v>0</v>
      </c>
      <c r="I989">
        <v>0</v>
      </c>
      <c r="K989" s="11">
        <f t="shared" si="15"/>
        <v>4.9396306281561442E-2</v>
      </c>
    </row>
    <row r="990" spans="1:11" x14ac:dyDescent="0.2">
      <c r="A990" s="2">
        <v>43901</v>
      </c>
      <c r="B990">
        <v>2825.60009765625</v>
      </c>
      <c r="C990">
        <v>2825.60009765625</v>
      </c>
      <c r="D990">
        <v>2707.219970703125</v>
      </c>
      <c r="E990">
        <v>2741.3798828125</v>
      </c>
      <c r="F990">
        <v>2741.3798828125</v>
      </c>
      <c r="G990">
        <v>7431200000</v>
      </c>
      <c r="H990">
        <v>0</v>
      </c>
      <c r="I990">
        <v>0</v>
      </c>
      <c r="K990" s="11">
        <f t="shared" si="15"/>
        <v>-4.8868445131273974E-2</v>
      </c>
    </row>
    <row r="991" spans="1:11" x14ac:dyDescent="0.2">
      <c r="A991" s="2">
        <v>43902</v>
      </c>
      <c r="B991">
        <v>2630.860107421875</v>
      </c>
      <c r="C991">
        <v>2660.949951171875</v>
      </c>
      <c r="D991">
        <v>2478.860107421875</v>
      </c>
      <c r="E991">
        <v>2480.639892578125</v>
      </c>
      <c r="F991">
        <v>2480.639892578125</v>
      </c>
      <c r="G991">
        <v>8850810000</v>
      </c>
      <c r="H991">
        <v>0</v>
      </c>
      <c r="I991">
        <v>0</v>
      </c>
      <c r="K991" s="11">
        <f t="shared" si="15"/>
        <v>-9.5112680978336583E-2</v>
      </c>
    </row>
    <row r="992" spans="1:11" x14ac:dyDescent="0.2">
      <c r="A992" s="2">
        <v>43903</v>
      </c>
      <c r="B992">
        <v>2569.989990234375</v>
      </c>
      <c r="C992">
        <v>2711.330078125</v>
      </c>
      <c r="D992">
        <v>2492.3701171875</v>
      </c>
      <c r="E992">
        <v>2711.02001953125</v>
      </c>
      <c r="F992">
        <v>2711.02001953125</v>
      </c>
      <c r="G992">
        <v>8299070000</v>
      </c>
      <c r="H992">
        <v>0</v>
      </c>
      <c r="I992">
        <v>0</v>
      </c>
      <c r="K992" s="11">
        <f t="shared" si="15"/>
        <v>9.2871249729718386E-2</v>
      </c>
    </row>
    <row r="993" spans="1:11" x14ac:dyDescent="0.2">
      <c r="A993" s="2">
        <v>43906</v>
      </c>
      <c r="B993">
        <v>2508.590087890625</v>
      </c>
      <c r="C993">
        <v>2562.97998046875</v>
      </c>
      <c r="D993">
        <v>2380.93994140625</v>
      </c>
      <c r="E993">
        <v>2386.1298828125</v>
      </c>
      <c r="F993">
        <v>2386.1298828125</v>
      </c>
      <c r="G993">
        <v>7805450000</v>
      </c>
      <c r="H993">
        <v>0</v>
      </c>
      <c r="I993">
        <v>0</v>
      </c>
      <c r="K993" s="11">
        <f t="shared" si="15"/>
        <v>-0.11984055240393443</v>
      </c>
    </row>
    <row r="994" spans="1:11" x14ac:dyDescent="0.2">
      <c r="A994" s="2">
        <v>43907</v>
      </c>
      <c r="B994">
        <v>2425.659912109375</v>
      </c>
      <c r="C994">
        <v>2553.929931640625</v>
      </c>
      <c r="D994">
        <v>2367.0400390625</v>
      </c>
      <c r="E994">
        <v>2529.18994140625</v>
      </c>
      <c r="F994">
        <v>2529.18994140625</v>
      </c>
      <c r="G994">
        <v>8370250000</v>
      </c>
      <c r="H994">
        <v>0</v>
      </c>
      <c r="I994">
        <v>0</v>
      </c>
      <c r="K994" s="11">
        <f t="shared" si="15"/>
        <v>5.9954849744024319E-2</v>
      </c>
    </row>
    <row r="995" spans="1:11" x14ac:dyDescent="0.2">
      <c r="A995" s="2">
        <v>43908</v>
      </c>
      <c r="B995">
        <v>2436.5</v>
      </c>
      <c r="C995">
        <v>2453.570068359375</v>
      </c>
      <c r="D995">
        <v>2280.52001953125</v>
      </c>
      <c r="E995">
        <v>2398.10009765625</v>
      </c>
      <c r="F995">
        <v>2398.10009765625</v>
      </c>
      <c r="G995">
        <v>8799300000</v>
      </c>
      <c r="H995">
        <v>0</v>
      </c>
      <c r="I995">
        <v>0</v>
      </c>
      <c r="K995" s="11">
        <f t="shared" si="15"/>
        <v>-5.1830762729157875E-2</v>
      </c>
    </row>
    <row r="996" spans="1:11" x14ac:dyDescent="0.2">
      <c r="A996" s="2">
        <v>43909</v>
      </c>
      <c r="B996">
        <v>2393.47998046875</v>
      </c>
      <c r="C996">
        <v>2466.969970703125</v>
      </c>
      <c r="D996">
        <v>2319.780029296875</v>
      </c>
      <c r="E996">
        <v>2409.389892578125</v>
      </c>
      <c r="F996">
        <v>2409.389892578125</v>
      </c>
      <c r="G996">
        <v>7956100000</v>
      </c>
      <c r="H996">
        <v>0</v>
      </c>
      <c r="I996">
        <v>0</v>
      </c>
      <c r="K996" s="11">
        <f t="shared" si="15"/>
        <v>4.7078080405855705E-3</v>
      </c>
    </row>
    <row r="997" spans="1:11" x14ac:dyDescent="0.2">
      <c r="A997" s="2">
        <v>43910</v>
      </c>
      <c r="B997">
        <v>2431.93994140625</v>
      </c>
      <c r="C997">
        <v>2453.010009765625</v>
      </c>
      <c r="D997">
        <v>2295.56005859375</v>
      </c>
      <c r="E997">
        <v>2304.919921875</v>
      </c>
      <c r="F997">
        <v>2304.919921875</v>
      </c>
      <c r="G997">
        <v>9053950000</v>
      </c>
      <c r="H997">
        <v>0</v>
      </c>
      <c r="I997">
        <v>0</v>
      </c>
      <c r="K997" s="11">
        <f t="shared" si="15"/>
        <v>-4.3359512308461912E-2</v>
      </c>
    </row>
    <row r="998" spans="1:11" x14ac:dyDescent="0.2">
      <c r="A998" s="2">
        <v>43913</v>
      </c>
      <c r="B998">
        <v>2290.7099609375</v>
      </c>
      <c r="C998">
        <v>2300.72998046875</v>
      </c>
      <c r="D998">
        <v>2191.860107421875</v>
      </c>
      <c r="E998">
        <v>2237.39990234375</v>
      </c>
      <c r="F998">
        <v>2237.39990234375</v>
      </c>
      <c r="G998">
        <v>7411380000</v>
      </c>
      <c r="H998">
        <v>0</v>
      </c>
      <c r="I998">
        <v>0</v>
      </c>
      <c r="K998" s="11">
        <f t="shared" si="15"/>
        <v>-2.9293867821804431E-2</v>
      </c>
    </row>
    <row r="999" spans="1:11" x14ac:dyDescent="0.2">
      <c r="A999" s="2">
        <v>43914</v>
      </c>
      <c r="B999">
        <v>2344.43994140625</v>
      </c>
      <c r="C999">
        <v>2449.7099609375</v>
      </c>
      <c r="D999">
        <v>2344.43994140625</v>
      </c>
      <c r="E999">
        <v>2447.330078125</v>
      </c>
      <c r="F999">
        <v>2447.330078125</v>
      </c>
      <c r="G999">
        <v>7563150000</v>
      </c>
      <c r="H999">
        <v>0</v>
      </c>
      <c r="I999">
        <v>0</v>
      </c>
      <c r="K999" s="11">
        <f t="shared" si="15"/>
        <v>9.3827739762275542E-2</v>
      </c>
    </row>
    <row r="1000" spans="1:11" x14ac:dyDescent="0.2">
      <c r="A1000" s="2">
        <v>43915</v>
      </c>
      <c r="B1000">
        <v>2457.77001953125</v>
      </c>
      <c r="C1000">
        <v>2571.419921875</v>
      </c>
      <c r="D1000">
        <v>2407.530029296875</v>
      </c>
      <c r="E1000">
        <v>2475.56005859375</v>
      </c>
      <c r="F1000">
        <v>2475.56005859375</v>
      </c>
      <c r="G1000">
        <v>8300010000</v>
      </c>
      <c r="H1000">
        <v>0</v>
      </c>
      <c r="I1000">
        <v>0</v>
      </c>
      <c r="K1000" s="11">
        <f t="shared" si="15"/>
        <v>1.1535011448221999E-2</v>
      </c>
    </row>
    <row r="1001" spans="1:11" x14ac:dyDescent="0.2">
      <c r="A1001" s="2">
        <v>43916</v>
      </c>
      <c r="B1001">
        <v>2501.2900390625</v>
      </c>
      <c r="C1001">
        <v>2637.010009765625</v>
      </c>
      <c r="D1001">
        <v>2500.719970703125</v>
      </c>
      <c r="E1001">
        <v>2630.070068359375</v>
      </c>
      <c r="F1001">
        <v>2630.070068359375</v>
      </c>
      <c r="G1001">
        <v>7766990000</v>
      </c>
      <c r="H1001">
        <v>0</v>
      </c>
      <c r="I1001">
        <v>0</v>
      </c>
      <c r="K1001" s="11">
        <f t="shared" si="15"/>
        <v>6.2414163303876835E-2</v>
      </c>
    </row>
    <row r="1002" spans="1:11" x14ac:dyDescent="0.2">
      <c r="A1002" s="2">
        <v>43917</v>
      </c>
      <c r="B1002">
        <v>2555.8701171875</v>
      </c>
      <c r="C1002">
        <v>2615.909912109375</v>
      </c>
      <c r="D1002">
        <v>2520.02001953125</v>
      </c>
      <c r="E1002">
        <v>2541.469970703125</v>
      </c>
      <c r="F1002">
        <v>2541.469970703125</v>
      </c>
      <c r="G1002">
        <v>6201670000</v>
      </c>
      <c r="H1002">
        <v>0</v>
      </c>
      <c r="I1002">
        <v>0</v>
      </c>
      <c r="K1002" s="11">
        <f t="shared" si="15"/>
        <v>-3.3687352562252526E-2</v>
      </c>
    </row>
    <row r="1003" spans="1:11" x14ac:dyDescent="0.2">
      <c r="A1003" s="2">
        <v>43920</v>
      </c>
      <c r="B1003">
        <v>2558.97998046875</v>
      </c>
      <c r="C1003">
        <v>2631.800048828125</v>
      </c>
      <c r="D1003">
        <v>2545.280029296875</v>
      </c>
      <c r="E1003">
        <v>2626.64990234375</v>
      </c>
      <c r="F1003">
        <v>2626.64990234375</v>
      </c>
      <c r="G1003">
        <v>5751120000</v>
      </c>
      <c r="H1003">
        <v>0</v>
      </c>
      <c r="I1003">
        <v>0</v>
      </c>
      <c r="K1003" s="11">
        <f t="shared" si="15"/>
        <v>3.3516009483700149E-2</v>
      </c>
    </row>
    <row r="1004" spans="1:11" x14ac:dyDescent="0.2">
      <c r="A1004" s="2">
        <v>43921</v>
      </c>
      <c r="B1004">
        <v>2614.68994140625</v>
      </c>
      <c r="C1004">
        <v>2641.389892578125</v>
      </c>
      <c r="D1004">
        <v>2571.14990234375</v>
      </c>
      <c r="E1004">
        <v>2584.590087890625</v>
      </c>
      <c r="F1004">
        <v>2584.590087890625</v>
      </c>
      <c r="G1004">
        <v>6576210000</v>
      </c>
      <c r="H1004">
        <v>0</v>
      </c>
      <c r="I1004">
        <v>0</v>
      </c>
      <c r="K1004" s="11">
        <f t="shared" si="15"/>
        <v>-1.6012721914555605E-2</v>
      </c>
    </row>
    <row r="1005" spans="1:11" x14ac:dyDescent="0.2">
      <c r="A1005" s="2">
        <v>43922</v>
      </c>
      <c r="B1005">
        <v>2498.080078125</v>
      </c>
      <c r="C1005">
        <v>2522.75</v>
      </c>
      <c r="D1005">
        <v>2447.489990234375</v>
      </c>
      <c r="E1005">
        <v>2470.5</v>
      </c>
      <c r="F1005">
        <v>2470.5</v>
      </c>
      <c r="G1005">
        <v>5964000000</v>
      </c>
      <c r="H1005">
        <v>0</v>
      </c>
      <c r="I1005">
        <v>0</v>
      </c>
      <c r="K1005" s="11">
        <f t="shared" si="15"/>
        <v>-4.4142430331665428E-2</v>
      </c>
    </row>
    <row r="1006" spans="1:11" x14ac:dyDescent="0.2">
      <c r="A1006" s="2">
        <v>43923</v>
      </c>
      <c r="B1006">
        <v>2458.5400390625</v>
      </c>
      <c r="C1006">
        <v>2533.219970703125</v>
      </c>
      <c r="D1006">
        <v>2455.7900390625</v>
      </c>
      <c r="E1006">
        <v>2526.89990234375</v>
      </c>
      <c r="F1006">
        <v>2526.89990234375</v>
      </c>
      <c r="G1006">
        <v>6464190000</v>
      </c>
      <c r="H1006">
        <v>0</v>
      </c>
      <c r="I1006">
        <v>0</v>
      </c>
      <c r="K1006" s="11">
        <f t="shared" si="15"/>
        <v>2.2829347234871511E-2</v>
      </c>
    </row>
    <row r="1007" spans="1:11" x14ac:dyDescent="0.2">
      <c r="A1007" s="2">
        <v>43924</v>
      </c>
      <c r="B1007">
        <v>2514.919921875</v>
      </c>
      <c r="C1007">
        <v>2538.179931640625</v>
      </c>
      <c r="D1007">
        <v>2459.9599609375</v>
      </c>
      <c r="E1007">
        <v>2488.64990234375</v>
      </c>
      <c r="F1007">
        <v>2488.64990234375</v>
      </c>
      <c r="G1007">
        <v>6096970000</v>
      </c>
      <c r="H1007">
        <v>0</v>
      </c>
      <c r="I1007">
        <v>0</v>
      </c>
      <c r="K1007" s="11">
        <f t="shared" si="15"/>
        <v>-1.5137125124949469E-2</v>
      </c>
    </row>
    <row r="1008" spans="1:11" x14ac:dyDescent="0.2">
      <c r="A1008" s="2">
        <v>43927</v>
      </c>
      <c r="B1008">
        <v>2578.280029296875</v>
      </c>
      <c r="C1008">
        <v>2676.85009765625</v>
      </c>
      <c r="D1008">
        <v>2574.570068359375</v>
      </c>
      <c r="E1008">
        <v>2663.679931640625</v>
      </c>
      <c r="F1008">
        <v>2663.679931640625</v>
      </c>
      <c r="G1008">
        <v>6403840000</v>
      </c>
      <c r="H1008">
        <v>0</v>
      </c>
      <c r="I1008">
        <v>0</v>
      </c>
      <c r="K1008" s="11">
        <f t="shared" si="15"/>
        <v>7.0331318652750552E-2</v>
      </c>
    </row>
    <row r="1009" spans="1:11" x14ac:dyDescent="0.2">
      <c r="A1009" s="2">
        <v>43928</v>
      </c>
      <c r="B1009">
        <v>2738.64990234375</v>
      </c>
      <c r="C1009">
        <v>2756.889892578125</v>
      </c>
      <c r="D1009">
        <v>2657.669921875</v>
      </c>
      <c r="E1009">
        <v>2659.409912109375</v>
      </c>
      <c r="F1009">
        <v>2659.409912109375</v>
      </c>
      <c r="G1009">
        <v>7050410000</v>
      </c>
      <c r="H1009">
        <v>0</v>
      </c>
      <c r="I1009">
        <v>0</v>
      </c>
      <c r="K1009" s="11">
        <f t="shared" si="15"/>
        <v>-1.6030527844311804E-3</v>
      </c>
    </row>
    <row r="1010" spans="1:11" x14ac:dyDescent="0.2">
      <c r="A1010" s="2">
        <v>43929</v>
      </c>
      <c r="B1010">
        <v>2685</v>
      </c>
      <c r="C1010">
        <v>2760.75</v>
      </c>
      <c r="D1010">
        <v>2663.300048828125</v>
      </c>
      <c r="E1010">
        <v>2749.97998046875</v>
      </c>
      <c r="F1010">
        <v>2749.97998046875</v>
      </c>
      <c r="G1010">
        <v>5875710000</v>
      </c>
      <c r="H1010">
        <v>0</v>
      </c>
      <c r="I1010">
        <v>0</v>
      </c>
      <c r="K1010" s="11">
        <f t="shared" si="15"/>
        <v>3.4056452879630328E-2</v>
      </c>
    </row>
    <row r="1011" spans="1:11" x14ac:dyDescent="0.2">
      <c r="A1011" s="2">
        <v>43930</v>
      </c>
      <c r="B1011">
        <v>2776.989990234375</v>
      </c>
      <c r="C1011">
        <v>2818.570068359375</v>
      </c>
      <c r="D1011">
        <v>2762.360107421875</v>
      </c>
      <c r="E1011">
        <v>2789.820068359375</v>
      </c>
      <c r="F1011">
        <v>2789.820068359375</v>
      </c>
      <c r="G1011">
        <v>7899550000</v>
      </c>
      <c r="H1011">
        <v>0</v>
      </c>
      <c r="I1011">
        <v>0</v>
      </c>
      <c r="K1011" s="11">
        <f t="shared" si="15"/>
        <v>1.4487410153376512E-2</v>
      </c>
    </row>
    <row r="1012" spans="1:11" x14ac:dyDescent="0.2">
      <c r="A1012" s="2">
        <v>43934</v>
      </c>
      <c r="B1012">
        <v>2782.4599609375</v>
      </c>
      <c r="C1012">
        <v>2782.4599609375</v>
      </c>
      <c r="D1012">
        <v>2721.169921875</v>
      </c>
      <c r="E1012">
        <v>2761.6298828125</v>
      </c>
      <c r="F1012">
        <v>2761.6298828125</v>
      </c>
      <c r="G1012">
        <v>5319530000</v>
      </c>
      <c r="H1012">
        <v>0</v>
      </c>
      <c r="I1012">
        <v>0</v>
      </c>
      <c r="K1012" s="11">
        <f t="shared" si="15"/>
        <v>-1.0104660822607414E-2</v>
      </c>
    </row>
    <row r="1013" spans="1:11" x14ac:dyDescent="0.2">
      <c r="A1013" s="2">
        <v>43935</v>
      </c>
      <c r="B1013">
        <v>2805.10009765625</v>
      </c>
      <c r="C1013">
        <v>2851.85009765625</v>
      </c>
      <c r="D1013">
        <v>2805.10009765625</v>
      </c>
      <c r="E1013">
        <v>2846.06005859375</v>
      </c>
      <c r="F1013">
        <v>2846.06005859375</v>
      </c>
      <c r="G1013">
        <v>5615730000</v>
      </c>
      <c r="H1013">
        <v>0</v>
      </c>
      <c r="I1013">
        <v>0</v>
      </c>
      <c r="K1013" s="11">
        <f t="shared" si="15"/>
        <v>3.0572589146256046E-2</v>
      </c>
    </row>
    <row r="1014" spans="1:11" x14ac:dyDescent="0.2">
      <c r="A1014" s="2">
        <v>43936</v>
      </c>
      <c r="B1014">
        <v>2795.639892578125</v>
      </c>
      <c r="C1014">
        <v>2801.8798828125</v>
      </c>
      <c r="D1014">
        <v>2761.5400390625</v>
      </c>
      <c r="E1014">
        <v>2783.360107421875</v>
      </c>
      <c r="F1014">
        <v>2783.360107421875</v>
      </c>
      <c r="G1014">
        <v>5208000000</v>
      </c>
      <c r="H1014">
        <v>0</v>
      </c>
      <c r="I1014">
        <v>0</v>
      </c>
      <c r="K1014" s="11">
        <f t="shared" si="15"/>
        <v>-2.2030438529415775E-2</v>
      </c>
    </row>
    <row r="1015" spans="1:11" x14ac:dyDescent="0.2">
      <c r="A1015" s="2">
        <v>43937</v>
      </c>
      <c r="B1015">
        <v>2799.340087890625</v>
      </c>
      <c r="C1015">
        <v>2806.510009765625</v>
      </c>
      <c r="D1015">
        <v>2764.320068359375</v>
      </c>
      <c r="E1015">
        <v>2799.550048828125</v>
      </c>
      <c r="F1015">
        <v>2799.550048828125</v>
      </c>
      <c r="G1015">
        <v>5228810000</v>
      </c>
      <c r="H1015">
        <v>0</v>
      </c>
      <c r="I1015">
        <v>0</v>
      </c>
      <c r="K1015" s="11">
        <f t="shared" si="15"/>
        <v>5.8166894621645149E-3</v>
      </c>
    </row>
    <row r="1016" spans="1:11" x14ac:dyDescent="0.2">
      <c r="A1016" s="2">
        <v>43938</v>
      </c>
      <c r="B1016">
        <v>2842.429931640625</v>
      </c>
      <c r="C1016">
        <v>2879.219970703125</v>
      </c>
      <c r="D1016">
        <v>2830.8798828125</v>
      </c>
      <c r="E1016">
        <v>2874.56005859375</v>
      </c>
      <c r="F1016">
        <v>2874.56005859375</v>
      </c>
      <c r="G1016">
        <v>5804810000</v>
      </c>
      <c r="H1016">
        <v>0</v>
      </c>
      <c r="I1016">
        <v>0</v>
      </c>
      <c r="K1016" s="11">
        <f t="shared" si="15"/>
        <v>2.6793594848223412E-2</v>
      </c>
    </row>
    <row r="1017" spans="1:11" x14ac:dyDescent="0.2">
      <c r="A1017" s="2">
        <v>43941</v>
      </c>
      <c r="B1017">
        <v>2845.6201171875</v>
      </c>
      <c r="C1017">
        <v>2868.97998046875</v>
      </c>
      <c r="D1017">
        <v>2820.429931640625</v>
      </c>
      <c r="E1017">
        <v>2823.159912109375</v>
      </c>
      <c r="F1017">
        <v>2823.159912109375</v>
      </c>
      <c r="G1017">
        <v>5228630000</v>
      </c>
      <c r="H1017">
        <v>0</v>
      </c>
      <c r="I1017">
        <v>0</v>
      </c>
      <c r="K1017" s="11">
        <f t="shared" si="15"/>
        <v>-1.788104803401469E-2</v>
      </c>
    </row>
    <row r="1018" spans="1:11" x14ac:dyDescent="0.2">
      <c r="A1018" s="2">
        <v>43942</v>
      </c>
      <c r="B1018">
        <v>2784.81005859375</v>
      </c>
      <c r="C1018">
        <v>2785.5400390625</v>
      </c>
      <c r="D1018">
        <v>2727.10009765625</v>
      </c>
      <c r="E1018">
        <v>2736.56005859375</v>
      </c>
      <c r="F1018">
        <v>2736.56005859375</v>
      </c>
      <c r="G1018">
        <v>5121010000</v>
      </c>
      <c r="H1018">
        <v>0</v>
      </c>
      <c r="I1018">
        <v>0</v>
      </c>
      <c r="K1018" s="11">
        <f t="shared" si="15"/>
        <v>-3.0674795694063395E-2</v>
      </c>
    </row>
    <row r="1019" spans="1:11" x14ac:dyDescent="0.2">
      <c r="A1019" s="2">
        <v>43943</v>
      </c>
      <c r="B1019">
        <v>2787.889892578125</v>
      </c>
      <c r="C1019">
        <v>2815.10009765625</v>
      </c>
      <c r="D1019">
        <v>2775.949951171875</v>
      </c>
      <c r="E1019">
        <v>2799.31005859375</v>
      </c>
      <c r="F1019">
        <v>2799.31005859375</v>
      </c>
      <c r="G1019">
        <v>5084920000</v>
      </c>
      <c r="H1019">
        <v>0</v>
      </c>
      <c r="I1019">
        <v>0</v>
      </c>
      <c r="K1019" s="11">
        <f t="shared" si="15"/>
        <v>2.2930247703843776E-2</v>
      </c>
    </row>
    <row r="1020" spans="1:11" x14ac:dyDescent="0.2">
      <c r="A1020" s="2">
        <v>43944</v>
      </c>
      <c r="B1020">
        <v>2810.419921875</v>
      </c>
      <c r="C1020">
        <v>2844.89990234375</v>
      </c>
      <c r="D1020">
        <v>2794.260009765625</v>
      </c>
      <c r="E1020">
        <v>2797.800048828125</v>
      </c>
      <c r="F1020">
        <v>2797.800048828125</v>
      </c>
      <c r="G1020">
        <v>5773530000</v>
      </c>
      <c r="H1020">
        <v>0</v>
      </c>
      <c r="I1020">
        <v>0</v>
      </c>
      <c r="K1020" s="11">
        <f t="shared" si="15"/>
        <v>-5.3942211974311594E-4</v>
      </c>
    </row>
    <row r="1021" spans="1:11" x14ac:dyDescent="0.2">
      <c r="A1021" s="2">
        <v>43945</v>
      </c>
      <c r="B1021">
        <v>2812.639892578125</v>
      </c>
      <c r="C1021">
        <v>2842.7099609375</v>
      </c>
      <c r="D1021">
        <v>2791.760009765625</v>
      </c>
      <c r="E1021">
        <v>2836.739990234375</v>
      </c>
      <c r="F1021">
        <v>2836.739990234375</v>
      </c>
      <c r="G1021">
        <v>5382810000</v>
      </c>
      <c r="H1021">
        <v>0</v>
      </c>
      <c r="I1021">
        <v>0</v>
      </c>
      <c r="K1021" s="11">
        <f t="shared" si="15"/>
        <v>1.3918057304545428E-2</v>
      </c>
    </row>
    <row r="1022" spans="1:11" x14ac:dyDescent="0.2">
      <c r="A1022" s="2">
        <v>43948</v>
      </c>
      <c r="B1022">
        <v>2854.64990234375</v>
      </c>
      <c r="C1022">
        <v>2887.719970703125</v>
      </c>
      <c r="D1022">
        <v>2852.889892578125</v>
      </c>
      <c r="E1022">
        <v>2878.47998046875</v>
      </c>
      <c r="F1022">
        <v>2878.47998046875</v>
      </c>
      <c r="G1022">
        <v>5203930000</v>
      </c>
      <c r="H1022">
        <v>0</v>
      </c>
      <c r="I1022">
        <v>0</v>
      </c>
      <c r="K1022" s="11">
        <f t="shared" si="15"/>
        <v>1.4714069804799612E-2</v>
      </c>
    </row>
    <row r="1023" spans="1:11" x14ac:dyDescent="0.2">
      <c r="A1023" s="2">
        <v>43949</v>
      </c>
      <c r="B1023">
        <v>2909.9599609375</v>
      </c>
      <c r="C1023">
        <v>2921.14990234375</v>
      </c>
      <c r="D1023">
        <v>2860.7099609375</v>
      </c>
      <c r="E1023">
        <v>2863.389892578125</v>
      </c>
      <c r="F1023">
        <v>2863.389892578125</v>
      </c>
      <c r="G1023">
        <v>5691160000</v>
      </c>
      <c r="H1023">
        <v>0</v>
      </c>
      <c r="I1023">
        <v>0</v>
      </c>
      <c r="K1023" s="11">
        <f t="shared" si="15"/>
        <v>-5.2423806984989163E-3</v>
      </c>
    </row>
    <row r="1024" spans="1:11" x14ac:dyDescent="0.2">
      <c r="A1024" s="2">
        <v>43950</v>
      </c>
      <c r="B1024">
        <v>2918.4599609375</v>
      </c>
      <c r="C1024">
        <v>2954.860107421875</v>
      </c>
      <c r="D1024">
        <v>2912.159912109375</v>
      </c>
      <c r="E1024">
        <v>2939.510009765625</v>
      </c>
      <c r="F1024">
        <v>2939.510009765625</v>
      </c>
      <c r="G1024">
        <v>6645640000</v>
      </c>
      <c r="H1024">
        <v>0</v>
      </c>
      <c r="I1024">
        <v>0</v>
      </c>
      <c r="K1024" s="11">
        <f t="shared" si="15"/>
        <v>2.6583916282167053E-2</v>
      </c>
    </row>
    <row r="1025" spans="1:11" x14ac:dyDescent="0.2">
      <c r="A1025" s="2">
        <v>43951</v>
      </c>
      <c r="B1025">
        <v>2930.909912109375</v>
      </c>
      <c r="C1025">
        <v>2930.909912109375</v>
      </c>
      <c r="D1025">
        <v>2892.469970703125</v>
      </c>
      <c r="E1025">
        <v>2912.429931640625</v>
      </c>
      <c r="F1025">
        <v>2912.429931640625</v>
      </c>
      <c r="G1025">
        <v>6544980000</v>
      </c>
      <c r="H1025">
        <v>0</v>
      </c>
      <c r="I1025">
        <v>0</v>
      </c>
      <c r="K1025" s="11">
        <f t="shared" si="15"/>
        <v>-9.2124463039876536E-3</v>
      </c>
    </row>
    <row r="1026" spans="1:11" x14ac:dyDescent="0.2">
      <c r="A1026" s="2">
        <v>43952</v>
      </c>
      <c r="B1026">
        <v>2869.090087890625</v>
      </c>
      <c r="C1026">
        <v>2869.090087890625</v>
      </c>
      <c r="D1026">
        <v>2821.610107421875</v>
      </c>
      <c r="E1026">
        <v>2830.7099609375</v>
      </c>
      <c r="F1026">
        <v>2830.7099609375</v>
      </c>
      <c r="G1026">
        <v>4759810000</v>
      </c>
      <c r="H1026">
        <v>0</v>
      </c>
      <c r="I1026">
        <v>0</v>
      </c>
      <c r="K1026" s="11">
        <f t="shared" si="15"/>
        <v>-2.8059034078492195E-2</v>
      </c>
    </row>
    <row r="1027" spans="1:11" x14ac:dyDescent="0.2">
      <c r="A1027" s="2">
        <v>43955</v>
      </c>
      <c r="B1027">
        <v>2815.010009765625</v>
      </c>
      <c r="C1027">
        <v>2844.239990234375</v>
      </c>
      <c r="D1027">
        <v>2797.85009765625</v>
      </c>
      <c r="E1027">
        <v>2842.739990234375</v>
      </c>
      <c r="F1027">
        <v>2842.739990234375</v>
      </c>
      <c r="G1027">
        <v>4735930000</v>
      </c>
      <c r="H1027">
        <v>0</v>
      </c>
      <c r="I1027">
        <v>0</v>
      </c>
      <c r="K1027" s="11">
        <f t="shared" si="15"/>
        <v>4.2498275919764517E-3</v>
      </c>
    </row>
    <row r="1028" spans="1:11" x14ac:dyDescent="0.2">
      <c r="A1028" s="2">
        <v>43956</v>
      </c>
      <c r="B1028">
        <v>2868.8798828125</v>
      </c>
      <c r="C1028">
        <v>2898.22998046875</v>
      </c>
      <c r="D1028">
        <v>2863.550048828125</v>
      </c>
      <c r="E1028">
        <v>2868.43994140625</v>
      </c>
      <c r="F1028">
        <v>2868.43994140625</v>
      </c>
      <c r="G1028">
        <v>5140290000</v>
      </c>
      <c r="H1028">
        <v>0</v>
      </c>
      <c r="I1028">
        <v>0</v>
      </c>
      <c r="K1028" s="11">
        <f t="shared" ref="K1028:K1091" si="16">(E1028/E1027)-1</f>
        <v>9.0405563857973714E-3</v>
      </c>
    </row>
    <row r="1029" spans="1:11" x14ac:dyDescent="0.2">
      <c r="A1029" s="2">
        <v>43957</v>
      </c>
      <c r="B1029">
        <v>2883.139892578125</v>
      </c>
      <c r="C1029">
        <v>2891.110107421875</v>
      </c>
      <c r="D1029">
        <v>2847.64990234375</v>
      </c>
      <c r="E1029">
        <v>2848.419921875</v>
      </c>
      <c r="F1029">
        <v>2848.419921875</v>
      </c>
      <c r="G1029">
        <v>4892570000</v>
      </c>
      <c r="H1029">
        <v>0</v>
      </c>
      <c r="I1029">
        <v>0</v>
      </c>
      <c r="K1029" s="11">
        <f t="shared" si="16"/>
        <v>-6.9794103903862981E-3</v>
      </c>
    </row>
    <row r="1030" spans="1:11" x14ac:dyDescent="0.2">
      <c r="A1030" s="2">
        <v>43958</v>
      </c>
      <c r="B1030">
        <v>2878.260009765625</v>
      </c>
      <c r="C1030">
        <v>2901.919921875</v>
      </c>
      <c r="D1030">
        <v>2876.47998046875</v>
      </c>
      <c r="E1030">
        <v>2881.18994140625</v>
      </c>
      <c r="F1030">
        <v>2881.18994140625</v>
      </c>
      <c r="G1030">
        <v>5178790000</v>
      </c>
      <c r="H1030">
        <v>0</v>
      </c>
      <c r="I1030">
        <v>0</v>
      </c>
      <c r="K1030" s="11">
        <f t="shared" si="16"/>
        <v>1.1504630788313985E-2</v>
      </c>
    </row>
    <row r="1031" spans="1:11" x14ac:dyDescent="0.2">
      <c r="A1031" s="2">
        <v>43959</v>
      </c>
      <c r="B1031">
        <v>2908.830078125</v>
      </c>
      <c r="C1031">
        <v>2932.159912109375</v>
      </c>
      <c r="D1031">
        <v>2902.8798828125</v>
      </c>
      <c r="E1031">
        <v>2929.800048828125</v>
      </c>
      <c r="F1031">
        <v>2929.800048828125</v>
      </c>
      <c r="G1031">
        <v>4876030000</v>
      </c>
      <c r="H1031">
        <v>0</v>
      </c>
      <c r="I1031">
        <v>0</v>
      </c>
      <c r="K1031" s="11">
        <f t="shared" si="16"/>
        <v>1.6871538638701944E-2</v>
      </c>
    </row>
    <row r="1032" spans="1:11" x14ac:dyDescent="0.2">
      <c r="A1032" s="2">
        <v>43962</v>
      </c>
      <c r="B1032">
        <v>2915.4599609375</v>
      </c>
      <c r="C1032">
        <v>2944.25</v>
      </c>
      <c r="D1032">
        <v>2903.43994140625</v>
      </c>
      <c r="E1032">
        <v>2930.18994140625</v>
      </c>
      <c r="F1032">
        <v>2930.18994140625</v>
      </c>
      <c r="G1032">
        <v>4819730000</v>
      </c>
      <c r="H1032">
        <v>0</v>
      </c>
      <c r="I1032">
        <v>0</v>
      </c>
      <c r="K1032" s="11">
        <f t="shared" si="16"/>
        <v>1.3307822091168653E-4</v>
      </c>
    </row>
    <row r="1033" spans="1:11" x14ac:dyDescent="0.2">
      <c r="A1033" s="2">
        <v>43963</v>
      </c>
      <c r="B1033">
        <v>2939.5</v>
      </c>
      <c r="C1033">
        <v>2945.820068359375</v>
      </c>
      <c r="D1033">
        <v>2869.590087890625</v>
      </c>
      <c r="E1033">
        <v>2870.1201171875</v>
      </c>
      <c r="F1033">
        <v>2870.1201171875</v>
      </c>
      <c r="G1033">
        <v>5119630000</v>
      </c>
      <c r="H1033">
        <v>0</v>
      </c>
      <c r="I1033">
        <v>0</v>
      </c>
      <c r="K1033" s="11">
        <f t="shared" si="16"/>
        <v>-2.0500317528877154E-2</v>
      </c>
    </row>
    <row r="1034" spans="1:11" x14ac:dyDescent="0.2">
      <c r="A1034" s="2">
        <v>43964</v>
      </c>
      <c r="B1034">
        <v>2865.860107421875</v>
      </c>
      <c r="C1034">
        <v>2874.139892578125</v>
      </c>
      <c r="D1034">
        <v>2793.14990234375</v>
      </c>
      <c r="E1034">
        <v>2820</v>
      </c>
      <c r="F1034">
        <v>2820</v>
      </c>
      <c r="G1034">
        <v>6151650000</v>
      </c>
      <c r="H1034">
        <v>0</v>
      </c>
      <c r="I1034">
        <v>0</v>
      </c>
      <c r="K1034" s="11">
        <f t="shared" si="16"/>
        <v>-1.7462724604228042E-2</v>
      </c>
    </row>
    <row r="1035" spans="1:11" x14ac:dyDescent="0.2">
      <c r="A1035" s="2">
        <v>43965</v>
      </c>
      <c r="B1035">
        <v>2794.5400390625</v>
      </c>
      <c r="C1035">
        <v>2852.800048828125</v>
      </c>
      <c r="D1035">
        <v>2766.639892578125</v>
      </c>
      <c r="E1035">
        <v>2852.5</v>
      </c>
      <c r="F1035">
        <v>2852.5</v>
      </c>
      <c r="G1035">
        <v>5651130000</v>
      </c>
      <c r="H1035">
        <v>0</v>
      </c>
      <c r="I1035">
        <v>0</v>
      </c>
      <c r="K1035" s="11">
        <f t="shared" si="16"/>
        <v>1.1524822695035519E-2</v>
      </c>
    </row>
    <row r="1036" spans="1:11" x14ac:dyDescent="0.2">
      <c r="A1036" s="2">
        <v>43966</v>
      </c>
      <c r="B1036">
        <v>2829.949951171875</v>
      </c>
      <c r="C1036">
        <v>2865.010009765625</v>
      </c>
      <c r="D1036">
        <v>2816.780029296875</v>
      </c>
      <c r="E1036">
        <v>2863.699951171875</v>
      </c>
      <c r="F1036">
        <v>2863.699951171875</v>
      </c>
      <c r="G1036">
        <v>5507700000</v>
      </c>
      <c r="H1036">
        <v>0</v>
      </c>
      <c r="I1036">
        <v>0</v>
      </c>
      <c r="K1036" s="11">
        <f t="shared" si="16"/>
        <v>3.9263632504382695E-3</v>
      </c>
    </row>
    <row r="1037" spans="1:11" x14ac:dyDescent="0.2">
      <c r="A1037" s="2">
        <v>43969</v>
      </c>
      <c r="B1037">
        <v>2913.860107421875</v>
      </c>
      <c r="C1037">
        <v>2968.090087890625</v>
      </c>
      <c r="D1037">
        <v>2913.860107421875</v>
      </c>
      <c r="E1037">
        <v>2953.909912109375</v>
      </c>
      <c r="F1037">
        <v>2953.909912109375</v>
      </c>
      <c r="G1037">
        <v>6373670000</v>
      </c>
      <c r="H1037">
        <v>0</v>
      </c>
      <c r="I1037">
        <v>0</v>
      </c>
      <c r="K1037" s="11">
        <f t="shared" si="16"/>
        <v>3.1501191631680747E-2</v>
      </c>
    </row>
    <row r="1038" spans="1:11" x14ac:dyDescent="0.2">
      <c r="A1038" s="2">
        <v>43970</v>
      </c>
      <c r="B1038">
        <v>2948.590087890625</v>
      </c>
      <c r="C1038">
        <v>2964.2099609375</v>
      </c>
      <c r="D1038">
        <v>2922.35009765625</v>
      </c>
      <c r="E1038">
        <v>2922.93994140625</v>
      </c>
      <c r="F1038">
        <v>2922.93994140625</v>
      </c>
      <c r="G1038">
        <v>4984330000</v>
      </c>
      <c r="H1038">
        <v>0</v>
      </c>
      <c r="I1038">
        <v>0</v>
      </c>
      <c r="K1038" s="11">
        <f t="shared" si="16"/>
        <v>-1.0484399194493177E-2</v>
      </c>
    </row>
    <row r="1039" spans="1:11" x14ac:dyDescent="0.2">
      <c r="A1039" s="2">
        <v>43971</v>
      </c>
      <c r="B1039">
        <v>2953.6298828125</v>
      </c>
      <c r="C1039">
        <v>2980.2900390625</v>
      </c>
      <c r="D1039">
        <v>2953.6298828125</v>
      </c>
      <c r="E1039">
        <v>2971.610107421875</v>
      </c>
      <c r="F1039">
        <v>2971.610107421875</v>
      </c>
      <c r="G1039">
        <v>5005380000</v>
      </c>
      <c r="H1039">
        <v>0</v>
      </c>
      <c r="I1039">
        <v>0</v>
      </c>
      <c r="K1039" s="11">
        <f t="shared" si="16"/>
        <v>1.665110025908012E-2</v>
      </c>
    </row>
    <row r="1040" spans="1:11" x14ac:dyDescent="0.2">
      <c r="A1040" s="2">
        <v>43972</v>
      </c>
      <c r="B1040">
        <v>2969.949951171875</v>
      </c>
      <c r="C1040">
        <v>2978.5</v>
      </c>
      <c r="D1040">
        <v>2938.570068359375</v>
      </c>
      <c r="E1040">
        <v>2948.510009765625</v>
      </c>
      <c r="F1040">
        <v>2948.510009765625</v>
      </c>
      <c r="G1040">
        <v>4976620000</v>
      </c>
      <c r="H1040">
        <v>0</v>
      </c>
      <c r="I1040">
        <v>0</v>
      </c>
      <c r="K1040" s="11">
        <f t="shared" si="16"/>
        <v>-7.7735964077371156E-3</v>
      </c>
    </row>
    <row r="1041" spans="1:11" x14ac:dyDescent="0.2">
      <c r="A1041" s="2">
        <v>43973</v>
      </c>
      <c r="B1041">
        <v>2948.050048828125</v>
      </c>
      <c r="C1041">
        <v>2956.760009765625</v>
      </c>
      <c r="D1041">
        <v>2933.590087890625</v>
      </c>
      <c r="E1041">
        <v>2955.449951171875</v>
      </c>
      <c r="F1041">
        <v>2955.449951171875</v>
      </c>
      <c r="G1041">
        <v>3970860000</v>
      </c>
      <c r="H1041">
        <v>0</v>
      </c>
      <c r="I1041">
        <v>0</v>
      </c>
      <c r="K1041" s="11">
        <f t="shared" si="16"/>
        <v>2.353711326488428E-3</v>
      </c>
    </row>
    <row r="1042" spans="1:11" x14ac:dyDescent="0.2">
      <c r="A1042" s="2">
        <v>43977</v>
      </c>
      <c r="B1042">
        <v>3004.080078125</v>
      </c>
      <c r="C1042">
        <v>3021.719970703125</v>
      </c>
      <c r="D1042">
        <v>2988.169921875</v>
      </c>
      <c r="E1042">
        <v>2991.77001953125</v>
      </c>
      <c r="F1042">
        <v>2991.77001953125</v>
      </c>
      <c r="G1042">
        <v>5848500000</v>
      </c>
      <c r="H1042">
        <v>0</v>
      </c>
      <c r="I1042">
        <v>0</v>
      </c>
      <c r="K1042" s="11">
        <f t="shared" si="16"/>
        <v>1.2289184036080147E-2</v>
      </c>
    </row>
    <row r="1043" spans="1:11" x14ac:dyDescent="0.2">
      <c r="A1043" s="2">
        <v>43978</v>
      </c>
      <c r="B1043">
        <v>3015.64990234375</v>
      </c>
      <c r="C1043">
        <v>3036.25</v>
      </c>
      <c r="D1043">
        <v>2969.75</v>
      </c>
      <c r="E1043">
        <v>3036.1298828125</v>
      </c>
      <c r="F1043">
        <v>3036.1298828125</v>
      </c>
      <c r="G1043">
        <v>6398000000</v>
      </c>
      <c r="H1043">
        <v>0</v>
      </c>
      <c r="I1043">
        <v>0</v>
      </c>
      <c r="K1043" s="11">
        <f t="shared" si="16"/>
        <v>1.4827297215913804E-2</v>
      </c>
    </row>
    <row r="1044" spans="1:11" x14ac:dyDescent="0.2">
      <c r="A1044" s="2">
        <v>43979</v>
      </c>
      <c r="B1044">
        <v>3046.610107421875</v>
      </c>
      <c r="C1044">
        <v>3068.669921875</v>
      </c>
      <c r="D1044">
        <v>3023.39990234375</v>
      </c>
      <c r="E1044">
        <v>3029.72998046875</v>
      </c>
      <c r="F1044">
        <v>3029.72998046875</v>
      </c>
      <c r="G1044">
        <v>5447020000</v>
      </c>
      <c r="H1044">
        <v>0</v>
      </c>
      <c r="I1044">
        <v>0</v>
      </c>
      <c r="K1044" s="11">
        <f t="shared" si="16"/>
        <v>-2.1079145460738413E-3</v>
      </c>
    </row>
    <row r="1045" spans="1:11" x14ac:dyDescent="0.2">
      <c r="A1045" s="2">
        <v>43980</v>
      </c>
      <c r="B1045">
        <v>3025.169921875</v>
      </c>
      <c r="C1045">
        <v>3049.169921875</v>
      </c>
      <c r="D1045">
        <v>2998.610107421875</v>
      </c>
      <c r="E1045">
        <v>3044.31005859375</v>
      </c>
      <c r="F1045">
        <v>3044.31005859375</v>
      </c>
      <c r="G1045">
        <v>7297550000</v>
      </c>
      <c r="H1045">
        <v>0</v>
      </c>
      <c r="I1045">
        <v>0</v>
      </c>
      <c r="K1045" s="11">
        <f t="shared" si="16"/>
        <v>4.8123358249714254E-3</v>
      </c>
    </row>
    <row r="1046" spans="1:11" x14ac:dyDescent="0.2">
      <c r="A1046" s="2">
        <v>43983</v>
      </c>
      <c r="B1046">
        <v>3038.780029296875</v>
      </c>
      <c r="C1046">
        <v>3062.179931640625</v>
      </c>
      <c r="D1046">
        <v>3031.5400390625</v>
      </c>
      <c r="E1046">
        <v>3055.72998046875</v>
      </c>
      <c r="F1046">
        <v>3055.72998046875</v>
      </c>
      <c r="G1046">
        <v>4684170000</v>
      </c>
      <c r="H1046">
        <v>0</v>
      </c>
      <c r="I1046">
        <v>0</v>
      </c>
      <c r="K1046" s="11">
        <f t="shared" si="16"/>
        <v>3.7512348135377849E-3</v>
      </c>
    </row>
    <row r="1047" spans="1:11" x14ac:dyDescent="0.2">
      <c r="A1047" s="2">
        <v>43984</v>
      </c>
      <c r="B1047">
        <v>3064.780029296875</v>
      </c>
      <c r="C1047">
        <v>3081.070068359375</v>
      </c>
      <c r="D1047">
        <v>3051.639892578125</v>
      </c>
      <c r="E1047">
        <v>3080.820068359375</v>
      </c>
      <c r="F1047">
        <v>3080.820068359375</v>
      </c>
      <c r="G1047">
        <v>5197150000</v>
      </c>
      <c r="H1047">
        <v>0</v>
      </c>
      <c r="I1047">
        <v>0</v>
      </c>
      <c r="K1047" s="11">
        <f t="shared" si="16"/>
        <v>8.210832780053412E-3</v>
      </c>
    </row>
    <row r="1048" spans="1:11" x14ac:dyDescent="0.2">
      <c r="A1048" s="2">
        <v>43985</v>
      </c>
      <c r="B1048">
        <v>3098.89990234375</v>
      </c>
      <c r="C1048">
        <v>3130.93994140625</v>
      </c>
      <c r="D1048">
        <v>3098.89990234375</v>
      </c>
      <c r="E1048">
        <v>3122.8701171875</v>
      </c>
      <c r="F1048">
        <v>3122.8701171875</v>
      </c>
      <c r="G1048">
        <v>6005560000</v>
      </c>
      <c r="H1048">
        <v>0</v>
      </c>
      <c r="I1048">
        <v>0</v>
      </c>
      <c r="K1048" s="11">
        <f t="shared" si="16"/>
        <v>1.3648979133831007E-2</v>
      </c>
    </row>
    <row r="1049" spans="1:11" x14ac:dyDescent="0.2">
      <c r="A1049" s="2">
        <v>43986</v>
      </c>
      <c r="B1049">
        <v>3111.56005859375</v>
      </c>
      <c r="C1049">
        <v>3128.909912109375</v>
      </c>
      <c r="D1049">
        <v>3090.409912109375</v>
      </c>
      <c r="E1049">
        <v>3112.35009765625</v>
      </c>
      <c r="F1049">
        <v>3112.35009765625</v>
      </c>
      <c r="G1049">
        <v>6451290000</v>
      </c>
      <c r="H1049">
        <v>0</v>
      </c>
      <c r="I1049">
        <v>0</v>
      </c>
      <c r="K1049" s="11">
        <f t="shared" si="16"/>
        <v>-3.3687022311144066E-3</v>
      </c>
    </row>
    <row r="1050" spans="1:11" x14ac:dyDescent="0.2">
      <c r="A1050" s="2">
        <v>43987</v>
      </c>
      <c r="B1050">
        <v>3163.840087890625</v>
      </c>
      <c r="C1050">
        <v>3211.719970703125</v>
      </c>
      <c r="D1050">
        <v>3163.840087890625</v>
      </c>
      <c r="E1050">
        <v>3193.929931640625</v>
      </c>
      <c r="F1050">
        <v>3193.929931640625</v>
      </c>
      <c r="G1050">
        <v>8639300000</v>
      </c>
      <c r="H1050">
        <v>0</v>
      </c>
      <c r="I1050">
        <v>0</v>
      </c>
      <c r="K1050" s="11">
        <f t="shared" si="16"/>
        <v>2.6211650818398713E-2</v>
      </c>
    </row>
    <row r="1051" spans="1:11" x14ac:dyDescent="0.2">
      <c r="A1051" s="2">
        <v>43990</v>
      </c>
      <c r="B1051">
        <v>3199.919921875</v>
      </c>
      <c r="C1051">
        <v>3233.1298828125</v>
      </c>
      <c r="D1051">
        <v>3196</v>
      </c>
      <c r="E1051">
        <v>3232.389892578125</v>
      </c>
      <c r="F1051">
        <v>3232.389892578125</v>
      </c>
      <c r="G1051">
        <v>8498300000</v>
      </c>
      <c r="H1051">
        <v>0</v>
      </c>
      <c r="I1051">
        <v>0</v>
      </c>
      <c r="K1051" s="11">
        <f t="shared" si="16"/>
        <v>1.2041579421169235E-2</v>
      </c>
    </row>
    <row r="1052" spans="1:11" x14ac:dyDescent="0.2">
      <c r="A1052" s="2">
        <v>43991</v>
      </c>
      <c r="B1052">
        <v>3213.320068359375</v>
      </c>
      <c r="C1052">
        <v>3222.7099609375</v>
      </c>
      <c r="D1052">
        <v>3193.110107421875</v>
      </c>
      <c r="E1052">
        <v>3207.179931640625</v>
      </c>
      <c r="F1052">
        <v>3207.179931640625</v>
      </c>
      <c r="G1052">
        <v>6410930000</v>
      </c>
      <c r="H1052">
        <v>0</v>
      </c>
      <c r="I1052">
        <v>0</v>
      </c>
      <c r="K1052" s="11">
        <f t="shared" si="16"/>
        <v>-7.7991708226116119E-3</v>
      </c>
    </row>
    <row r="1053" spans="1:11" x14ac:dyDescent="0.2">
      <c r="A1053" s="2">
        <v>43992</v>
      </c>
      <c r="B1053">
        <v>3213.419921875</v>
      </c>
      <c r="C1053">
        <v>3223.27001953125</v>
      </c>
      <c r="D1053">
        <v>3181.489990234375</v>
      </c>
      <c r="E1053">
        <v>3190.139892578125</v>
      </c>
      <c r="F1053">
        <v>3190.139892578125</v>
      </c>
      <c r="G1053">
        <v>6598870000</v>
      </c>
      <c r="H1053">
        <v>0</v>
      </c>
      <c r="I1053">
        <v>0</v>
      </c>
      <c r="K1053" s="11">
        <f t="shared" si="16"/>
        <v>-5.3130910724373814E-3</v>
      </c>
    </row>
    <row r="1054" spans="1:11" x14ac:dyDescent="0.2">
      <c r="A1054" s="2">
        <v>43993</v>
      </c>
      <c r="B1054">
        <v>3123.530029296875</v>
      </c>
      <c r="C1054">
        <v>3123.530029296875</v>
      </c>
      <c r="D1054">
        <v>2999.489990234375</v>
      </c>
      <c r="E1054">
        <v>3002.10009765625</v>
      </c>
      <c r="F1054">
        <v>3002.10009765625</v>
      </c>
      <c r="G1054">
        <v>7037320000</v>
      </c>
      <c r="H1054">
        <v>0</v>
      </c>
      <c r="I1054">
        <v>0</v>
      </c>
      <c r="K1054" s="11">
        <f t="shared" si="16"/>
        <v>-5.8944059274438243E-2</v>
      </c>
    </row>
    <row r="1055" spans="1:11" x14ac:dyDescent="0.2">
      <c r="A1055" s="2">
        <v>43994</v>
      </c>
      <c r="B1055">
        <v>3071.0400390625</v>
      </c>
      <c r="C1055">
        <v>3088.419921875</v>
      </c>
      <c r="D1055">
        <v>2984.469970703125</v>
      </c>
      <c r="E1055">
        <v>3041.31005859375</v>
      </c>
      <c r="F1055">
        <v>3041.31005859375</v>
      </c>
      <c r="G1055">
        <v>5845330000</v>
      </c>
      <c r="H1055">
        <v>0</v>
      </c>
      <c r="I1055">
        <v>0</v>
      </c>
      <c r="K1055" s="11">
        <f t="shared" si="16"/>
        <v>1.3060843963234703E-2</v>
      </c>
    </row>
    <row r="1056" spans="1:11" x14ac:dyDescent="0.2">
      <c r="A1056" s="2">
        <v>43997</v>
      </c>
      <c r="B1056">
        <v>2993.760009765625</v>
      </c>
      <c r="C1056">
        <v>3079.760009765625</v>
      </c>
      <c r="D1056">
        <v>2965.659912109375</v>
      </c>
      <c r="E1056">
        <v>3066.590087890625</v>
      </c>
      <c r="F1056">
        <v>3066.590087890625</v>
      </c>
      <c r="G1056">
        <v>5757480000</v>
      </c>
      <c r="H1056">
        <v>0</v>
      </c>
      <c r="I1056">
        <v>0</v>
      </c>
      <c r="K1056" s="11">
        <f t="shared" si="16"/>
        <v>8.3122170412852636E-3</v>
      </c>
    </row>
    <row r="1057" spans="1:11" x14ac:dyDescent="0.2">
      <c r="A1057" s="2">
        <v>43998</v>
      </c>
      <c r="B1057">
        <v>3131</v>
      </c>
      <c r="C1057">
        <v>3153.449951171875</v>
      </c>
      <c r="D1057">
        <v>3076.06005859375</v>
      </c>
      <c r="E1057">
        <v>3124.739990234375</v>
      </c>
      <c r="F1057">
        <v>3124.739990234375</v>
      </c>
      <c r="G1057">
        <v>5845810000</v>
      </c>
      <c r="H1057">
        <v>0</v>
      </c>
      <c r="I1057">
        <v>0</v>
      </c>
      <c r="K1057" s="11">
        <f t="shared" si="16"/>
        <v>1.8962398193802521E-2</v>
      </c>
    </row>
    <row r="1058" spans="1:11" x14ac:dyDescent="0.2">
      <c r="A1058" s="2">
        <v>43999</v>
      </c>
      <c r="B1058">
        <v>3136.1298828125</v>
      </c>
      <c r="C1058">
        <v>3141.159912109375</v>
      </c>
      <c r="D1058">
        <v>3108.030029296875</v>
      </c>
      <c r="E1058">
        <v>3113.489990234375</v>
      </c>
      <c r="F1058">
        <v>3113.489990234375</v>
      </c>
      <c r="G1058">
        <v>4560450000</v>
      </c>
      <c r="H1058">
        <v>0</v>
      </c>
      <c r="I1058">
        <v>0</v>
      </c>
      <c r="K1058" s="11">
        <f t="shared" si="16"/>
        <v>-3.6002995561740248E-3</v>
      </c>
    </row>
    <row r="1059" spans="1:11" x14ac:dyDescent="0.2">
      <c r="A1059" s="2">
        <v>44000</v>
      </c>
      <c r="B1059">
        <v>3101.639892578125</v>
      </c>
      <c r="C1059">
        <v>3120</v>
      </c>
      <c r="D1059">
        <v>3093.510009765625</v>
      </c>
      <c r="E1059">
        <v>3115.340087890625</v>
      </c>
      <c r="F1059">
        <v>3115.340087890625</v>
      </c>
      <c r="G1059">
        <v>4448690000</v>
      </c>
      <c r="H1059">
        <v>0</v>
      </c>
      <c r="I1059">
        <v>0</v>
      </c>
      <c r="K1059" s="11">
        <f t="shared" si="16"/>
        <v>5.942198825281686E-4</v>
      </c>
    </row>
    <row r="1060" spans="1:11" x14ac:dyDescent="0.2">
      <c r="A1060" s="2">
        <v>44001</v>
      </c>
      <c r="B1060">
        <v>3140.2900390625</v>
      </c>
      <c r="C1060">
        <v>3155.530029296875</v>
      </c>
      <c r="D1060">
        <v>3083.110107421875</v>
      </c>
      <c r="E1060">
        <v>3097.739990234375</v>
      </c>
      <c r="F1060">
        <v>3097.739990234375</v>
      </c>
      <c r="G1060">
        <v>8346650000</v>
      </c>
      <c r="H1060">
        <v>0</v>
      </c>
      <c r="I1060">
        <v>0</v>
      </c>
      <c r="K1060" s="11">
        <f t="shared" si="16"/>
        <v>-5.6494948094629738E-3</v>
      </c>
    </row>
    <row r="1061" spans="1:11" x14ac:dyDescent="0.2">
      <c r="A1061" s="2">
        <v>44004</v>
      </c>
      <c r="B1061">
        <v>3094.419921875</v>
      </c>
      <c r="C1061">
        <v>3120.919921875</v>
      </c>
      <c r="D1061">
        <v>3079.389892578125</v>
      </c>
      <c r="E1061">
        <v>3117.860107421875</v>
      </c>
      <c r="F1061">
        <v>3117.860107421875</v>
      </c>
      <c r="G1061">
        <v>4686690000</v>
      </c>
      <c r="H1061">
        <v>0</v>
      </c>
      <c r="I1061">
        <v>0</v>
      </c>
      <c r="K1061" s="11">
        <f t="shared" si="16"/>
        <v>6.4950955376916752E-3</v>
      </c>
    </row>
    <row r="1062" spans="1:11" x14ac:dyDescent="0.2">
      <c r="A1062" s="2">
        <v>44005</v>
      </c>
      <c r="B1062">
        <v>3138.699951171875</v>
      </c>
      <c r="C1062">
        <v>3154.89990234375</v>
      </c>
      <c r="D1062">
        <v>3127.1201171875</v>
      </c>
      <c r="E1062">
        <v>3131.2900390625</v>
      </c>
      <c r="F1062">
        <v>3131.2900390625</v>
      </c>
      <c r="G1062">
        <v>4711850000</v>
      </c>
      <c r="H1062">
        <v>0</v>
      </c>
      <c r="I1062">
        <v>0</v>
      </c>
      <c r="K1062" s="11">
        <f t="shared" si="16"/>
        <v>4.3074195691641393E-3</v>
      </c>
    </row>
    <row r="1063" spans="1:11" x14ac:dyDescent="0.2">
      <c r="A1063" s="2">
        <v>44006</v>
      </c>
      <c r="B1063">
        <v>3114.39990234375</v>
      </c>
      <c r="C1063">
        <v>3115.010009765625</v>
      </c>
      <c r="D1063">
        <v>3032.1298828125</v>
      </c>
      <c r="E1063">
        <v>3050.330078125</v>
      </c>
      <c r="F1063">
        <v>3050.330078125</v>
      </c>
      <c r="G1063">
        <v>5597680000</v>
      </c>
      <c r="H1063">
        <v>0</v>
      </c>
      <c r="I1063">
        <v>0</v>
      </c>
      <c r="K1063" s="11">
        <f t="shared" si="16"/>
        <v>-2.5855145939064572E-2</v>
      </c>
    </row>
    <row r="1064" spans="1:11" x14ac:dyDescent="0.2">
      <c r="A1064" s="2">
        <v>44007</v>
      </c>
      <c r="B1064">
        <v>3046.60009765625</v>
      </c>
      <c r="C1064">
        <v>3086.25</v>
      </c>
      <c r="D1064">
        <v>3024.010009765625</v>
      </c>
      <c r="E1064">
        <v>3083.760009765625</v>
      </c>
      <c r="F1064">
        <v>3083.760009765625</v>
      </c>
      <c r="G1064">
        <v>4847690000</v>
      </c>
      <c r="H1064">
        <v>0</v>
      </c>
      <c r="I1064">
        <v>0</v>
      </c>
      <c r="K1064" s="11">
        <f t="shared" si="16"/>
        <v>1.0959447267809841E-2</v>
      </c>
    </row>
    <row r="1065" spans="1:11" x14ac:dyDescent="0.2">
      <c r="A1065" s="2">
        <v>44008</v>
      </c>
      <c r="B1065">
        <v>3073.199951171875</v>
      </c>
      <c r="C1065">
        <v>3073.72998046875</v>
      </c>
      <c r="D1065">
        <v>3004.6298828125</v>
      </c>
      <c r="E1065">
        <v>3009.050048828125</v>
      </c>
      <c r="F1065">
        <v>3009.050048828125</v>
      </c>
      <c r="G1065">
        <v>8107850000</v>
      </c>
      <c r="H1065">
        <v>0</v>
      </c>
      <c r="I1065">
        <v>0</v>
      </c>
      <c r="K1065" s="11">
        <f t="shared" si="16"/>
        <v>-2.4226905044785974E-2</v>
      </c>
    </row>
    <row r="1066" spans="1:11" x14ac:dyDescent="0.2">
      <c r="A1066" s="2">
        <v>44011</v>
      </c>
      <c r="B1066">
        <v>3018.590087890625</v>
      </c>
      <c r="C1066">
        <v>3053.889892578125</v>
      </c>
      <c r="D1066">
        <v>2999.739990234375</v>
      </c>
      <c r="E1066">
        <v>3053.239990234375</v>
      </c>
      <c r="F1066">
        <v>3053.239990234375</v>
      </c>
      <c r="G1066">
        <v>4473970000</v>
      </c>
      <c r="H1066">
        <v>0</v>
      </c>
      <c r="I1066">
        <v>0</v>
      </c>
      <c r="K1066" s="11">
        <f t="shared" si="16"/>
        <v>1.4685678433118632E-2</v>
      </c>
    </row>
    <row r="1067" spans="1:11" x14ac:dyDescent="0.2">
      <c r="A1067" s="2">
        <v>44012</v>
      </c>
      <c r="B1067">
        <v>3050.199951171875</v>
      </c>
      <c r="C1067">
        <v>3111.510009765625</v>
      </c>
      <c r="D1067">
        <v>3047.830078125</v>
      </c>
      <c r="E1067">
        <v>3100.2900390625</v>
      </c>
      <c r="F1067">
        <v>3100.2900390625</v>
      </c>
      <c r="G1067">
        <v>4705850000</v>
      </c>
      <c r="H1067">
        <v>0</v>
      </c>
      <c r="I1067">
        <v>0</v>
      </c>
      <c r="K1067" s="11">
        <f t="shared" si="16"/>
        <v>1.5409875731554612E-2</v>
      </c>
    </row>
    <row r="1068" spans="1:11" x14ac:dyDescent="0.2">
      <c r="A1068" s="2">
        <v>44013</v>
      </c>
      <c r="B1068">
        <v>3105.919921875</v>
      </c>
      <c r="C1068">
        <v>3128.43994140625</v>
      </c>
      <c r="D1068">
        <v>3101.169921875</v>
      </c>
      <c r="E1068">
        <v>3115.860107421875</v>
      </c>
      <c r="F1068">
        <v>3115.860107421875</v>
      </c>
      <c r="G1068">
        <v>4449230000</v>
      </c>
      <c r="H1068">
        <v>0</v>
      </c>
      <c r="I1068">
        <v>0</v>
      </c>
      <c r="K1068" s="11">
        <f t="shared" si="16"/>
        <v>5.0221328208643889E-3</v>
      </c>
    </row>
    <row r="1069" spans="1:11" x14ac:dyDescent="0.2">
      <c r="A1069" s="2">
        <v>44014</v>
      </c>
      <c r="B1069">
        <v>3143.639892578125</v>
      </c>
      <c r="C1069">
        <v>3165.81005859375</v>
      </c>
      <c r="D1069">
        <v>3124.52001953125</v>
      </c>
      <c r="E1069">
        <v>3130.010009765625</v>
      </c>
      <c r="F1069">
        <v>3130.010009765625</v>
      </c>
      <c r="G1069">
        <v>4197720000</v>
      </c>
      <c r="H1069">
        <v>0</v>
      </c>
      <c r="I1069">
        <v>0</v>
      </c>
      <c r="K1069" s="11">
        <f t="shared" si="16"/>
        <v>4.5412508443640753E-3</v>
      </c>
    </row>
    <row r="1070" spans="1:11" x14ac:dyDescent="0.2">
      <c r="A1070" s="2">
        <v>44018</v>
      </c>
      <c r="B1070">
        <v>3155.2900390625</v>
      </c>
      <c r="C1070">
        <v>3182.590087890625</v>
      </c>
      <c r="D1070">
        <v>3155.2900390625</v>
      </c>
      <c r="E1070">
        <v>3179.719970703125</v>
      </c>
      <c r="F1070">
        <v>3179.719970703125</v>
      </c>
      <c r="G1070">
        <v>4759160000</v>
      </c>
      <c r="H1070">
        <v>0</v>
      </c>
      <c r="I1070">
        <v>0</v>
      </c>
      <c r="K1070" s="11">
        <f t="shared" si="16"/>
        <v>1.588172586745884E-2</v>
      </c>
    </row>
    <row r="1071" spans="1:11" x14ac:dyDescent="0.2">
      <c r="A1071" s="2">
        <v>44019</v>
      </c>
      <c r="B1071">
        <v>3166.43994140625</v>
      </c>
      <c r="C1071">
        <v>3184.14990234375</v>
      </c>
      <c r="D1071">
        <v>3142.929931640625</v>
      </c>
      <c r="E1071">
        <v>3145.320068359375</v>
      </c>
      <c r="F1071">
        <v>3145.320068359375</v>
      </c>
      <c r="G1071">
        <v>4571330000</v>
      </c>
      <c r="H1071">
        <v>0</v>
      </c>
      <c r="I1071">
        <v>0</v>
      </c>
      <c r="K1071" s="11">
        <f t="shared" si="16"/>
        <v>-1.0818532028197159E-2</v>
      </c>
    </row>
    <row r="1072" spans="1:11" x14ac:dyDescent="0.2">
      <c r="A1072" s="2">
        <v>44020</v>
      </c>
      <c r="B1072">
        <v>3153.070068359375</v>
      </c>
      <c r="C1072">
        <v>3171.800048828125</v>
      </c>
      <c r="D1072">
        <v>3136.530029296875</v>
      </c>
      <c r="E1072">
        <v>3169.93994140625</v>
      </c>
      <c r="F1072">
        <v>3169.93994140625</v>
      </c>
      <c r="G1072">
        <v>4937310000</v>
      </c>
      <c r="H1072">
        <v>0</v>
      </c>
      <c r="I1072">
        <v>0</v>
      </c>
      <c r="K1072" s="11">
        <f t="shared" si="16"/>
        <v>7.8274619154155012E-3</v>
      </c>
    </row>
    <row r="1073" spans="1:11" x14ac:dyDescent="0.2">
      <c r="A1073" s="2">
        <v>44021</v>
      </c>
      <c r="B1073">
        <v>3176.169921875</v>
      </c>
      <c r="C1073">
        <v>3179.780029296875</v>
      </c>
      <c r="D1073">
        <v>3115.699951171875</v>
      </c>
      <c r="E1073">
        <v>3152.050048828125</v>
      </c>
      <c r="F1073">
        <v>3152.050048828125</v>
      </c>
      <c r="G1073">
        <v>4843650000</v>
      </c>
      <c r="H1073">
        <v>0</v>
      </c>
      <c r="I1073">
        <v>0</v>
      </c>
      <c r="K1073" s="11">
        <f t="shared" si="16"/>
        <v>-5.6436061593611031E-3</v>
      </c>
    </row>
    <row r="1074" spans="1:11" x14ac:dyDescent="0.2">
      <c r="A1074" s="2">
        <v>44022</v>
      </c>
      <c r="B1074">
        <v>3152.469970703125</v>
      </c>
      <c r="C1074">
        <v>3186.820068359375</v>
      </c>
      <c r="D1074">
        <v>3136.219970703125</v>
      </c>
      <c r="E1074">
        <v>3185.0400390625</v>
      </c>
      <c r="F1074">
        <v>3185.0400390625</v>
      </c>
      <c r="G1074">
        <v>4524190000</v>
      </c>
      <c r="H1074">
        <v>0</v>
      </c>
      <c r="I1074">
        <v>0</v>
      </c>
      <c r="K1074" s="11">
        <f t="shared" si="16"/>
        <v>1.046620127324438E-2</v>
      </c>
    </row>
    <row r="1075" spans="1:11" x14ac:dyDescent="0.2">
      <c r="A1075" s="2">
        <v>44025</v>
      </c>
      <c r="B1075">
        <v>3205.080078125</v>
      </c>
      <c r="C1075">
        <v>3235.320068359375</v>
      </c>
      <c r="D1075">
        <v>3149.429931640625</v>
      </c>
      <c r="E1075">
        <v>3155.219970703125</v>
      </c>
      <c r="F1075">
        <v>3155.219970703125</v>
      </c>
      <c r="G1075">
        <v>4902440000</v>
      </c>
      <c r="H1075">
        <v>0</v>
      </c>
      <c r="I1075">
        <v>0</v>
      </c>
      <c r="K1075" s="11">
        <f t="shared" si="16"/>
        <v>-9.3625411277882264E-3</v>
      </c>
    </row>
    <row r="1076" spans="1:11" x14ac:dyDescent="0.2">
      <c r="A1076" s="2">
        <v>44026</v>
      </c>
      <c r="B1076">
        <v>3141.110107421875</v>
      </c>
      <c r="C1076">
        <v>3200.949951171875</v>
      </c>
      <c r="D1076">
        <v>3127.659912109375</v>
      </c>
      <c r="E1076">
        <v>3197.52001953125</v>
      </c>
      <c r="F1076">
        <v>3197.52001953125</v>
      </c>
      <c r="G1076">
        <v>4507140000</v>
      </c>
      <c r="H1076">
        <v>0</v>
      </c>
      <c r="I1076">
        <v>0</v>
      </c>
      <c r="K1076" s="11">
        <f t="shared" si="16"/>
        <v>1.3406370782667931E-2</v>
      </c>
    </row>
    <row r="1077" spans="1:11" x14ac:dyDescent="0.2">
      <c r="A1077" s="2">
        <v>44027</v>
      </c>
      <c r="B1077">
        <v>3225.97998046875</v>
      </c>
      <c r="C1077">
        <v>3238.280029296875</v>
      </c>
      <c r="D1077">
        <v>3200.760009765625</v>
      </c>
      <c r="E1077">
        <v>3226.56005859375</v>
      </c>
      <c r="F1077">
        <v>3226.56005859375</v>
      </c>
      <c r="G1077">
        <v>4686830000</v>
      </c>
      <c r="H1077">
        <v>0</v>
      </c>
      <c r="I1077">
        <v>0</v>
      </c>
      <c r="K1077" s="11">
        <f t="shared" si="16"/>
        <v>9.0820507409230533E-3</v>
      </c>
    </row>
    <row r="1078" spans="1:11" x14ac:dyDescent="0.2">
      <c r="A1078" s="2">
        <v>44028</v>
      </c>
      <c r="B1078">
        <v>3208.360107421875</v>
      </c>
      <c r="C1078">
        <v>3220.389892578125</v>
      </c>
      <c r="D1078">
        <v>3198.590087890625</v>
      </c>
      <c r="E1078">
        <v>3215.570068359375</v>
      </c>
      <c r="F1078">
        <v>3215.570068359375</v>
      </c>
      <c r="G1078">
        <v>3972860000</v>
      </c>
      <c r="H1078">
        <v>0</v>
      </c>
      <c r="I1078">
        <v>0</v>
      </c>
      <c r="K1078" s="11">
        <f t="shared" si="16"/>
        <v>-3.4061012455366413E-3</v>
      </c>
    </row>
    <row r="1079" spans="1:11" x14ac:dyDescent="0.2">
      <c r="A1079" s="2">
        <v>44029</v>
      </c>
      <c r="B1079">
        <v>3224.2099609375</v>
      </c>
      <c r="C1079">
        <v>3233.52001953125</v>
      </c>
      <c r="D1079">
        <v>3205.64990234375</v>
      </c>
      <c r="E1079">
        <v>3224.72998046875</v>
      </c>
      <c r="F1079">
        <v>3224.72998046875</v>
      </c>
      <c r="G1079">
        <v>4012850000</v>
      </c>
      <c r="H1079">
        <v>0</v>
      </c>
      <c r="I1079">
        <v>0</v>
      </c>
      <c r="K1079" s="11">
        <f t="shared" si="16"/>
        <v>2.8486121946174059E-3</v>
      </c>
    </row>
    <row r="1080" spans="1:11" x14ac:dyDescent="0.2">
      <c r="A1080" s="2">
        <v>44032</v>
      </c>
      <c r="B1080">
        <v>3224.2900390625</v>
      </c>
      <c r="C1080">
        <v>3258.610107421875</v>
      </c>
      <c r="D1080">
        <v>3215.159912109375</v>
      </c>
      <c r="E1080">
        <v>3251.840087890625</v>
      </c>
      <c r="F1080">
        <v>3251.840087890625</v>
      </c>
      <c r="G1080">
        <v>3979340000</v>
      </c>
      <c r="H1080">
        <v>0</v>
      </c>
      <c r="I1080">
        <v>0</v>
      </c>
      <c r="K1080" s="11">
        <f t="shared" si="16"/>
        <v>8.4069387471426005E-3</v>
      </c>
    </row>
    <row r="1081" spans="1:11" x14ac:dyDescent="0.2">
      <c r="A1081" s="2">
        <v>44033</v>
      </c>
      <c r="B1081">
        <v>3268.52001953125</v>
      </c>
      <c r="C1081">
        <v>3277.2900390625</v>
      </c>
      <c r="D1081">
        <v>3247.77001953125</v>
      </c>
      <c r="E1081">
        <v>3257.300048828125</v>
      </c>
      <c r="F1081">
        <v>3257.300048828125</v>
      </c>
      <c r="G1081">
        <v>4556610000</v>
      </c>
      <c r="H1081">
        <v>0</v>
      </c>
      <c r="I1081">
        <v>0</v>
      </c>
      <c r="K1081" s="11">
        <f t="shared" si="16"/>
        <v>1.6790373419135474E-3</v>
      </c>
    </row>
    <row r="1082" spans="1:11" x14ac:dyDescent="0.2">
      <c r="A1082" s="2">
        <v>44034</v>
      </c>
      <c r="B1082">
        <v>3254.860107421875</v>
      </c>
      <c r="C1082">
        <v>3279.320068359375</v>
      </c>
      <c r="D1082">
        <v>3253.10009765625</v>
      </c>
      <c r="E1082">
        <v>3276.02001953125</v>
      </c>
      <c r="F1082">
        <v>3276.02001953125</v>
      </c>
      <c r="G1082">
        <v>4267160000</v>
      </c>
      <c r="H1082">
        <v>0</v>
      </c>
      <c r="I1082">
        <v>0</v>
      </c>
      <c r="K1082" s="11">
        <f t="shared" si="16"/>
        <v>5.7470820687397506E-3</v>
      </c>
    </row>
    <row r="1083" spans="1:11" x14ac:dyDescent="0.2">
      <c r="A1083" s="2">
        <v>44035</v>
      </c>
      <c r="B1083">
        <v>3271.639892578125</v>
      </c>
      <c r="C1083">
        <v>3279.989990234375</v>
      </c>
      <c r="D1083">
        <v>3222.659912109375</v>
      </c>
      <c r="E1083">
        <v>3235.659912109375</v>
      </c>
      <c r="F1083">
        <v>3235.659912109375</v>
      </c>
      <c r="G1083">
        <v>4296760000</v>
      </c>
      <c r="H1083">
        <v>0</v>
      </c>
      <c r="I1083">
        <v>0</v>
      </c>
      <c r="K1083" s="11">
        <f t="shared" si="16"/>
        <v>-1.2319859824193036E-2</v>
      </c>
    </row>
    <row r="1084" spans="1:11" x14ac:dyDescent="0.2">
      <c r="A1084" s="2">
        <v>44036</v>
      </c>
      <c r="B1084">
        <v>3218.580078125</v>
      </c>
      <c r="C1084">
        <v>3227.260009765625</v>
      </c>
      <c r="D1084">
        <v>3200.050048828125</v>
      </c>
      <c r="E1084">
        <v>3215.6298828125</v>
      </c>
      <c r="F1084">
        <v>3215.6298828125</v>
      </c>
      <c r="G1084">
        <v>3689410000</v>
      </c>
      <c r="H1084">
        <v>0</v>
      </c>
      <c r="I1084">
        <v>0</v>
      </c>
      <c r="K1084" s="11">
        <f t="shared" si="16"/>
        <v>-6.1904000546884053E-3</v>
      </c>
    </row>
    <row r="1085" spans="1:11" x14ac:dyDescent="0.2">
      <c r="A1085" s="2">
        <v>44039</v>
      </c>
      <c r="B1085">
        <v>3219.840087890625</v>
      </c>
      <c r="C1085">
        <v>3241.429931640625</v>
      </c>
      <c r="D1085">
        <v>3214.25</v>
      </c>
      <c r="E1085">
        <v>3239.409912109375</v>
      </c>
      <c r="F1085">
        <v>3239.409912109375</v>
      </c>
      <c r="G1085">
        <v>3970310000</v>
      </c>
      <c r="H1085">
        <v>0</v>
      </c>
      <c r="I1085">
        <v>0</v>
      </c>
      <c r="K1085" s="11">
        <f t="shared" si="16"/>
        <v>7.395138795039502E-3</v>
      </c>
    </row>
    <row r="1086" spans="1:11" x14ac:dyDescent="0.2">
      <c r="A1086" s="2">
        <v>44040</v>
      </c>
      <c r="B1086">
        <v>3234.27001953125</v>
      </c>
      <c r="C1086">
        <v>3243.719970703125</v>
      </c>
      <c r="D1086">
        <v>3216.169921875</v>
      </c>
      <c r="E1086">
        <v>3218.43994140625</v>
      </c>
      <c r="F1086">
        <v>3218.43994140625</v>
      </c>
      <c r="G1086">
        <v>4053180000</v>
      </c>
      <c r="H1086">
        <v>0</v>
      </c>
      <c r="I1086">
        <v>0</v>
      </c>
      <c r="K1086" s="11">
        <f t="shared" si="16"/>
        <v>-6.4733921522979188E-3</v>
      </c>
    </row>
    <row r="1087" spans="1:11" x14ac:dyDescent="0.2">
      <c r="A1087" s="2">
        <v>44041</v>
      </c>
      <c r="B1087">
        <v>3227.219970703125</v>
      </c>
      <c r="C1087">
        <v>3264.739990234375</v>
      </c>
      <c r="D1087">
        <v>3227.219970703125</v>
      </c>
      <c r="E1087">
        <v>3258.43994140625</v>
      </c>
      <c r="F1087">
        <v>3258.43994140625</v>
      </c>
      <c r="G1087">
        <v>4478200000</v>
      </c>
      <c r="H1087">
        <v>0</v>
      </c>
      <c r="I1087">
        <v>0</v>
      </c>
      <c r="K1087" s="11">
        <f t="shared" si="16"/>
        <v>1.242838167815008E-2</v>
      </c>
    </row>
    <row r="1088" spans="1:11" x14ac:dyDescent="0.2">
      <c r="A1088" s="2">
        <v>44042</v>
      </c>
      <c r="B1088">
        <v>3231.760009765625</v>
      </c>
      <c r="C1088">
        <v>3250.919921875</v>
      </c>
      <c r="D1088">
        <v>3204.1298828125</v>
      </c>
      <c r="E1088">
        <v>3246.219970703125</v>
      </c>
      <c r="F1088">
        <v>3246.219970703125</v>
      </c>
      <c r="G1088">
        <v>4264920000</v>
      </c>
      <c r="H1088">
        <v>0</v>
      </c>
      <c r="I1088">
        <v>0</v>
      </c>
      <c r="K1088" s="11">
        <f t="shared" si="16"/>
        <v>-3.750251937389204E-3</v>
      </c>
    </row>
    <row r="1089" spans="1:11" x14ac:dyDescent="0.2">
      <c r="A1089" s="2">
        <v>44043</v>
      </c>
      <c r="B1089">
        <v>3270.449951171875</v>
      </c>
      <c r="C1089">
        <v>3272.169921875</v>
      </c>
      <c r="D1089">
        <v>3220.260009765625</v>
      </c>
      <c r="E1089">
        <v>3271.1201171875</v>
      </c>
      <c r="F1089">
        <v>3271.1201171875</v>
      </c>
      <c r="G1089">
        <v>5007530000</v>
      </c>
      <c r="H1089">
        <v>0</v>
      </c>
      <c r="I1089">
        <v>0</v>
      </c>
      <c r="K1089" s="11">
        <f t="shared" si="16"/>
        <v>7.6705049901413247E-3</v>
      </c>
    </row>
    <row r="1090" spans="1:11" x14ac:dyDescent="0.2">
      <c r="A1090" s="2">
        <v>44046</v>
      </c>
      <c r="B1090">
        <v>3288.260009765625</v>
      </c>
      <c r="C1090">
        <v>3302.72998046875</v>
      </c>
      <c r="D1090">
        <v>3284.530029296875</v>
      </c>
      <c r="E1090">
        <v>3294.610107421875</v>
      </c>
      <c r="F1090">
        <v>3294.610107421875</v>
      </c>
      <c r="G1090">
        <v>4438940000</v>
      </c>
      <c r="H1090">
        <v>0</v>
      </c>
      <c r="I1090">
        <v>0</v>
      </c>
      <c r="K1090" s="11">
        <f t="shared" si="16"/>
        <v>7.1810234393261396E-3</v>
      </c>
    </row>
    <row r="1091" spans="1:11" x14ac:dyDescent="0.2">
      <c r="A1091" s="2">
        <v>44047</v>
      </c>
      <c r="B1091">
        <v>3289.919921875</v>
      </c>
      <c r="C1091">
        <v>3306.840087890625</v>
      </c>
      <c r="D1091">
        <v>3286.3701171875</v>
      </c>
      <c r="E1091">
        <v>3306.510009765625</v>
      </c>
      <c r="F1091">
        <v>3306.510009765625</v>
      </c>
      <c r="G1091">
        <v>4414380000</v>
      </c>
      <c r="H1091">
        <v>0</v>
      </c>
      <c r="I1091">
        <v>0</v>
      </c>
      <c r="K1091" s="11">
        <f t="shared" si="16"/>
        <v>3.6119303819721615E-3</v>
      </c>
    </row>
    <row r="1092" spans="1:11" x14ac:dyDescent="0.2">
      <c r="A1092" s="2">
        <v>44048</v>
      </c>
      <c r="B1092">
        <v>3317.3701171875</v>
      </c>
      <c r="C1092">
        <v>3330.77001953125</v>
      </c>
      <c r="D1092">
        <v>3317.3701171875</v>
      </c>
      <c r="E1092">
        <v>3327.77001953125</v>
      </c>
      <c r="F1092">
        <v>3327.77001953125</v>
      </c>
      <c r="G1092">
        <v>4535060000</v>
      </c>
      <c r="H1092">
        <v>0</v>
      </c>
      <c r="I1092">
        <v>0</v>
      </c>
      <c r="K1092" s="11">
        <f t="shared" ref="K1092:K1155" si="17">(E1092/E1091)-1</f>
        <v>6.4297430531994326E-3</v>
      </c>
    </row>
    <row r="1093" spans="1:11" x14ac:dyDescent="0.2">
      <c r="A1093" s="2">
        <v>44049</v>
      </c>
      <c r="B1093">
        <v>3323.169921875</v>
      </c>
      <c r="C1093">
        <v>3351.030029296875</v>
      </c>
      <c r="D1093">
        <v>3318.139892578125</v>
      </c>
      <c r="E1093">
        <v>3349.159912109375</v>
      </c>
      <c r="F1093">
        <v>3349.159912109375</v>
      </c>
      <c r="G1093">
        <v>4278930000</v>
      </c>
      <c r="H1093">
        <v>0</v>
      </c>
      <c r="I1093">
        <v>0</v>
      </c>
      <c r="K1093" s="11">
        <f t="shared" si="17"/>
        <v>6.4276955596642704E-3</v>
      </c>
    </row>
    <row r="1094" spans="1:11" x14ac:dyDescent="0.2">
      <c r="A1094" s="2">
        <v>44050</v>
      </c>
      <c r="B1094">
        <v>3340.050048828125</v>
      </c>
      <c r="C1094">
        <v>3352.5400390625</v>
      </c>
      <c r="D1094">
        <v>3328.719970703125</v>
      </c>
      <c r="E1094">
        <v>3351.280029296875</v>
      </c>
      <c r="F1094">
        <v>3351.280029296875</v>
      </c>
      <c r="G1094">
        <v>4110030000</v>
      </c>
      <c r="H1094">
        <v>0</v>
      </c>
      <c r="I1094">
        <v>0</v>
      </c>
      <c r="K1094" s="11">
        <f t="shared" si="17"/>
        <v>6.3302954864430383E-4</v>
      </c>
    </row>
    <row r="1095" spans="1:11" x14ac:dyDescent="0.2">
      <c r="A1095" s="2">
        <v>44053</v>
      </c>
      <c r="B1095">
        <v>3356.0400390625</v>
      </c>
      <c r="C1095">
        <v>3363.2900390625</v>
      </c>
      <c r="D1095">
        <v>3335.43994140625</v>
      </c>
      <c r="E1095">
        <v>3360.469970703125</v>
      </c>
      <c r="F1095">
        <v>3360.469970703125</v>
      </c>
      <c r="G1095">
        <v>4327920000</v>
      </c>
      <c r="H1095">
        <v>0</v>
      </c>
      <c r="I1095">
        <v>0</v>
      </c>
      <c r="K1095" s="11">
        <f t="shared" si="17"/>
        <v>2.7422182944760731E-3</v>
      </c>
    </row>
    <row r="1096" spans="1:11" x14ac:dyDescent="0.2">
      <c r="A1096" s="2">
        <v>44054</v>
      </c>
      <c r="B1096">
        <v>3370.340087890625</v>
      </c>
      <c r="C1096">
        <v>3381.010009765625</v>
      </c>
      <c r="D1096">
        <v>3326.43994140625</v>
      </c>
      <c r="E1096">
        <v>3333.68994140625</v>
      </c>
      <c r="F1096">
        <v>3333.68994140625</v>
      </c>
      <c r="G1096">
        <v>4880540000</v>
      </c>
      <c r="H1096">
        <v>0</v>
      </c>
      <c r="I1096">
        <v>0</v>
      </c>
      <c r="K1096" s="11">
        <f t="shared" si="17"/>
        <v>-7.9691321542361138E-3</v>
      </c>
    </row>
    <row r="1097" spans="1:11" x14ac:dyDescent="0.2">
      <c r="A1097" s="2">
        <v>44055</v>
      </c>
      <c r="B1097">
        <v>3355.4599609375</v>
      </c>
      <c r="C1097">
        <v>3387.889892578125</v>
      </c>
      <c r="D1097">
        <v>3355.4599609375</v>
      </c>
      <c r="E1097">
        <v>3380.35009765625</v>
      </c>
      <c r="F1097">
        <v>3380.35009765625</v>
      </c>
      <c r="G1097">
        <v>3772250000</v>
      </c>
      <c r="H1097">
        <v>0</v>
      </c>
      <c r="I1097">
        <v>0</v>
      </c>
      <c r="K1097" s="11">
        <f t="shared" si="17"/>
        <v>1.3996549490237653E-2</v>
      </c>
    </row>
    <row r="1098" spans="1:11" x14ac:dyDescent="0.2">
      <c r="A1098" s="2">
        <v>44056</v>
      </c>
      <c r="B1098">
        <v>3372.949951171875</v>
      </c>
      <c r="C1098">
        <v>3387.239990234375</v>
      </c>
      <c r="D1098">
        <v>3363.35009765625</v>
      </c>
      <c r="E1098">
        <v>3373.429931640625</v>
      </c>
      <c r="F1098">
        <v>3373.429931640625</v>
      </c>
      <c r="G1098">
        <v>3438730000</v>
      </c>
      <c r="H1098">
        <v>0</v>
      </c>
      <c r="I1098">
        <v>0</v>
      </c>
      <c r="K1098" s="11">
        <f t="shared" si="17"/>
        <v>-2.0471743504979489E-3</v>
      </c>
    </row>
    <row r="1099" spans="1:11" x14ac:dyDescent="0.2">
      <c r="A1099" s="2">
        <v>44057</v>
      </c>
      <c r="B1099">
        <v>3368.659912109375</v>
      </c>
      <c r="C1099">
        <v>3378.510009765625</v>
      </c>
      <c r="D1099">
        <v>3361.639892578125</v>
      </c>
      <c r="E1099">
        <v>3372.85009765625</v>
      </c>
      <c r="F1099">
        <v>3372.85009765625</v>
      </c>
      <c r="G1099">
        <v>3200060000</v>
      </c>
      <c r="H1099">
        <v>0</v>
      </c>
      <c r="I1099">
        <v>0</v>
      </c>
      <c r="K1099" s="11">
        <f t="shared" si="17"/>
        <v>-1.7188262276812694E-4</v>
      </c>
    </row>
    <row r="1100" spans="1:11" x14ac:dyDescent="0.2">
      <c r="A1100" s="2">
        <v>44060</v>
      </c>
      <c r="B1100">
        <v>3380.860107421875</v>
      </c>
      <c r="C1100">
        <v>3387.590087890625</v>
      </c>
      <c r="D1100">
        <v>3379.219970703125</v>
      </c>
      <c r="E1100">
        <v>3381.989990234375</v>
      </c>
      <c r="F1100">
        <v>3381.989990234375</v>
      </c>
      <c r="G1100">
        <v>3460330000</v>
      </c>
      <c r="H1100">
        <v>0</v>
      </c>
      <c r="I1100">
        <v>0</v>
      </c>
      <c r="K1100" s="11">
        <f t="shared" si="17"/>
        <v>2.7098425110787527E-3</v>
      </c>
    </row>
    <row r="1101" spans="1:11" x14ac:dyDescent="0.2">
      <c r="A1101" s="2">
        <v>44061</v>
      </c>
      <c r="B1101">
        <v>3387.0400390625</v>
      </c>
      <c r="C1101">
        <v>3395.06005859375</v>
      </c>
      <c r="D1101">
        <v>3370.14990234375</v>
      </c>
      <c r="E1101">
        <v>3389.780029296875</v>
      </c>
      <c r="F1101">
        <v>3389.780029296875</v>
      </c>
      <c r="G1101">
        <v>3669550000</v>
      </c>
      <c r="H1101">
        <v>0</v>
      </c>
      <c r="I1101">
        <v>0</v>
      </c>
      <c r="K1101" s="11">
        <f t="shared" si="17"/>
        <v>2.3033891540169549E-3</v>
      </c>
    </row>
    <row r="1102" spans="1:11" x14ac:dyDescent="0.2">
      <c r="A1102" s="2">
        <v>44062</v>
      </c>
      <c r="B1102">
        <v>3392.510009765625</v>
      </c>
      <c r="C1102">
        <v>3399.5400390625</v>
      </c>
      <c r="D1102">
        <v>3369.659912109375</v>
      </c>
      <c r="E1102">
        <v>3374.85009765625</v>
      </c>
      <c r="F1102">
        <v>3374.85009765625</v>
      </c>
      <c r="G1102">
        <v>3679480000</v>
      </c>
      <c r="H1102">
        <v>0</v>
      </c>
      <c r="I1102">
        <v>0</v>
      </c>
      <c r="K1102" s="11">
        <f t="shared" si="17"/>
        <v>-4.4043954214108005E-3</v>
      </c>
    </row>
    <row r="1103" spans="1:11" x14ac:dyDescent="0.2">
      <c r="A1103" s="2">
        <v>44063</v>
      </c>
      <c r="B1103">
        <v>3360.47998046875</v>
      </c>
      <c r="C1103">
        <v>3390.800048828125</v>
      </c>
      <c r="D1103">
        <v>3354.68994140625</v>
      </c>
      <c r="E1103">
        <v>3385.510009765625</v>
      </c>
      <c r="F1103">
        <v>3385.510009765625</v>
      </c>
      <c r="G1103">
        <v>3431040000</v>
      </c>
      <c r="H1103">
        <v>0</v>
      </c>
      <c r="I1103">
        <v>0</v>
      </c>
      <c r="K1103" s="11">
        <f t="shared" si="17"/>
        <v>3.1586327691348615E-3</v>
      </c>
    </row>
    <row r="1104" spans="1:11" x14ac:dyDescent="0.2">
      <c r="A1104" s="2">
        <v>44064</v>
      </c>
      <c r="B1104">
        <v>3386.010009765625</v>
      </c>
      <c r="C1104">
        <v>3399.9599609375</v>
      </c>
      <c r="D1104">
        <v>3379.31005859375</v>
      </c>
      <c r="E1104">
        <v>3397.159912109375</v>
      </c>
      <c r="F1104">
        <v>3397.159912109375</v>
      </c>
      <c r="G1104">
        <v>3505010000</v>
      </c>
      <c r="H1104">
        <v>0</v>
      </c>
      <c r="I1104">
        <v>0</v>
      </c>
      <c r="K1104" s="11">
        <f t="shared" si="17"/>
        <v>3.4411070444764214E-3</v>
      </c>
    </row>
    <row r="1105" spans="1:11" x14ac:dyDescent="0.2">
      <c r="A1105" s="2">
        <v>44067</v>
      </c>
      <c r="B1105">
        <v>3418.090087890625</v>
      </c>
      <c r="C1105">
        <v>3432.090087890625</v>
      </c>
      <c r="D1105">
        <v>3413.1298828125</v>
      </c>
      <c r="E1105">
        <v>3431.280029296875</v>
      </c>
      <c r="F1105">
        <v>3431.280029296875</v>
      </c>
      <c r="G1105">
        <v>3743410000</v>
      </c>
      <c r="H1105">
        <v>0</v>
      </c>
      <c r="I1105">
        <v>0</v>
      </c>
      <c r="K1105" s="11">
        <f t="shared" si="17"/>
        <v>1.0043718303008653E-2</v>
      </c>
    </row>
    <row r="1106" spans="1:11" x14ac:dyDescent="0.2">
      <c r="A1106" s="2">
        <v>44068</v>
      </c>
      <c r="B1106">
        <v>3435.949951171875</v>
      </c>
      <c r="C1106">
        <v>3444.2099609375</v>
      </c>
      <c r="D1106">
        <v>3425.840087890625</v>
      </c>
      <c r="E1106">
        <v>3443.6201171875</v>
      </c>
      <c r="F1106">
        <v>3443.6201171875</v>
      </c>
      <c r="G1106">
        <v>3627650000</v>
      </c>
      <c r="H1106">
        <v>0</v>
      </c>
      <c r="I1106">
        <v>0</v>
      </c>
      <c r="K1106" s="11">
        <f t="shared" si="17"/>
        <v>3.5963511532906001E-3</v>
      </c>
    </row>
    <row r="1107" spans="1:11" x14ac:dyDescent="0.2">
      <c r="A1107" s="2">
        <v>44069</v>
      </c>
      <c r="B1107">
        <v>3449.969970703125</v>
      </c>
      <c r="C1107">
        <v>3481.070068359375</v>
      </c>
      <c r="D1107">
        <v>3444.14990234375</v>
      </c>
      <c r="E1107">
        <v>3478.72998046875</v>
      </c>
      <c r="F1107">
        <v>3478.72998046875</v>
      </c>
      <c r="G1107">
        <v>3780530000</v>
      </c>
      <c r="H1107">
        <v>0</v>
      </c>
      <c r="I1107">
        <v>0</v>
      </c>
      <c r="K1107" s="11">
        <f t="shared" si="17"/>
        <v>1.0195626139483993E-2</v>
      </c>
    </row>
    <row r="1108" spans="1:11" x14ac:dyDescent="0.2">
      <c r="A1108" s="2">
        <v>44070</v>
      </c>
      <c r="B1108">
        <v>3485.139892578125</v>
      </c>
      <c r="C1108">
        <v>3501.3798828125</v>
      </c>
      <c r="D1108">
        <v>3468.35009765625</v>
      </c>
      <c r="E1108">
        <v>3484.550048828125</v>
      </c>
      <c r="F1108">
        <v>3484.550048828125</v>
      </c>
      <c r="G1108">
        <v>3955890000</v>
      </c>
      <c r="H1108">
        <v>0</v>
      </c>
      <c r="I1108">
        <v>0</v>
      </c>
      <c r="K1108" s="11">
        <f t="shared" si="17"/>
        <v>1.6730440109038458E-3</v>
      </c>
    </row>
    <row r="1109" spans="1:11" x14ac:dyDescent="0.2">
      <c r="A1109" s="2">
        <v>44071</v>
      </c>
      <c r="B1109">
        <v>3494.68994140625</v>
      </c>
      <c r="C1109">
        <v>3509.22998046875</v>
      </c>
      <c r="D1109">
        <v>3484.320068359375</v>
      </c>
      <c r="E1109">
        <v>3508.010009765625</v>
      </c>
      <c r="F1109">
        <v>3508.010009765625</v>
      </c>
      <c r="G1109">
        <v>3868510000</v>
      </c>
      <c r="H1109">
        <v>0</v>
      </c>
      <c r="I1109">
        <v>0</v>
      </c>
      <c r="K1109" s="11">
        <f t="shared" si="17"/>
        <v>6.73256535528588E-3</v>
      </c>
    </row>
    <row r="1110" spans="1:11" x14ac:dyDescent="0.2">
      <c r="A1110" s="2">
        <v>44074</v>
      </c>
      <c r="B1110">
        <v>3509.72998046875</v>
      </c>
      <c r="C1110">
        <v>3514.77001953125</v>
      </c>
      <c r="D1110">
        <v>3493.25</v>
      </c>
      <c r="E1110">
        <v>3500.31005859375</v>
      </c>
      <c r="F1110">
        <v>3500.31005859375</v>
      </c>
      <c r="G1110">
        <v>4348280000</v>
      </c>
      <c r="H1110">
        <v>0</v>
      </c>
      <c r="I1110">
        <v>0</v>
      </c>
      <c r="K1110" s="11">
        <f t="shared" si="17"/>
        <v>-2.1949627140287475E-3</v>
      </c>
    </row>
    <row r="1111" spans="1:11" x14ac:dyDescent="0.2">
      <c r="A1111" s="2">
        <v>44075</v>
      </c>
      <c r="B1111">
        <v>3507.43994140625</v>
      </c>
      <c r="C1111">
        <v>3528.030029296875</v>
      </c>
      <c r="D1111">
        <v>3494.60009765625</v>
      </c>
      <c r="E1111">
        <v>3526.64990234375</v>
      </c>
      <c r="F1111">
        <v>3526.64990234375</v>
      </c>
      <c r="G1111">
        <v>4101490000</v>
      </c>
      <c r="H1111">
        <v>0</v>
      </c>
      <c r="I1111">
        <v>0</v>
      </c>
      <c r="K1111" s="11">
        <f t="shared" si="17"/>
        <v>7.5250030166134074E-3</v>
      </c>
    </row>
    <row r="1112" spans="1:11" x14ac:dyDescent="0.2">
      <c r="A1112" s="2">
        <v>44076</v>
      </c>
      <c r="B1112">
        <v>3543.760009765625</v>
      </c>
      <c r="C1112">
        <v>3588.110107421875</v>
      </c>
      <c r="D1112">
        <v>3535.22998046875</v>
      </c>
      <c r="E1112">
        <v>3580.840087890625</v>
      </c>
      <c r="F1112">
        <v>3580.840087890625</v>
      </c>
      <c r="G1112">
        <v>4295640000</v>
      </c>
      <c r="H1112">
        <v>0</v>
      </c>
      <c r="I1112">
        <v>0</v>
      </c>
      <c r="K1112" s="11">
        <f t="shared" si="17"/>
        <v>1.5365910154807594E-2</v>
      </c>
    </row>
    <row r="1113" spans="1:11" x14ac:dyDescent="0.2">
      <c r="A1113" s="2">
        <v>44077</v>
      </c>
      <c r="B1113">
        <v>3564.739990234375</v>
      </c>
      <c r="C1113">
        <v>3564.85009765625</v>
      </c>
      <c r="D1113">
        <v>3427.409912109375</v>
      </c>
      <c r="E1113">
        <v>3455.06005859375</v>
      </c>
      <c r="F1113">
        <v>3455.06005859375</v>
      </c>
      <c r="G1113">
        <v>4911830000</v>
      </c>
      <c r="H1113">
        <v>0</v>
      </c>
      <c r="I1113">
        <v>0</v>
      </c>
      <c r="K1113" s="11">
        <f t="shared" si="17"/>
        <v>-3.5125843715341221E-2</v>
      </c>
    </row>
    <row r="1114" spans="1:11" x14ac:dyDescent="0.2">
      <c r="A1114" s="2">
        <v>44078</v>
      </c>
      <c r="B1114">
        <v>3453.60009765625</v>
      </c>
      <c r="C1114">
        <v>3479.14990234375</v>
      </c>
      <c r="D1114">
        <v>3349.6298828125</v>
      </c>
      <c r="E1114">
        <v>3426.9599609375</v>
      </c>
      <c r="F1114">
        <v>3426.9599609375</v>
      </c>
      <c r="G1114">
        <v>4438720000</v>
      </c>
      <c r="H1114">
        <v>0</v>
      </c>
      <c r="I1114">
        <v>0</v>
      </c>
      <c r="K1114" s="11">
        <f t="shared" si="17"/>
        <v>-8.1330272642748946E-3</v>
      </c>
    </row>
    <row r="1115" spans="1:11" x14ac:dyDescent="0.2">
      <c r="A1115" s="2">
        <v>44082</v>
      </c>
      <c r="B1115">
        <v>3371.8798828125</v>
      </c>
      <c r="C1115">
        <v>3379.969970703125</v>
      </c>
      <c r="D1115">
        <v>3329.27001953125</v>
      </c>
      <c r="E1115">
        <v>3331.840087890625</v>
      </c>
      <c r="F1115">
        <v>3331.840087890625</v>
      </c>
      <c r="G1115">
        <v>4694330000</v>
      </c>
      <c r="H1115">
        <v>0</v>
      </c>
      <c r="I1115">
        <v>0</v>
      </c>
      <c r="K1115" s="11">
        <f t="shared" si="17"/>
        <v>-2.7756342102360998E-2</v>
      </c>
    </row>
    <row r="1116" spans="1:11" x14ac:dyDescent="0.2">
      <c r="A1116" s="2">
        <v>44083</v>
      </c>
      <c r="B1116">
        <v>3369.820068359375</v>
      </c>
      <c r="C1116">
        <v>3424.77001953125</v>
      </c>
      <c r="D1116">
        <v>3366.840087890625</v>
      </c>
      <c r="E1116">
        <v>3398.9599609375</v>
      </c>
      <c r="F1116">
        <v>3398.9599609375</v>
      </c>
      <c r="G1116">
        <v>3932520000</v>
      </c>
      <c r="H1116">
        <v>0</v>
      </c>
      <c r="I1116">
        <v>0</v>
      </c>
      <c r="K1116" s="11">
        <f t="shared" si="17"/>
        <v>2.014498633677464E-2</v>
      </c>
    </row>
    <row r="1117" spans="1:11" x14ac:dyDescent="0.2">
      <c r="A1117" s="2">
        <v>44084</v>
      </c>
      <c r="B1117">
        <v>3412.56005859375</v>
      </c>
      <c r="C1117">
        <v>3425.550048828125</v>
      </c>
      <c r="D1117">
        <v>3329.25</v>
      </c>
      <c r="E1117">
        <v>3339.18994140625</v>
      </c>
      <c r="F1117">
        <v>3339.18994140625</v>
      </c>
      <c r="G1117">
        <v>4208630000</v>
      </c>
      <c r="H1117">
        <v>0</v>
      </c>
      <c r="I1117">
        <v>0</v>
      </c>
      <c r="K1117" s="11">
        <f t="shared" si="17"/>
        <v>-1.7584796590179419E-2</v>
      </c>
    </row>
    <row r="1118" spans="1:11" x14ac:dyDescent="0.2">
      <c r="A1118" s="2">
        <v>44085</v>
      </c>
      <c r="B1118">
        <v>3352.699951171875</v>
      </c>
      <c r="C1118">
        <v>3368.949951171875</v>
      </c>
      <c r="D1118">
        <v>3310.469970703125</v>
      </c>
      <c r="E1118">
        <v>3340.969970703125</v>
      </c>
      <c r="F1118">
        <v>3340.969970703125</v>
      </c>
      <c r="G1118">
        <v>3710090000</v>
      </c>
      <c r="H1118">
        <v>0</v>
      </c>
      <c r="I1118">
        <v>0</v>
      </c>
      <c r="K1118" s="11">
        <f t="shared" si="17"/>
        <v>5.3307219059406385E-4</v>
      </c>
    </row>
    <row r="1119" spans="1:11" x14ac:dyDescent="0.2">
      <c r="A1119" s="2">
        <v>44088</v>
      </c>
      <c r="B1119">
        <v>3363.56005859375</v>
      </c>
      <c r="C1119">
        <v>3402.929931640625</v>
      </c>
      <c r="D1119">
        <v>3363.56005859375</v>
      </c>
      <c r="E1119">
        <v>3383.5400390625</v>
      </c>
      <c r="F1119">
        <v>3383.5400390625</v>
      </c>
      <c r="G1119">
        <v>3839580000</v>
      </c>
      <c r="H1119">
        <v>0</v>
      </c>
      <c r="I1119">
        <v>0</v>
      </c>
      <c r="K1119" s="11">
        <f t="shared" si="17"/>
        <v>1.2741829089357504E-2</v>
      </c>
    </row>
    <row r="1120" spans="1:11" x14ac:dyDescent="0.2">
      <c r="A1120" s="2">
        <v>44089</v>
      </c>
      <c r="B1120">
        <v>3407.72998046875</v>
      </c>
      <c r="C1120">
        <v>3419.47998046875</v>
      </c>
      <c r="D1120">
        <v>3389.25</v>
      </c>
      <c r="E1120">
        <v>3401.199951171875</v>
      </c>
      <c r="F1120">
        <v>3401.199951171875</v>
      </c>
      <c r="G1120">
        <v>4057190000</v>
      </c>
      <c r="H1120">
        <v>0</v>
      </c>
      <c r="I1120">
        <v>0</v>
      </c>
      <c r="K1120" s="11">
        <f t="shared" si="17"/>
        <v>5.2193595776890422E-3</v>
      </c>
    </row>
    <row r="1121" spans="1:11" x14ac:dyDescent="0.2">
      <c r="A1121" s="2">
        <v>44090</v>
      </c>
      <c r="B1121">
        <v>3411.22998046875</v>
      </c>
      <c r="C1121">
        <v>3428.919921875</v>
      </c>
      <c r="D1121">
        <v>3384.449951171875</v>
      </c>
      <c r="E1121">
        <v>3385.489990234375</v>
      </c>
      <c r="F1121">
        <v>3385.489990234375</v>
      </c>
      <c r="G1121">
        <v>4718900000</v>
      </c>
      <c r="H1121">
        <v>0</v>
      </c>
      <c r="I1121">
        <v>0</v>
      </c>
      <c r="K1121" s="11">
        <f t="shared" si="17"/>
        <v>-4.6189465962115372E-3</v>
      </c>
    </row>
    <row r="1122" spans="1:11" x14ac:dyDescent="0.2">
      <c r="A1122" s="2">
        <v>44091</v>
      </c>
      <c r="B1122">
        <v>3346.860107421875</v>
      </c>
      <c r="C1122">
        <v>3375.169921875</v>
      </c>
      <c r="D1122">
        <v>3328.820068359375</v>
      </c>
      <c r="E1122">
        <v>3357.010009765625</v>
      </c>
      <c r="F1122">
        <v>3357.010009765625</v>
      </c>
      <c r="G1122">
        <v>4379840000</v>
      </c>
      <c r="H1122">
        <v>0</v>
      </c>
      <c r="I1122">
        <v>0</v>
      </c>
      <c r="K1122" s="11">
        <f t="shared" si="17"/>
        <v>-8.4123658764024833E-3</v>
      </c>
    </row>
    <row r="1123" spans="1:11" x14ac:dyDescent="0.2">
      <c r="A1123" s="2">
        <v>44092</v>
      </c>
      <c r="B1123">
        <v>3357.3798828125</v>
      </c>
      <c r="C1123">
        <v>3362.27001953125</v>
      </c>
      <c r="D1123">
        <v>3292.39990234375</v>
      </c>
      <c r="E1123">
        <v>3319.469970703125</v>
      </c>
      <c r="F1123">
        <v>3319.469970703125</v>
      </c>
      <c r="G1123">
        <v>7076400000</v>
      </c>
      <c r="H1123">
        <v>0</v>
      </c>
      <c r="I1123">
        <v>0</v>
      </c>
      <c r="K1123" s="11">
        <f t="shared" si="17"/>
        <v>-1.1182581807410497E-2</v>
      </c>
    </row>
    <row r="1124" spans="1:11" x14ac:dyDescent="0.2">
      <c r="A1124" s="2">
        <v>44095</v>
      </c>
      <c r="B1124">
        <v>3285.570068359375</v>
      </c>
      <c r="C1124">
        <v>3285.570068359375</v>
      </c>
      <c r="D1124">
        <v>3229.10009765625</v>
      </c>
      <c r="E1124">
        <v>3281.06005859375</v>
      </c>
      <c r="F1124">
        <v>3281.06005859375</v>
      </c>
      <c r="G1124">
        <v>4836070000</v>
      </c>
      <c r="H1124">
        <v>0</v>
      </c>
      <c r="I1124">
        <v>0</v>
      </c>
      <c r="K1124" s="11">
        <f t="shared" si="17"/>
        <v>-1.1571097930805796E-2</v>
      </c>
    </row>
    <row r="1125" spans="1:11" x14ac:dyDescent="0.2">
      <c r="A1125" s="2">
        <v>44096</v>
      </c>
      <c r="B1125">
        <v>3295.75</v>
      </c>
      <c r="C1125">
        <v>3320.31005859375</v>
      </c>
      <c r="D1125">
        <v>3270.949951171875</v>
      </c>
      <c r="E1125">
        <v>3315.570068359375</v>
      </c>
      <c r="F1125">
        <v>3315.570068359375</v>
      </c>
      <c r="G1125">
        <v>3974510000</v>
      </c>
      <c r="H1125">
        <v>0</v>
      </c>
      <c r="I1125">
        <v>0</v>
      </c>
      <c r="K1125" s="11">
        <f t="shared" si="17"/>
        <v>1.0517945160813724E-2</v>
      </c>
    </row>
    <row r="1126" spans="1:11" x14ac:dyDescent="0.2">
      <c r="A1126" s="2">
        <v>44097</v>
      </c>
      <c r="B1126">
        <v>3320.110107421875</v>
      </c>
      <c r="C1126">
        <v>3323.35009765625</v>
      </c>
      <c r="D1126">
        <v>3232.570068359375</v>
      </c>
      <c r="E1126">
        <v>3236.919921875</v>
      </c>
      <c r="F1126">
        <v>3236.919921875</v>
      </c>
      <c r="G1126">
        <v>4378650000</v>
      </c>
      <c r="H1126">
        <v>0</v>
      </c>
      <c r="I1126">
        <v>0</v>
      </c>
      <c r="K1126" s="11">
        <f t="shared" si="17"/>
        <v>-2.3721455093028143E-2</v>
      </c>
    </row>
    <row r="1127" spans="1:11" x14ac:dyDescent="0.2">
      <c r="A1127" s="2">
        <v>44098</v>
      </c>
      <c r="B1127">
        <v>3226.139892578125</v>
      </c>
      <c r="C1127">
        <v>3278.699951171875</v>
      </c>
      <c r="D1127">
        <v>3209.449951171875</v>
      </c>
      <c r="E1127">
        <v>3246.590087890625</v>
      </c>
      <c r="F1127">
        <v>3246.590087890625</v>
      </c>
      <c r="G1127">
        <v>4601920000</v>
      </c>
      <c r="H1127">
        <v>0</v>
      </c>
      <c r="I1127">
        <v>0</v>
      </c>
      <c r="K1127" s="11">
        <f t="shared" si="17"/>
        <v>2.9874591429570607E-3</v>
      </c>
    </row>
    <row r="1128" spans="1:11" x14ac:dyDescent="0.2">
      <c r="A1128" s="2">
        <v>44099</v>
      </c>
      <c r="B1128">
        <v>3236.659912109375</v>
      </c>
      <c r="C1128">
        <v>3306.8798828125</v>
      </c>
      <c r="D1128">
        <v>3228.43994140625</v>
      </c>
      <c r="E1128">
        <v>3298.4599609375</v>
      </c>
      <c r="F1128">
        <v>3298.4599609375</v>
      </c>
      <c r="G1128">
        <v>3803330000</v>
      </c>
      <c r="H1128">
        <v>0</v>
      </c>
      <c r="I1128">
        <v>0</v>
      </c>
      <c r="K1128" s="11">
        <f t="shared" si="17"/>
        <v>1.5976723775614099E-2</v>
      </c>
    </row>
    <row r="1129" spans="1:11" x14ac:dyDescent="0.2">
      <c r="A1129" s="2">
        <v>44102</v>
      </c>
      <c r="B1129">
        <v>3333.89990234375</v>
      </c>
      <c r="C1129">
        <v>3360.739990234375</v>
      </c>
      <c r="D1129">
        <v>3332.909912109375</v>
      </c>
      <c r="E1129">
        <v>3351.60009765625</v>
      </c>
      <c r="F1129">
        <v>3351.60009765625</v>
      </c>
      <c r="G1129">
        <v>3950910000</v>
      </c>
      <c r="H1129">
        <v>0</v>
      </c>
      <c r="I1129">
        <v>0</v>
      </c>
      <c r="K1129" s="11">
        <f t="shared" si="17"/>
        <v>1.6110590199083896E-2</v>
      </c>
    </row>
    <row r="1130" spans="1:11" x14ac:dyDescent="0.2">
      <c r="A1130" s="2">
        <v>44103</v>
      </c>
      <c r="B1130">
        <v>3350.919921875</v>
      </c>
      <c r="C1130">
        <v>3357.919921875</v>
      </c>
      <c r="D1130">
        <v>3327.5400390625</v>
      </c>
      <c r="E1130">
        <v>3335.469970703125</v>
      </c>
      <c r="F1130">
        <v>3335.469970703125</v>
      </c>
      <c r="G1130">
        <v>3661590000</v>
      </c>
      <c r="H1130">
        <v>0</v>
      </c>
      <c r="I1130">
        <v>0</v>
      </c>
      <c r="K1130" s="11">
        <f t="shared" si="17"/>
        <v>-4.8126645432444715E-3</v>
      </c>
    </row>
    <row r="1131" spans="1:11" x14ac:dyDescent="0.2">
      <c r="A1131" s="2">
        <v>44104</v>
      </c>
      <c r="B1131">
        <v>3341.2099609375</v>
      </c>
      <c r="C1131">
        <v>3393.56005859375</v>
      </c>
      <c r="D1131">
        <v>3340.469970703125</v>
      </c>
      <c r="E1131">
        <v>3363</v>
      </c>
      <c r="F1131">
        <v>3363</v>
      </c>
      <c r="G1131">
        <v>4738640000</v>
      </c>
      <c r="H1131">
        <v>0</v>
      </c>
      <c r="I1131">
        <v>0</v>
      </c>
      <c r="K1131" s="11">
        <f t="shared" si="17"/>
        <v>8.2537182282207411E-3</v>
      </c>
    </row>
    <row r="1132" spans="1:11" x14ac:dyDescent="0.2">
      <c r="A1132" s="2">
        <v>44105</v>
      </c>
      <c r="B1132">
        <v>3385.8701171875</v>
      </c>
      <c r="C1132">
        <v>3397.179931640625</v>
      </c>
      <c r="D1132">
        <v>3361.389892578125</v>
      </c>
      <c r="E1132">
        <v>3380.800048828125</v>
      </c>
      <c r="F1132">
        <v>3380.800048828125</v>
      </c>
      <c r="G1132">
        <v>4076340000</v>
      </c>
      <c r="H1132">
        <v>0</v>
      </c>
      <c r="I1132">
        <v>0</v>
      </c>
      <c r="K1132" s="11">
        <f t="shared" si="17"/>
        <v>5.2929077692909221E-3</v>
      </c>
    </row>
    <row r="1133" spans="1:11" x14ac:dyDescent="0.2">
      <c r="A1133" s="2">
        <v>44106</v>
      </c>
      <c r="B1133">
        <v>3338.93994140625</v>
      </c>
      <c r="C1133">
        <v>3369.10009765625</v>
      </c>
      <c r="D1133">
        <v>3323.68994140625</v>
      </c>
      <c r="E1133">
        <v>3348.419921875</v>
      </c>
      <c r="F1133">
        <v>3348.419921875</v>
      </c>
      <c r="G1133">
        <v>3975180000</v>
      </c>
      <c r="H1133">
        <v>0</v>
      </c>
      <c r="I1133">
        <v>0</v>
      </c>
      <c r="K1133" s="11">
        <f t="shared" si="17"/>
        <v>-9.5776521786163915E-3</v>
      </c>
    </row>
    <row r="1134" spans="1:11" x14ac:dyDescent="0.2">
      <c r="A1134" s="2">
        <v>44109</v>
      </c>
      <c r="B1134">
        <v>3367.27001953125</v>
      </c>
      <c r="C1134">
        <v>3409.570068359375</v>
      </c>
      <c r="D1134">
        <v>3367.27001953125</v>
      </c>
      <c r="E1134">
        <v>3408.60009765625</v>
      </c>
      <c r="F1134">
        <v>3408.60009765625</v>
      </c>
      <c r="G1134">
        <v>3692720000</v>
      </c>
      <c r="H1134">
        <v>0</v>
      </c>
      <c r="I1134">
        <v>0</v>
      </c>
      <c r="K1134" s="11">
        <f t="shared" si="17"/>
        <v>1.7972708676142091E-2</v>
      </c>
    </row>
    <row r="1135" spans="1:11" x14ac:dyDescent="0.2">
      <c r="A1135" s="2">
        <v>44110</v>
      </c>
      <c r="B1135">
        <v>3408.739990234375</v>
      </c>
      <c r="C1135">
        <v>3431.56005859375</v>
      </c>
      <c r="D1135">
        <v>3354.5400390625</v>
      </c>
      <c r="E1135">
        <v>3360.969970703125</v>
      </c>
      <c r="F1135">
        <v>3360.969970703125</v>
      </c>
      <c r="G1135">
        <v>4453390000</v>
      </c>
      <c r="H1135">
        <v>0</v>
      </c>
      <c r="I1135">
        <v>0</v>
      </c>
      <c r="K1135" s="11">
        <f t="shared" si="17"/>
        <v>-1.3973515692226712E-2</v>
      </c>
    </row>
    <row r="1136" spans="1:11" x14ac:dyDescent="0.2">
      <c r="A1136" s="2">
        <v>44111</v>
      </c>
      <c r="B1136">
        <v>3384.56005859375</v>
      </c>
      <c r="C1136">
        <v>3426.260009765625</v>
      </c>
      <c r="D1136">
        <v>3384.56005859375</v>
      </c>
      <c r="E1136">
        <v>3419.43994140625</v>
      </c>
      <c r="F1136">
        <v>3419.43994140625</v>
      </c>
      <c r="G1136">
        <v>3814750000</v>
      </c>
      <c r="H1136">
        <v>0</v>
      </c>
      <c r="I1136">
        <v>0</v>
      </c>
      <c r="K1136" s="11">
        <f t="shared" si="17"/>
        <v>1.739675486921799E-2</v>
      </c>
    </row>
    <row r="1137" spans="1:11" x14ac:dyDescent="0.2">
      <c r="A1137" s="2">
        <v>44112</v>
      </c>
      <c r="B1137">
        <v>3434.280029296875</v>
      </c>
      <c r="C1137">
        <v>3447.280029296875</v>
      </c>
      <c r="D1137">
        <v>3428.14990234375</v>
      </c>
      <c r="E1137">
        <v>3446.830078125</v>
      </c>
      <c r="F1137">
        <v>3446.830078125</v>
      </c>
      <c r="G1137">
        <v>3867640000</v>
      </c>
      <c r="H1137">
        <v>0</v>
      </c>
      <c r="I1137">
        <v>0</v>
      </c>
      <c r="K1137" s="11">
        <f t="shared" si="17"/>
        <v>8.0101236424949818E-3</v>
      </c>
    </row>
    <row r="1138" spans="1:11" x14ac:dyDescent="0.2">
      <c r="A1138" s="2">
        <v>44113</v>
      </c>
      <c r="B1138">
        <v>3459.669921875</v>
      </c>
      <c r="C1138">
        <v>3482.340087890625</v>
      </c>
      <c r="D1138">
        <v>3458.070068359375</v>
      </c>
      <c r="E1138">
        <v>3477.139892578125</v>
      </c>
      <c r="F1138">
        <v>3477.139892578125</v>
      </c>
      <c r="G1138">
        <v>3944090000</v>
      </c>
      <c r="H1138">
        <v>0</v>
      </c>
      <c r="I1138">
        <v>0</v>
      </c>
      <c r="K1138" s="11">
        <f t="shared" si="17"/>
        <v>8.79353312061526E-3</v>
      </c>
    </row>
    <row r="1139" spans="1:11" x14ac:dyDescent="0.2">
      <c r="A1139" s="2">
        <v>44116</v>
      </c>
      <c r="B1139">
        <v>3500.02001953125</v>
      </c>
      <c r="C1139">
        <v>3549.85009765625</v>
      </c>
      <c r="D1139">
        <v>3499.610107421875</v>
      </c>
      <c r="E1139">
        <v>3534.219970703125</v>
      </c>
      <c r="F1139">
        <v>3534.219970703125</v>
      </c>
      <c r="G1139">
        <v>3435760000</v>
      </c>
      <c r="H1139">
        <v>0</v>
      </c>
      <c r="I1139">
        <v>0</v>
      </c>
      <c r="K1139" s="11">
        <f t="shared" si="17"/>
        <v>1.641581296364758E-2</v>
      </c>
    </row>
    <row r="1140" spans="1:11" x14ac:dyDescent="0.2">
      <c r="A1140" s="2">
        <v>44117</v>
      </c>
      <c r="B1140">
        <v>3534.010009765625</v>
      </c>
      <c r="C1140">
        <v>3534.010009765625</v>
      </c>
      <c r="D1140">
        <v>3500.860107421875</v>
      </c>
      <c r="E1140">
        <v>3511.929931640625</v>
      </c>
      <c r="F1140">
        <v>3511.929931640625</v>
      </c>
      <c r="G1140">
        <v>3611100000</v>
      </c>
      <c r="H1140">
        <v>0</v>
      </c>
      <c r="I1140">
        <v>0</v>
      </c>
      <c r="K1140" s="11">
        <f t="shared" si="17"/>
        <v>-6.3069189940844206E-3</v>
      </c>
    </row>
    <row r="1141" spans="1:11" x14ac:dyDescent="0.2">
      <c r="A1141" s="2">
        <v>44118</v>
      </c>
      <c r="B1141">
        <v>3515.469970703125</v>
      </c>
      <c r="C1141">
        <v>3527.93994140625</v>
      </c>
      <c r="D1141">
        <v>3480.550048828125</v>
      </c>
      <c r="E1141">
        <v>3488.669921875</v>
      </c>
      <c r="F1141">
        <v>3488.669921875</v>
      </c>
      <c r="G1141">
        <v>3858510000</v>
      </c>
      <c r="H1141">
        <v>0</v>
      </c>
      <c r="I1141">
        <v>0</v>
      </c>
      <c r="K1141" s="11">
        <f t="shared" si="17"/>
        <v>-6.6231417535027592E-3</v>
      </c>
    </row>
    <row r="1142" spans="1:11" x14ac:dyDescent="0.2">
      <c r="A1142" s="2">
        <v>44119</v>
      </c>
      <c r="B1142">
        <v>3453.719970703125</v>
      </c>
      <c r="C1142">
        <v>3489.080078125</v>
      </c>
      <c r="D1142">
        <v>3440.889892578125</v>
      </c>
      <c r="E1142">
        <v>3483.340087890625</v>
      </c>
      <c r="F1142">
        <v>3483.340087890625</v>
      </c>
      <c r="G1142">
        <v>3724550000</v>
      </c>
      <c r="H1142">
        <v>0</v>
      </c>
      <c r="I1142">
        <v>0</v>
      </c>
      <c r="K1142" s="11">
        <f t="shared" si="17"/>
        <v>-1.5277553060997207E-3</v>
      </c>
    </row>
    <row r="1143" spans="1:11" x14ac:dyDescent="0.2">
      <c r="A1143" s="2">
        <v>44120</v>
      </c>
      <c r="B1143">
        <v>3493.5</v>
      </c>
      <c r="C1143">
        <v>3515.760009765625</v>
      </c>
      <c r="D1143">
        <v>3480.449951171875</v>
      </c>
      <c r="E1143">
        <v>3483.81005859375</v>
      </c>
      <c r="F1143">
        <v>3483.81005859375</v>
      </c>
      <c r="G1143">
        <v>4688030000</v>
      </c>
      <c r="H1143">
        <v>0</v>
      </c>
      <c r="I1143">
        <v>0</v>
      </c>
      <c r="K1143" s="11">
        <f t="shared" si="17"/>
        <v>1.3491955745537076E-4</v>
      </c>
    </row>
    <row r="1144" spans="1:11" x14ac:dyDescent="0.2">
      <c r="A1144" s="2">
        <v>44123</v>
      </c>
      <c r="B1144">
        <v>3493.659912109375</v>
      </c>
      <c r="C1144">
        <v>3502.419921875</v>
      </c>
      <c r="D1144">
        <v>3419.929931640625</v>
      </c>
      <c r="E1144">
        <v>3426.919921875</v>
      </c>
      <c r="F1144">
        <v>3426.919921875</v>
      </c>
      <c r="G1144">
        <v>4091080000</v>
      </c>
      <c r="H1144">
        <v>0</v>
      </c>
      <c r="I1144">
        <v>0</v>
      </c>
      <c r="K1144" s="11">
        <f t="shared" si="17"/>
        <v>-1.6329861778318078E-2</v>
      </c>
    </row>
    <row r="1145" spans="1:11" x14ac:dyDescent="0.2">
      <c r="A1145" s="2">
        <v>44124</v>
      </c>
      <c r="B1145">
        <v>3439.3798828125</v>
      </c>
      <c r="C1145">
        <v>3476.929931640625</v>
      </c>
      <c r="D1145">
        <v>3435.64990234375</v>
      </c>
      <c r="E1145">
        <v>3443.1201171875</v>
      </c>
      <c r="F1145">
        <v>3443.1201171875</v>
      </c>
      <c r="G1145">
        <v>3917850000</v>
      </c>
      <c r="H1145">
        <v>0</v>
      </c>
      <c r="I1145">
        <v>0</v>
      </c>
      <c r="K1145" s="11">
        <f t="shared" si="17"/>
        <v>4.727334073110212E-3</v>
      </c>
    </row>
    <row r="1146" spans="1:11" x14ac:dyDescent="0.2">
      <c r="A1146" s="2">
        <v>44125</v>
      </c>
      <c r="B1146">
        <v>3439.909912109375</v>
      </c>
      <c r="C1146">
        <v>3464.860107421875</v>
      </c>
      <c r="D1146">
        <v>3433.06005859375</v>
      </c>
      <c r="E1146">
        <v>3435.56005859375</v>
      </c>
      <c r="F1146">
        <v>3435.56005859375</v>
      </c>
      <c r="G1146">
        <v>4103960000</v>
      </c>
      <c r="H1146">
        <v>0</v>
      </c>
      <c r="I1146">
        <v>0</v>
      </c>
      <c r="K1146" s="11">
        <f t="shared" si="17"/>
        <v>-2.1956999281005363E-3</v>
      </c>
    </row>
    <row r="1147" spans="1:11" x14ac:dyDescent="0.2">
      <c r="A1147" s="2">
        <v>44126</v>
      </c>
      <c r="B1147">
        <v>3438.5</v>
      </c>
      <c r="C1147">
        <v>3460.530029296875</v>
      </c>
      <c r="D1147">
        <v>3415.340087890625</v>
      </c>
      <c r="E1147">
        <v>3453.489990234375</v>
      </c>
      <c r="F1147">
        <v>3453.489990234375</v>
      </c>
      <c r="G1147">
        <v>4172060000</v>
      </c>
      <c r="H1147">
        <v>0</v>
      </c>
      <c r="I1147">
        <v>0</v>
      </c>
      <c r="K1147" s="11">
        <f t="shared" si="17"/>
        <v>5.2189253963921267E-3</v>
      </c>
    </row>
    <row r="1148" spans="1:11" x14ac:dyDescent="0.2">
      <c r="A1148" s="2">
        <v>44127</v>
      </c>
      <c r="B1148">
        <v>3464.89990234375</v>
      </c>
      <c r="C1148">
        <v>3466.4599609375</v>
      </c>
      <c r="D1148">
        <v>3440.449951171875</v>
      </c>
      <c r="E1148">
        <v>3465.389892578125</v>
      </c>
      <c r="F1148">
        <v>3465.389892578125</v>
      </c>
      <c r="G1148">
        <v>3651600000</v>
      </c>
      <c r="H1148">
        <v>0</v>
      </c>
      <c r="I1148">
        <v>0</v>
      </c>
      <c r="K1148" s="11">
        <f t="shared" si="17"/>
        <v>3.445761353703114E-3</v>
      </c>
    </row>
    <row r="1149" spans="1:11" x14ac:dyDescent="0.2">
      <c r="A1149" s="2">
        <v>44130</v>
      </c>
      <c r="B1149">
        <v>3441.419921875</v>
      </c>
      <c r="C1149">
        <v>3441.419921875</v>
      </c>
      <c r="D1149">
        <v>3364.860107421875</v>
      </c>
      <c r="E1149">
        <v>3400.969970703125</v>
      </c>
      <c r="F1149">
        <v>3400.969970703125</v>
      </c>
      <c r="G1149">
        <v>4002210000</v>
      </c>
      <c r="H1149">
        <v>0</v>
      </c>
      <c r="I1149">
        <v>0</v>
      </c>
      <c r="K1149" s="11">
        <f t="shared" si="17"/>
        <v>-1.8589516294535646E-2</v>
      </c>
    </row>
    <row r="1150" spans="1:11" x14ac:dyDescent="0.2">
      <c r="A1150" s="2">
        <v>44131</v>
      </c>
      <c r="B1150">
        <v>3403.14990234375</v>
      </c>
      <c r="C1150">
        <v>3409.510009765625</v>
      </c>
      <c r="D1150">
        <v>3388.7099609375</v>
      </c>
      <c r="E1150">
        <v>3390.679931640625</v>
      </c>
      <c r="F1150">
        <v>3390.679931640625</v>
      </c>
      <c r="G1150">
        <v>3962400000</v>
      </c>
      <c r="H1150">
        <v>0</v>
      </c>
      <c r="I1150">
        <v>0</v>
      </c>
      <c r="K1150" s="11">
        <f t="shared" si="17"/>
        <v>-3.0256189119989285E-3</v>
      </c>
    </row>
    <row r="1151" spans="1:11" x14ac:dyDescent="0.2">
      <c r="A1151" s="2">
        <v>44132</v>
      </c>
      <c r="B1151">
        <v>3342.47998046875</v>
      </c>
      <c r="C1151">
        <v>3342.47998046875</v>
      </c>
      <c r="D1151">
        <v>3268.889892578125</v>
      </c>
      <c r="E1151">
        <v>3271.030029296875</v>
      </c>
      <c r="F1151">
        <v>3271.030029296875</v>
      </c>
      <c r="G1151">
        <v>5139970000</v>
      </c>
      <c r="H1151">
        <v>0</v>
      </c>
      <c r="I1151">
        <v>0</v>
      </c>
      <c r="K1151" s="11">
        <f t="shared" si="17"/>
        <v>-3.5287878760604796E-2</v>
      </c>
    </row>
    <row r="1152" spans="1:11" x14ac:dyDescent="0.2">
      <c r="A1152" s="2">
        <v>44133</v>
      </c>
      <c r="B1152">
        <v>3277.169921875</v>
      </c>
      <c r="C1152">
        <v>3341.050048828125</v>
      </c>
      <c r="D1152">
        <v>3259.820068359375</v>
      </c>
      <c r="E1152">
        <v>3310.110107421875</v>
      </c>
      <c r="F1152">
        <v>3310.110107421875</v>
      </c>
      <c r="G1152">
        <v>4911860000</v>
      </c>
      <c r="H1152">
        <v>0</v>
      </c>
      <c r="I1152">
        <v>0</v>
      </c>
      <c r="K1152" s="11">
        <f t="shared" si="17"/>
        <v>1.1947330894238384E-2</v>
      </c>
    </row>
    <row r="1153" spans="1:11" x14ac:dyDescent="0.2">
      <c r="A1153" s="2">
        <v>44134</v>
      </c>
      <c r="B1153">
        <v>3293.590087890625</v>
      </c>
      <c r="C1153">
        <v>3304.929931640625</v>
      </c>
      <c r="D1153">
        <v>3233.93994140625</v>
      </c>
      <c r="E1153">
        <v>3269.9599609375</v>
      </c>
      <c r="F1153">
        <v>3269.9599609375</v>
      </c>
      <c r="G1153">
        <v>4843930000</v>
      </c>
      <c r="H1153">
        <v>0</v>
      </c>
      <c r="I1153">
        <v>0</v>
      </c>
      <c r="K1153" s="11">
        <f t="shared" si="17"/>
        <v>-1.2129550130175693E-2</v>
      </c>
    </row>
    <row r="1154" spans="1:11" x14ac:dyDescent="0.2">
      <c r="A1154" s="2">
        <v>44137</v>
      </c>
      <c r="B1154">
        <v>3296.199951171875</v>
      </c>
      <c r="C1154">
        <v>3330.139892578125</v>
      </c>
      <c r="D1154">
        <v>3279.739990234375</v>
      </c>
      <c r="E1154">
        <v>3310.239990234375</v>
      </c>
      <c r="F1154">
        <v>3310.239990234375</v>
      </c>
      <c r="G1154">
        <v>4314690000</v>
      </c>
      <c r="H1154">
        <v>0</v>
      </c>
      <c r="I1154">
        <v>0</v>
      </c>
      <c r="K1154" s="11">
        <f t="shared" si="17"/>
        <v>1.231820260127181E-2</v>
      </c>
    </row>
    <row r="1155" spans="1:11" x14ac:dyDescent="0.2">
      <c r="A1155" s="2">
        <v>44138</v>
      </c>
      <c r="B1155">
        <v>3336.25</v>
      </c>
      <c r="C1155">
        <v>3389.489990234375</v>
      </c>
      <c r="D1155">
        <v>3336.25</v>
      </c>
      <c r="E1155">
        <v>3369.159912109375</v>
      </c>
      <c r="F1155">
        <v>3369.159912109375</v>
      </c>
      <c r="G1155">
        <v>4241380000</v>
      </c>
      <c r="H1155">
        <v>0</v>
      </c>
      <c r="I1155">
        <v>0</v>
      </c>
      <c r="K1155" s="11">
        <f t="shared" si="17"/>
        <v>1.779929009643455E-2</v>
      </c>
    </row>
    <row r="1156" spans="1:11" x14ac:dyDescent="0.2">
      <c r="A1156" s="2">
        <v>44139</v>
      </c>
      <c r="B1156">
        <v>3406.4599609375</v>
      </c>
      <c r="C1156">
        <v>3486.25</v>
      </c>
      <c r="D1156">
        <v>3405.169921875</v>
      </c>
      <c r="E1156">
        <v>3443.43994140625</v>
      </c>
      <c r="F1156">
        <v>3443.43994140625</v>
      </c>
      <c r="G1156">
        <v>4790400000</v>
      </c>
      <c r="H1156">
        <v>0</v>
      </c>
      <c r="I1156">
        <v>0</v>
      </c>
      <c r="K1156" s="11">
        <f t="shared" ref="K1156:K1219" si="18">(E1156/E1155)-1</f>
        <v>2.204704770168342E-2</v>
      </c>
    </row>
    <row r="1157" spans="1:11" x14ac:dyDescent="0.2">
      <c r="A1157" s="2">
        <v>44140</v>
      </c>
      <c r="B1157">
        <v>3485.739990234375</v>
      </c>
      <c r="C1157">
        <v>3529.050048828125</v>
      </c>
      <c r="D1157">
        <v>3485.739990234375</v>
      </c>
      <c r="E1157">
        <v>3510.449951171875</v>
      </c>
      <c r="F1157">
        <v>3510.449951171875</v>
      </c>
      <c r="G1157">
        <v>4858150000</v>
      </c>
      <c r="H1157">
        <v>0</v>
      </c>
      <c r="I1157">
        <v>0</v>
      </c>
      <c r="K1157" s="11">
        <f t="shared" si="18"/>
        <v>1.9460194138962938E-2</v>
      </c>
    </row>
    <row r="1158" spans="1:11" x14ac:dyDescent="0.2">
      <c r="A1158" s="2">
        <v>44141</v>
      </c>
      <c r="B1158">
        <v>3508.340087890625</v>
      </c>
      <c r="C1158">
        <v>3521.580078125</v>
      </c>
      <c r="D1158">
        <v>3484.340087890625</v>
      </c>
      <c r="E1158">
        <v>3509.43994140625</v>
      </c>
      <c r="F1158">
        <v>3509.43994140625</v>
      </c>
      <c r="G1158">
        <v>4842460000</v>
      </c>
      <c r="H1158">
        <v>0</v>
      </c>
      <c r="I1158">
        <v>0</v>
      </c>
      <c r="K1158" s="11">
        <f t="shared" si="18"/>
        <v>-2.8771518741854685E-4</v>
      </c>
    </row>
    <row r="1159" spans="1:11" x14ac:dyDescent="0.2">
      <c r="A1159" s="2">
        <v>44144</v>
      </c>
      <c r="B1159">
        <v>3583.0400390625</v>
      </c>
      <c r="C1159">
        <v>3645.989990234375</v>
      </c>
      <c r="D1159">
        <v>3547.47998046875</v>
      </c>
      <c r="E1159">
        <v>3550.5</v>
      </c>
      <c r="F1159">
        <v>3550.5</v>
      </c>
      <c r="G1159">
        <v>8570510000</v>
      </c>
      <c r="H1159">
        <v>0</v>
      </c>
      <c r="I1159">
        <v>0</v>
      </c>
      <c r="K1159" s="11">
        <f t="shared" si="18"/>
        <v>1.1699889235687211E-2</v>
      </c>
    </row>
    <row r="1160" spans="1:11" x14ac:dyDescent="0.2">
      <c r="A1160" s="2">
        <v>44145</v>
      </c>
      <c r="B1160">
        <v>3543.260009765625</v>
      </c>
      <c r="C1160">
        <v>3557.219970703125</v>
      </c>
      <c r="D1160">
        <v>3511.909912109375</v>
      </c>
      <c r="E1160">
        <v>3545.530029296875</v>
      </c>
      <c r="F1160">
        <v>3545.530029296875</v>
      </c>
      <c r="G1160">
        <v>6037470000</v>
      </c>
      <c r="H1160">
        <v>0</v>
      </c>
      <c r="I1160">
        <v>0</v>
      </c>
      <c r="K1160" s="11">
        <f t="shared" si="18"/>
        <v>-1.3997945931910616E-3</v>
      </c>
    </row>
    <row r="1161" spans="1:11" x14ac:dyDescent="0.2">
      <c r="A1161" s="2">
        <v>44146</v>
      </c>
      <c r="B1161">
        <v>3563.219970703125</v>
      </c>
      <c r="C1161">
        <v>3581.159912109375</v>
      </c>
      <c r="D1161">
        <v>3557</v>
      </c>
      <c r="E1161">
        <v>3572.659912109375</v>
      </c>
      <c r="F1161">
        <v>3572.659912109375</v>
      </c>
      <c r="G1161">
        <v>4635560000</v>
      </c>
      <c r="H1161">
        <v>0</v>
      </c>
      <c r="I1161">
        <v>0</v>
      </c>
      <c r="K1161" s="11">
        <f t="shared" si="18"/>
        <v>7.6518553187603366E-3</v>
      </c>
    </row>
    <row r="1162" spans="1:11" x14ac:dyDescent="0.2">
      <c r="A1162" s="2">
        <v>44147</v>
      </c>
      <c r="B1162">
        <v>3562.669921875</v>
      </c>
      <c r="C1162">
        <v>3569.02001953125</v>
      </c>
      <c r="D1162">
        <v>3518.580078125</v>
      </c>
      <c r="E1162">
        <v>3537.010009765625</v>
      </c>
      <c r="F1162">
        <v>3537.010009765625</v>
      </c>
      <c r="G1162">
        <v>4909660000</v>
      </c>
      <c r="H1162">
        <v>0</v>
      </c>
      <c r="I1162">
        <v>0</v>
      </c>
      <c r="K1162" s="11">
        <f t="shared" si="18"/>
        <v>-9.9785323038770191E-3</v>
      </c>
    </row>
    <row r="1163" spans="1:11" x14ac:dyDescent="0.2">
      <c r="A1163" s="2">
        <v>44148</v>
      </c>
      <c r="B1163">
        <v>3552.570068359375</v>
      </c>
      <c r="C1163">
        <v>3593.659912109375</v>
      </c>
      <c r="D1163">
        <v>3552.570068359375</v>
      </c>
      <c r="E1163">
        <v>3585.14990234375</v>
      </c>
      <c r="F1163">
        <v>3585.14990234375</v>
      </c>
      <c r="G1163">
        <v>4719580000</v>
      </c>
      <c r="H1163">
        <v>0</v>
      </c>
      <c r="I1163">
        <v>0</v>
      </c>
      <c r="K1163" s="11">
        <f t="shared" si="18"/>
        <v>1.3610335409063534E-2</v>
      </c>
    </row>
    <row r="1164" spans="1:11" x14ac:dyDescent="0.2">
      <c r="A1164" s="2">
        <v>44151</v>
      </c>
      <c r="B1164">
        <v>3600.159912109375</v>
      </c>
      <c r="C1164">
        <v>3628.510009765625</v>
      </c>
      <c r="D1164">
        <v>3600.159912109375</v>
      </c>
      <c r="E1164">
        <v>3626.909912109375</v>
      </c>
      <c r="F1164">
        <v>3626.909912109375</v>
      </c>
      <c r="G1164">
        <v>5295510000</v>
      </c>
      <c r="H1164">
        <v>0</v>
      </c>
      <c r="I1164">
        <v>0</v>
      </c>
      <c r="K1164" s="11">
        <f t="shared" si="18"/>
        <v>1.1648051240012336E-2</v>
      </c>
    </row>
    <row r="1165" spans="1:11" x14ac:dyDescent="0.2">
      <c r="A1165" s="2">
        <v>44152</v>
      </c>
      <c r="B1165">
        <v>3610.31005859375</v>
      </c>
      <c r="C1165">
        <v>3623.110107421875</v>
      </c>
      <c r="D1165">
        <v>3588.679931640625</v>
      </c>
      <c r="E1165">
        <v>3609.530029296875</v>
      </c>
      <c r="F1165">
        <v>3609.530029296875</v>
      </c>
      <c r="G1165">
        <v>4812180000</v>
      </c>
      <c r="H1165">
        <v>0</v>
      </c>
      <c r="I1165">
        <v>0</v>
      </c>
      <c r="K1165" s="11">
        <f t="shared" si="18"/>
        <v>-4.7919256980916147E-3</v>
      </c>
    </row>
    <row r="1166" spans="1:11" x14ac:dyDescent="0.2">
      <c r="A1166" s="2">
        <v>44153</v>
      </c>
      <c r="B1166">
        <v>3612.090087890625</v>
      </c>
      <c r="C1166">
        <v>3619.090087890625</v>
      </c>
      <c r="D1166">
        <v>3567.330078125</v>
      </c>
      <c r="E1166">
        <v>3567.7900390625</v>
      </c>
      <c r="F1166">
        <v>3567.7900390625</v>
      </c>
      <c r="G1166">
        <v>5284810000</v>
      </c>
      <c r="H1166">
        <v>0</v>
      </c>
      <c r="I1166">
        <v>0</v>
      </c>
      <c r="K1166" s="11">
        <f t="shared" si="18"/>
        <v>-1.1563829610944043E-2</v>
      </c>
    </row>
    <row r="1167" spans="1:11" x14ac:dyDescent="0.2">
      <c r="A1167" s="2">
        <v>44154</v>
      </c>
      <c r="B1167">
        <v>3559.409912109375</v>
      </c>
      <c r="C1167">
        <v>3585.219970703125</v>
      </c>
      <c r="D1167">
        <v>3543.840087890625</v>
      </c>
      <c r="E1167">
        <v>3581.8701171875</v>
      </c>
      <c r="F1167">
        <v>3581.8701171875</v>
      </c>
      <c r="G1167">
        <v>4363370000</v>
      </c>
      <c r="H1167">
        <v>0</v>
      </c>
      <c r="I1167">
        <v>0</v>
      </c>
      <c r="K1167" s="11">
        <f t="shared" si="18"/>
        <v>3.9464424674215959E-3</v>
      </c>
    </row>
    <row r="1168" spans="1:11" x14ac:dyDescent="0.2">
      <c r="A1168" s="2">
        <v>44155</v>
      </c>
      <c r="B1168">
        <v>3579.31005859375</v>
      </c>
      <c r="C1168">
        <v>3581.22998046875</v>
      </c>
      <c r="D1168">
        <v>3556.85009765625</v>
      </c>
      <c r="E1168">
        <v>3557.5400390625</v>
      </c>
      <c r="F1168">
        <v>3557.5400390625</v>
      </c>
      <c r="G1168">
        <v>4236370000</v>
      </c>
      <c r="H1168">
        <v>0</v>
      </c>
      <c r="I1168">
        <v>0</v>
      </c>
      <c r="K1168" s="11">
        <f t="shared" si="18"/>
        <v>-6.7925629151801559E-3</v>
      </c>
    </row>
    <row r="1169" spans="1:11" x14ac:dyDescent="0.2">
      <c r="A1169" s="2">
        <v>44158</v>
      </c>
      <c r="B1169">
        <v>3566.820068359375</v>
      </c>
      <c r="C1169">
        <v>3589.81005859375</v>
      </c>
      <c r="D1169">
        <v>3552.77001953125</v>
      </c>
      <c r="E1169">
        <v>3577.590087890625</v>
      </c>
      <c r="F1169">
        <v>3577.590087890625</v>
      </c>
      <c r="G1169">
        <v>5057550000</v>
      </c>
      <c r="H1169">
        <v>0</v>
      </c>
      <c r="I1169">
        <v>0</v>
      </c>
      <c r="K1169" s="11">
        <f t="shared" si="18"/>
        <v>5.6359306172162338E-3</v>
      </c>
    </row>
    <row r="1170" spans="1:11" x14ac:dyDescent="0.2">
      <c r="A1170" s="2">
        <v>44159</v>
      </c>
      <c r="B1170">
        <v>3594.52001953125</v>
      </c>
      <c r="C1170">
        <v>3642.31005859375</v>
      </c>
      <c r="D1170">
        <v>3594.52001953125</v>
      </c>
      <c r="E1170">
        <v>3635.409912109375</v>
      </c>
      <c r="F1170">
        <v>3635.409912109375</v>
      </c>
      <c r="G1170">
        <v>6280290000</v>
      </c>
      <c r="H1170">
        <v>0</v>
      </c>
      <c r="I1170">
        <v>0</v>
      </c>
      <c r="K1170" s="11">
        <f t="shared" si="18"/>
        <v>1.6161668273416252E-2</v>
      </c>
    </row>
    <row r="1171" spans="1:11" x14ac:dyDescent="0.2">
      <c r="A1171" s="2">
        <v>44160</v>
      </c>
      <c r="B1171">
        <v>3635.5</v>
      </c>
      <c r="C1171">
        <v>3635.5</v>
      </c>
      <c r="D1171">
        <v>3617.760009765625</v>
      </c>
      <c r="E1171">
        <v>3629.64990234375</v>
      </c>
      <c r="F1171">
        <v>3629.64990234375</v>
      </c>
      <c r="G1171">
        <v>4910440000</v>
      </c>
      <c r="H1171">
        <v>0</v>
      </c>
      <c r="I1171">
        <v>0</v>
      </c>
      <c r="K1171" s="11">
        <f t="shared" si="18"/>
        <v>-1.584418237524976E-3</v>
      </c>
    </row>
    <row r="1172" spans="1:11" x14ac:dyDescent="0.2">
      <c r="A1172" s="2">
        <v>44162</v>
      </c>
      <c r="B1172">
        <v>3638.550048828125</v>
      </c>
      <c r="C1172">
        <v>3644.31005859375</v>
      </c>
      <c r="D1172">
        <v>3629.330078125</v>
      </c>
      <c r="E1172">
        <v>3638.35009765625</v>
      </c>
      <c r="F1172">
        <v>3638.35009765625</v>
      </c>
      <c r="G1172">
        <v>2778390000</v>
      </c>
      <c r="H1172">
        <v>0</v>
      </c>
      <c r="I1172">
        <v>0</v>
      </c>
      <c r="K1172" s="11">
        <f t="shared" si="18"/>
        <v>2.396979198154181E-3</v>
      </c>
    </row>
    <row r="1173" spans="1:11" x14ac:dyDescent="0.2">
      <c r="A1173" s="2">
        <v>44165</v>
      </c>
      <c r="B1173">
        <v>3634.179931640625</v>
      </c>
      <c r="C1173">
        <v>3634.179931640625</v>
      </c>
      <c r="D1173">
        <v>3594.389892578125</v>
      </c>
      <c r="E1173">
        <v>3621.6298828125</v>
      </c>
      <c r="F1173">
        <v>3621.6298828125</v>
      </c>
      <c r="G1173">
        <v>6308410000</v>
      </c>
      <c r="H1173">
        <v>0</v>
      </c>
      <c r="I1173">
        <v>0</v>
      </c>
      <c r="K1173" s="11">
        <f t="shared" si="18"/>
        <v>-4.5955486401709766E-3</v>
      </c>
    </row>
    <row r="1174" spans="1:11" x14ac:dyDescent="0.2">
      <c r="A1174" s="2">
        <v>44166</v>
      </c>
      <c r="B1174">
        <v>3645.8701171875</v>
      </c>
      <c r="C1174">
        <v>3678.449951171875</v>
      </c>
      <c r="D1174">
        <v>3645.8701171875</v>
      </c>
      <c r="E1174">
        <v>3662.449951171875</v>
      </c>
      <c r="F1174">
        <v>3662.449951171875</v>
      </c>
      <c r="G1174">
        <v>5418480000</v>
      </c>
      <c r="H1174">
        <v>0</v>
      </c>
      <c r="I1174">
        <v>0</v>
      </c>
      <c r="K1174" s="11">
        <f t="shared" si="18"/>
        <v>1.1271187194776155E-2</v>
      </c>
    </row>
    <row r="1175" spans="1:11" x14ac:dyDescent="0.2">
      <c r="A1175" s="2">
        <v>44167</v>
      </c>
      <c r="B1175">
        <v>3653.780029296875</v>
      </c>
      <c r="C1175">
        <v>3670.9599609375</v>
      </c>
      <c r="D1175">
        <v>3644.840087890625</v>
      </c>
      <c r="E1175">
        <v>3669.010009765625</v>
      </c>
      <c r="F1175">
        <v>3669.010009765625</v>
      </c>
      <c r="G1175">
        <v>5041250000</v>
      </c>
      <c r="H1175">
        <v>0</v>
      </c>
      <c r="I1175">
        <v>0</v>
      </c>
      <c r="K1175" s="11">
        <f t="shared" si="18"/>
        <v>1.7911667548251575E-3</v>
      </c>
    </row>
    <row r="1176" spans="1:11" x14ac:dyDescent="0.2">
      <c r="A1176" s="2">
        <v>44168</v>
      </c>
      <c r="B1176">
        <v>3668.280029296875</v>
      </c>
      <c r="C1176">
        <v>3682.72998046875</v>
      </c>
      <c r="D1176">
        <v>3657.169921875</v>
      </c>
      <c r="E1176">
        <v>3666.719970703125</v>
      </c>
      <c r="F1176">
        <v>3666.719970703125</v>
      </c>
      <c r="G1176">
        <v>5065340000</v>
      </c>
      <c r="H1176">
        <v>0</v>
      </c>
      <c r="I1176">
        <v>0</v>
      </c>
      <c r="K1176" s="11">
        <f t="shared" si="18"/>
        <v>-6.2415721309150296E-4</v>
      </c>
    </row>
    <row r="1177" spans="1:11" x14ac:dyDescent="0.2">
      <c r="A1177" s="2">
        <v>44169</v>
      </c>
      <c r="B1177">
        <v>3670.93994140625</v>
      </c>
      <c r="C1177">
        <v>3699.199951171875</v>
      </c>
      <c r="D1177">
        <v>3670.93994140625</v>
      </c>
      <c r="E1177">
        <v>3699.1201171875</v>
      </c>
      <c r="F1177">
        <v>3699.1201171875</v>
      </c>
      <c r="G1177">
        <v>5099620000</v>
      </c>
      <c r="H1177">
        <v>0</v>
      </c>
      <c r="I1177">
        <v>0</v>
      </c>
      <c r="K1177" s="11">
        <f t="shared" si="18"/>
        <v>8.8362751296118258E-3</v>
      </c>
    </row>
    <row r="1178" spans="1:11" x14ac:dyDescent="0.2">
      <c r="A1178" s="2">
        <v>44172</v>
      </c>
      <c r="B1178">
        <v>3694.72998046875</v>
      </c>
      <c r="C1178">
        <v>3697.409912109375</v>
      </c>
      <c r="D1178">
        <v>3678.8798828125</v>
      </c>
      <c r="E1178">
        <v>3691.9599609375</v>
      </c>
      <c r="F1178">
        <v>3691.9599609375</v>
      </c>
      <c r="G1178">
        <v>4804500000</v>
      </c>
      <c r="H1178">
        <v>0</v>
      </c>
      <c r="I1178">
        <v>0</v>
      </c>
      <c r="K1178" s="11">
        <f t="shared" si="18"/>
        <v>-1.9356376714373402E-3</v>
      </c>
    </row>
    <row r="1179" spans="1:11" x14ac:dyDescent="0.2">
      <c r="A1179" s="2">
        <v>44173</v>
      </c>
      <c r="B1179">
        <v>3683.050048828125</v>
      </c>
      <c r="C1179">
        <v>3708.449951171875</v>
      </c>
      <c r="D1179">
        <v>3678.830078125</v>
      </c>
      <c r="E1179">
        <v>3702.25</v>
      </c>
      <c r="F1179">
        <v>3702.25</v>
      </c>
      <c r="G1179">
        <v>4584390000</v>
      </c>
      <c r="H1179">
        <v>0</v>
      </c>
      <c r="I1179">
        <v>0</v>
      </c>
      <c r="K1179" s="11">
        <f t="shared" si="18"/>
        <v>2.787148065356293E-3</v>
      </c>
    </row>
    <row r="1180" spans="1:11" x14ac:dyDescent="0.2">
      <c r="A1180" s="2">
        <v>44174</v>
      </c>
      <c r="B1180">
        <v>3705.97998046875</v>
      </c>
      <c r="C1180">
        <v>3712.389892578125</v>
      </c>
      <c r="D1180">
        <v>3660.5400390625</v>
      </c>
      <c r="E1180">
        <v>3672.820068359375</v>
      </c>
      <c r="F1180">
        <v>3672.820068359375</v>
      </c>
      <c r="G1180">
        <v>5232800000</v>
      </c>
      <c r="H1180">
        <v>0</v>
      </c>
      <c r="I1180">
        <v>0</v>
      </c>
      <c r="K1180" s="11">
        <f t="shared" si="18"/>
        <v>-7.9492016045985547E-3</v>
      </c>
    </row>
    <row r="1181" spans="1:11" x14ac:dyDescent="0.2">
      <c r="A1181" s="2">
        <v>44175</v>
      </c>
      <c r="B1181">
        <v>3659.1298828125</v>
      </c>
      <c r="C1181">
        <v>3678.489990234375</v>
      </c>
      <c r="D1181">
        <v>3645.179931640625</v>
      </c>
      <c r="E1181">
        <v>3668.10009765625</v>
      </c>
      <c r="F1181">
        <v>3668.10009765625</v>
      </c>
      <c r="G1181">
        <v>4658480000</v>
      </c>
      <c r="H1181">
        <v>0</v>
      </c>
      <c r="I1181">
        <v>0</v>
      </c>
      <c r="K1181" s="11">
        <f t="shared" si="18"/>
        <v>-1.2851080682624305E-3</v>
      </c>
    </row>
    <row r="1182" spans="1:11" x14ac:dyDescent="0.2">
      <c r="A1182" s="2">
        <v>44176</v>
      </c>
      <c r="B1182">
        <v>3656.080078125</v>
      </c>
      <c r="C1182">
        <v>3665.909912109375</v>
      </c>
      <c r="D1182">
        <v>3633.39990234375</v>
      </c>
      <c r="E1182">
        <v>3663.4599609375</v>
      </c>
      <c r="F1182">
        <v>3663.4599609375</v>
      </c>
      <c r="G1182">
        <v>4375470000</v>
      </c>
      <c r="H1182">
        <v>0</v>
      </c>
      <c r="I1182">
        <v>0</v>
      </c>
      <c r="K1182" s="11">
        <f t="shared" si="18"/>
        <v>-1.2649972997506032E-3</v>
      </c>
    </row>
    <row r="1183" spans="1:11" x14ac:dyDescent="0.2">
      <c r="A1183" s="2">
        <v>44179</v>
      </c>
      <c r="B1183">
        <v>3675.27001953125</v>
      </c>
      <c r="C1183">
        <v>3697.610107421875</v>
      </c>
      <c r="D1183">
        <v>3645.840087890625</v>
      </c>
      <c r="E1183">
        <v>3647.489990234375</v>
      </c>
      <c r="F1183">
        <v>3647.489990234375</v>
      </c>
      <c r="G1183">
        <v>4623850000</v>
      </c>
      <c r="H1183">
        <v>0</v>
      </c>
      <c r="I1183">
        <v>0</v>
      </c>
      <c r="K1183" s="11">
        <f t="shared" si="18"/>
        <v>-4.359258971957769E-3</v>
      </c>
    </row>
    <row r="1184" spans="1:11" x14ac:dyDescent="0.2">
      <c r="A1184" s="2">
        <v>44180</v>
      </c>
      <c r="B1184">
        <v>3666.409912109375</v>
      </c>
      <c r="C1184">
        <v>3695.2900390625</v>
      </c>
      <c r="D1184">
        <v>3659.6201171875</v>
      </c>
      <c r="E1184">
        <v>3694.6201171875</v>
      </c>
      <c r="F1184">
        <v>3694.6201171875</v>
      </c>
      <c r="G1184">
        <v>4387080000</v>
      </c>
      <c r="H1184">
        <v>0</v>
      </c>
      <c r="I1184">
        <v>0</v>
      </c>
      <c r="K1184" s="11">
        <f t="shared" si="18"/>
        <v>1.2921249154708825E-2</v>
      </c>
    </row>
    <row r="1185" spans="1:11" x14ac:dyDescent="0.2">
      <c r="A1185" s="2">
        <v>44181</v>
      </c>
      <c r="B1185">
        <v>3696.25</v>
      </c>
      <c r="C1185">
        <v>3711.27001953125</v>
      </c>
      <c r="D1185">
        <v>3688.570068359375</v>
      </c>
      <c r="E1185">
        <v>3701.169921875</v>
      </c>
      <c r="F1185">
        <v>3701.169921875</v>
      </c>
      <c r="G1185">
        <v>4067040000</v>
      </c>
      <c r="H1185">
        <v>0</v>
      </c>
      <c r="I1185">
        <v>0</v>
      </c>
      <c r="K1185" s="11">
        <f t="shared" si="18"/>
        <v>1.7727951669590514E-3</v>
      </c>
    </row>
    <row r="1186" spans="1:11" x14ac:dyDescent="0.2">
      <c r="A1186" s="2">
        <v>44182</v>
      </c>
      <c r="B1186">
        <v>3713.64990234375</v>
      </c>
      <c r="C1186">
        <v>3725.1201171875</v>
      </c>
      <c r="D1186">
        <v>3710.8701171875</v>
      </c>
      <c r="E1186">
        <v>3722.47998046875</v>
      </c>
      <c r="F1186">
        <v>3722.47998046875</v>
      </c>
      <c r="G1186">
        <v>4192810000</v>
      </c>
      <c r="H1186">
        <v>0</v>
      </c>
      <c r="I1186">
        <v>0</v>
      </c>
      <c r="K1186" s="11">
        <f t="shared" si="18"/>
        <v>5.7576547533797484E-3</v>
      </c>
    </row>
    <row r="1187" spans="1:11" x14ac:dyDescent="0.2">
      <c r="A1187" s="2">
        <v>44183</v>
      </c>
      <c r="B1187">
        <v>3722.389892578125</v>
      </c>
      <c r="C1187">
        <v>3726.699951171875</v>
      </c>
      <c r="D1187">
        <v>3685.840087890625</v>
      </c>
      <c r="E1187">
        <v>3709.409912109375</v>
      </c>
      <c r="F1187">
        <v>3709.409912109375</v>
      </c>
      <c r="G1187">
        <v>7097100000</v>
      </c>
      <c r="H1187">
        <v>0</v>
      </c>
      <c r="I1187">
        <v>0</v>
      </c>
      <c r="K1187" s="11">
        <f t="shared" si="18"/>
        <v>-3.5111185091528663E-3</v>
      </c>
    </row>
    <row r="1188" spans="1:11" x14ac:dyDescent="0.2">
      <c r="A1188" s="2">
        <v>44186</v>
      </c>
      <c r="B1188">
        <v>3684.280029296875</v>
      </c>
      <c r="C1188">
        <v>3702.89990234375</v>
      </c>
      <c r="D1188">
        <v>3636.47998046875</v>
      </c>
      <c r="E1188">
        <v>3694.919921875</v>
      </c>
      <c r="F1188">
        <v>3694.919921875</v>
      </c>
      <c r="G1188">
        <v>4748580000</v>
      </c>
      <c r="H1188">
        <v>0</v>
      </c>
      <c r="I1188">
        <v>0</v>
      </c>
      <c r="K1188" s="11">
        <f t="shared" si="18"/>
        <v>-3.9062790518439305E-3</v>
      </c>
    </row>
    <row r="1189" spans="1:11" x14ac:dyDescent="0.2">
      <c r="A1189" s="2">
        <v>44187</v>
      </c>
      <c r="B1189">
        <v>3698.080078125</v>
      </c>
      <c r="C1189">
        <v>3698.260009765625</v>
      </c>
      <c r="D1189">
        <v>3676.159912109375</v>
      </c>
      <c r="E1189">
        <v>3687.260009765625</v>
      </c>
      <c r="F1189">
        <v>3687.260009765625</v>
      </c>
      <c r="G1189">
        <v>4053310000</v>
      </c>
      <c r="H1189">
        <v>0</v>
      </c>
      <c r="I1189">
        <v>0</v>
      </c>
      <c r="K1189" s="11">
        <f t="shared" si="18"/>
        <v>-2.0730928602880061E-3</v>
      </c>
    </row>
    <row r="1190" spans="1:11" x14ac:dyDescent="0.2">
      <c r="A1190" s="2">
        <v>44188</v>
      </c>
      <c r="B1190">
        <v>3693.419921875</v>
      </c>
      <c r="C1190">
        <v>3711.239990234375</v>
      </c>
      <c r="D1190">
        <v>3689.280029296875</v>
      </c>
      <c r="E1190">
        <v>3690.010009765625</v>
      </c>
      <c r="F1190">
        <v>3690.010009765625</v>
      </c>
      <c r="G1190">
        <v>3779160000</v>
      </c>
      <c r="H1190">
        <v>0</v>
      </c>
      <c r="I1190">
        <v>0</v>
      </c>
      <c r="K1190" s="11">
        <f t="shared" si="18"/>
        <v>7.4581125082495703E-4</v>
      </c>
    </row>
    <row r="1191" spans="1:11" x14ac:dyDescent="0.2">
      <c r="A1191" s="2">
        <v>44189</v>
      </c>
      <c r="B1191">
        <v>3694.030029296875</v>
      </c>
      <c r="C1191">
        <v>3703.820068359375</v>
      </c>
      <c r="D1191">
        <v>3689.320068359375</v>
      </c>
      <c r="E1191">
        <v>3703.06005859375</v>
      </c>
      <c r="F1191">
        <v>3703.06005859375</v>
      </c>
      <c r="G1191">
        <v>1883780000</v>
      </c>
      <c r="H1191">
        <v>0</v>
      </c>
      <c r="I1191">
        <v>0</v>
      </c>
      <c r="K1191" s="11">
        <f t="shared" si="18"/>
        <v>3.5365890047962534E-3</v>
      </c>
    </row>
    <row r="1192" spans="1:11" x14ac:dyDescent="0.2">
      <c r="A1192" s="2">
        <v>44193</v>
      </c>
      <c r="B1192">
        <v>3723.030029296875</v>
      </c>
      <c r="C1192">
        <v>3740.510009765625</v>
      </c>
      <c r="D1192">
        <v>3723.030029296875</v>
      </c>
      <c r="E1192">
        <v>3735.360107421875</v>
      </c>
      <c r="F1192">
        <v>3735.360107421875</v>
      </c>
      <c r="G1192">
        <v>3535460000</v>
      </c>
      <c r="H1192">
        <v>0</v>
      </c>
      <c r="I1192">
        <v>0</v>
      </c>
      <c r="K1192" s="11">
        <f t="shared" si="18"/>
        <v>8.722529021144565E-3</v>
      </c>
    </row>
    <row r="1193" spans="1:11" x14ac:dyDescent="0.2">
      <c r="A1193" s="2">
        <v>44194</v>
      </c>
      <c r="B1193">
        <v>3750.010009765625</v>
      </c>
      <c r="C1193">
        <v>3756.1201171875</v>
      </c>
      <c r="D1193">
        <v>3723.31005859375</v>
      </c>
      <c r="E1193">
        <v>3727.0400390625</v>
      </c>
      <c r="F1193">
        <v>3727.0400390625</v>
      </c>
      <c r="G1193">
        <v>3393290000</v>
      </c>
      <c r="H1193">
        <v>0</v>
      </c>
      <c r="I1193">
        <v>0</v>
      </c>
      <c r="K1193" s="11">
        <f t="shared" si="18"/>
        <v>-2.22738052560012E-3</v>
      </c>
    </row>
    <row r="1194" spans="1:11" x14ac:dyDescent="0.2">
      <c r="A1194" s="2">
        <v>44195</v>
      </c>
      <c r="B1194">
        <v>3736.18994140625</v>
      </c>
      <c r="C1194">
        <v>3744.6298828125</v>
      </c>
      <c r="D1194">
        <v>3730.2099609375</v>
      </c>
      <c r="E1194">
        <v>3732.0400390625</v>
      </c>
      <c r="F1194">
        <v>3732.0400390625</v>
      </c>
      <c r="G1194">
        <v>3154850000</v>
      </c>
      <c r="H1194">
        <v>0</v>
      </c>
      <c r="I1194">
        <v>0</v>
      </c>
      <c r="K1194" s="11">
        <f t="shared" si="18"/>
        <v>1.3415471654707467E-3</v>
      </c>
    </row>
    <row r="1195" spans="1:11" x14ac:dyDescent="0.2">
      <c r="A1195" s="2">
        <v>44196</v>
      </c>
      <c r="B1195">
        <v>3733.27001953125</v>
      </c>
      <c r="C1195">
        <v>3760.199951171875</v>
      </c>
      <c r="D1195">
        <v>3726.8798828125</v>
      </c>
      <c r="E1195">
        <v>3756.070068359375</v>
      </c>
      <c r="F1195">
        <v>3756.070068359375</v>
      </c>
      <c r="G1195">
        <v>3179040000</v>
      </c>
      <c r="H1195">
        <v>0</v>
      </c>
      <c r="I1195">
        <v>0</v>
      </c>
      <c r="K1195" s="11">
        <f t="shared" si="18"/>
        <v>6.4388455229198449E-3</v>
      </c>
    </row>
    <row r="1196" spans="1:11" x14ac:dyDescent="0.2">
      <c r="A1196" s="2">
        <v>44200</v>
      </c>
      <c r="B1196">
        <v>3764.610107421875</v>
      </c>
      <c r="C1196">
        <v>3769.989990234375</v>
      </c>
      <c r="D1196">
        <v>3662.7099609375</v>
      </c>
      <c r="E1196">
        <v>3700.64990234375</v>
      </c>
      <c r="F1196">
        <v>3700.64990234375</v>
      </c>
      <c r="G1196">
        <v>5015000000</v>
      </c>
      <c r="H1196">
        <v>0</v>
      </c>
      <c r="I1196">
        <v>0</v>
      </c>
      <c r="K1196" s="11">
        <f t="shared" si="18"/>
        <v>-1.4754827521051062E-2</v>
      </c>
    </row>
    <row r="1197" spans="1:11" x14ac:dyDescent="0.2">
      <c r="A1197" s="2">
        <v>44201</v>
      </c>
      <c r="B1197">
        <v>3698.02001953125</v>
      </c>
      <c r="C1197">
        <v>3737.830078125</v>
      </c>
      <c r="D1197">
        <v>3695.070068359375</v>
      </c>
      <c r="E1197">
        <v>3726.860107421875</v>
      </c>
      <c r="F1197">
        <v>3726.860107421875</v>
      </c>
      <c r="G1197">
        <v>4591020000</v>
      </c>
      <c r="H1197">
        <v>0</v>
      </c>
      <c r="I1197">
        <v>0</v>
      </c>
      <c r="K1197" s="11">
        <f t="shared" si="18"/>
        <v>7.0825951575492763E-3</v>
      </c>
    </row>
    <row r="1198" spans="1:11" x14ac:dyDescent="0.2">
      <c r="A1198" s="2">
        <v>44202</v>
      </c>
      <c r="B1198">
        <v>3712.199951171875</v>
      </c>
      <c r="C1198">
        <v>3783.0400390625</v>
      </c>
      <c r="D1198">
        <v>3705.340087890625</v>
      </c>
      <c r="E1198">
        <v>3748.139892578125</v>
      </c>
      <c r="F1198">
        <v>3748.139892578125</v>
      </c>
      <c r="G1198">
        <v>6064110000</v>
      </c>
      <c r="H1198">
        <v>0</v>
      </c>
      <c r="I1198">
        <v>0</v>
      </c>
      <c r="K1198" s="11">
        <f t="shared" si="18"/>
        <v>5.709842747752214E-3</v>
      </c>
    </row>
    <row r="1199" spans="1:11" x14ac:dyDescent="0.2">
      <c r="A1199" s="2">
        <v>44203</v>
      </c>
      <c r="B1199">
        <v>3764.7099609375</v>
      </c>
      <c r="C1199">
        <v>3811.550048828125</v>
      </c>
      <c r="D1199">
        <v>3764.7099609375</v>
      </c>
      <c r="E1199">
        <v>3803.7900390625</v>
      </c>
      <c r="F1199">
        <v>3803.7900390625</v>
      </c>
      <c r="G1199">
        <v>5099160000</v>
      </c>
      <c r="H1199">
        <v>0</v>
      </c>
      <c r="I1199">
        <v>0</v>
      </c>
      <c r="K1199" s="11">
        <f t="shared" si="18"/>
        <v>1.4847403800101189E-2</v>
      </c>
    </row>
    <row r="1200" spans="1:11" x14ac:dyDescent="0.2">
      <c r="A1200" s="2">
        <v>44204</v>
      </c>
      <c r="B1200">
        <v>3815.050048828125</v>
      </c>
      <c r="C1200">
        <v>3826.68994140625</v>
      </c>
      <c r="D1200">
        <v>3783.60009765625</v>
      </c>
      <c r="E1200">
        <v>3824.679931640625</v>
      </c>
      <c r="F1200">
        <v>3824.679931640625</v>
      </c>
      <c r="G1200">
        <v>4773040000</v>
      </c>
      <c r="H1200">
        <v>0</v>
      </c>
      <c r="I1200">
        <v>0</v>
      </c>
      <c r="K1200" s="11">
        <f t="shared" si="18"/>
        <v>5.4918626852689112E-3</v>
      </c>
    </row>
    <row r="1201" spans="1:11" x14ac:dyDescent="0.2">
      <c r="A1201" s="2">
        <v>44207</v>
      </c>
      <c r="B1201">
        <v>3803.139892578125</v>
      </c>
      <c r="C1201">
        <v>3817.860107421875</v>
      </c>
      <c r="D1201">
        <v>3789.02001953125</v>
      </c>
      <c r="E1201">
        <v>3799.610107421875</v>
      </c>
      <c r="F1201">
        <v>3799.610107421875</v>
      </c>
      <c r="G1201">
        <v>4465430000</v>
      </c>
      <c r="H1201">
        <v>0</v>
      </c>
      <c r="I1201">
        <v>0</v>
      </c>
      <c r="K1201" s="11">
        <f t="shared" si="18"/>
        <v>-6.5547508985924763E-3</v>
      </c>
    </row>
    <row r="1202" spans="1:11" x14ac:dyDescent="0.2">
      <c r="A1202" s="2">
        <v>44208</v>
      </c>
      <c r="B1202">
        <v>3801.6201171875</v>
      </c>
      <c r="C1202">
        <v>3810.780029296875</v>
      </c>
      <c r="D1202">
        <v>3776.510009765625</v>
      </c>
      <c r="E1202">
        <v>3801.18994140625</v>
      </c>
      <c r="F1202">
        <v>3801.18994140625</v>
      </c>
      <c r="G1202">
        <v>4994950000</v>
      </c>
      <c r="H1202">
        <v>0</v>
      </c>
      <c r="I1202">
        <v>0</v>
      </c>
      <c r="K1202" s="11">
        <f t="shared" si="18"/>
        <v>4.1578844663270331E-4</v>
      </c>
    </row>
    <row r="1203" spans="1:11" x14ac:dyDescent="0.2">
      <c r="A1203" s="2">
        <v>44209</v>
      </c>
      <c r="B1203">
        <v>3802.22998046875</v>
      </c>
      <c r="C1203">
        <v>3820.9599609375</v>
      </c>
      <c r="D1203">
        <v>3791.5</v>
      </c>
      <c r="E1203">
        <v>3809.840087890625</v>
      </c>
      <c r="F1203">
        <v>3809.840087890625</v>
      </c>
      <c r="G1203">
        <v>4602510000</v>
      </c>
      <c r="H1203">
        <v>0</v>
      </c>
      <c r="I1203">
        <v>0</v>
      </c>
      <c r="K1203" s="11">
        <f t="shared" si="18"/>
        <v>2.2756417379066196E-3</v>
      </c>
    </row>
    <row r="1204" spans="1:11" x14ac:dyDescent="0.2">
      <c r="A1204" s="2">
        <v>44210</v>
      </c>
      <c r="B1204">
        <v>3814.97998046875</v>
      </c>
      <c r="C1204">
        <v>3823.60009765625</v>
      </c>
      <c r="D1204">
        <v>3792.860107421875</v>
      </c>
      <c r="E1204">
        <v>3795.5400390625</v>
      </c>
      <c r="F1204">
        <v>3795.5400390625</v>
      </c>
      <c r="G1204">
        <v>5198480000</v>
      </c>
      <c r="H1204">
        <v>0</v>
      </c>
      <c r="I1204">
        <v>0</v>
      </c>
      <c r="K1204" s="11">
        <f t="shared" si="18"/>
        <v>-3.7534511943366766E-3</v>
      </c>
    </row>
    <row r="1205" spans="1:11" x14ac:dyDescent="0.2">
      <c r="A1205" s="2">
        <v>44211</v>
      </c>
      <c r="B1205">
        <v>3788.72998046875</v>
      </c>
      <c r="C1205">
        <v>3788.72998046875</v>
      </c>
      <c r="D1205">
        <v>3749.6201171875</v>
      </c>
      <c r="E1205">
        <v>3768.25</v>
      </c>
      <c r="F1205">
        <v>3768.25</v>
      </c>
      <c r="G1205">
        <v>5369820000</v>
      </c>
      <c r="H1205">
        <v>0</v>
      </c>
      <c r="I1205">
        <v>0</v>
      </c>
      <c r="K1205" s="11">
        <f t="shared" si="18"/>
        <v>-7.1900279753709384E-3</v>
      </c>
    </row>
    <row r="1206" spans="1:11" x14ac:dyDescent="0.2">
      <c r="A1206" s="2">
        <v>44215</v>
      </c>
      <c r="B1206">
        <v>3781.8798828125</v>
      </c>
      <c r="C1206">
        <v>3804.530029296875</v>
      </c>
      <c r="D1206">
        <v>3780.3701171875</v>
      </c>
      <c r="E1206">
        <v>3798.909912109375</v>
      </c>
      <c r="F1206">
        <v>3798.909912109375</v>
      </c>
      <c r="G1206">
        <v>5014440000</v>
      </c>
      <c r="H1206">
        <v>0</v>
      </c>
      <c r="I1206">
        <v>0</v>
      </c>
      <c r="K1206" s="11">
        <f t="shared" si="18"/>
        <v>8.1363795155244834E-3</v>
      </c>
    </row>
    <row r="1207" spans="1:11" x14ac:dyDescent="0.2">
      <c r="A1207" s="2">
        <v>44216</v>
      </c>
      <c r="B1207">
        <v>3816.219970703125</v>
      </c>
      <c r="C1207">
        <v>3859.75</v>
      </c>
      <c r="D1207">
        <v>3816.219970703125</v>
      </c>
      <c r="E1207">
        <v>3851.85009765625</v>
      </c>
      <c r="F1207">
        <v>3851.85009765625</v>
      </c>
      <c r="G1207">
        <v>4566190000</v>
      </c>
      <c r="H1207">
        <v>0</v>
      </c>
      <c r="I1207">
        <v>0</v>
      </c>
      <c r="K1207" s="11">
        <f t="shared" si="18"/>
        <v>1.3935625421946263E-2</v>
      </c>
    </row>
    <row r="1208" spans="1:11" x14ac:dyDescent="0.2">
      <c r="A1208" s="2">
        <v>44217</v>
      </c>
      <c r="B1208">
        <v>3857.4599609375</v>
      </c>
      <c r="C1208">
        <v>3861.449951171875</v>
      </c>
      <c r="D1208">
        <v>3845.050048828125</v>
      </c>
      <c r="E1208">
        <v>3853.070068359375</v>
      </c>
      <c r="F1208">
        <v>3853.070068359375</v>
      </c>
      <c r="G1208">
        <v>4501760000</v>
      </c>
      <c r="H1208">
        <v>0</v>
      </c>
      <c r="I1208">
        <v>0</v>
      </c>
      <c r="K1208" s="11">
        <f t="shared" si="18"/>
        <v>3.1672330755228018E-4</v>
      </c>
    </row>
    <row r="1209" spans="1:11" x14ac:dyDescent="0.2">
      <c r="A1209" s="2">
        <v>44218</v>
      </c>
      <c r="B1209">
        <v>3844.239990234375</v>
      </c>
      <c r="C1209">
        <v>3852.31005859375</v>
      </c>
      <c r="D1209">
        <v>3830.409912109375</v>
      </c>
      <c r="E1209">
        <v>3841.469970703125</v>
      </c>
      <c r="F1209">
        <v>3841.469970703125</v>
      </c>
      <c r="G1209">
        <v>5110890000</v>
      </c>
      <c r="H1209">
        <v>0</v>
      </c>
      <c r="I1209">
        <v>0</v>
      </c>
      <c r="K1209" s="11">
        <f t="shared" si="18"/>
        <v>-3.0106116552376383E-3</v>
      </c>
    </row>
    <row r="1210" spans="1:11" x14ac:dyDescent="0.2">
      <c r="A1210" s="2">
        <v>44221</v>
      </c>
      <c r="B1210">
        <v>3851.679931640625</v>
      </c>
      <c r="C1210">
        <v>3859.22998046875</v>
      </c>
      <c r="D1210">
        <v>3797.159912109375</v>
      </c>
      <c r="E1210">
        <v>3855.360107421875</v>
      </c>
      <c r="F1210">
        <v>3855.360107421875</v>
      </c>
      <c r="G1210">
        <v>7000840000</v>
      </c>
      <c r="H1210">
        <v>0</v>
      </c>
      <c r="I1210">
        <v>0</v>
      </c>
      <c r="K1210" s="11">
        <f t="shared" si="18"/>
        <v>3.6158389430824833E-3</v>
      </c>
    </row>
    <row r="1211" spans="1:11" x14ac:dyDescent="0.2">
      <c r="A1211" s="2">
        <v>44222</v>
      </c>
      <c r="B1211">
        <v>3862.9599609375</v>
      </c>
      <c r="C1211">
        <v>3870.89990234375</v>
      </c>
      <c r="D1211">
        <v>3847.780029296875</v>
      </c>
      <c r="E1211">
        <v>3849.6201171875</v>
      </c>
      <c r="F1211">
        <v>3849.6201171875</v>
      </c>
      <c r="G1211">
        <v>6137500000</v>
      </c>
      <c r="H1211">
        <v>0</v>
      </c>
      <c r="I1211">
        <v>0</v>
      </c>
      <c r="K1211" s="11">
        <f t="shared" si="18"/>
        <v>-1.4888337468982327E-3</v>
      </c>
    </row>
    <row r="1212" spans="1:11" x14ac:dyDescent="0.2">
      <c r="A1212" s="2">
        <v>44223</v>
      </c>
      <c r="B1212">
        <v>3836.830078125</v>
      </c>
      <c r="C1212">
        <v>3836.830078125</v>
      </c>
      <c r="D1212">
        <v>3732.47998046875</v>
      </c>
      <c r="E1212">
        <v>3750.77001953125</v>
      </c>
      <c r="F1212">
        <v>3750.77001953125</v>
      </c>
      <c r="G1212">
        <v>9976520000</v>
      </c>
      <c r="H1212">
        <v>0</v>
      </c>
      <c r="I1212">
        <v>0</v>
      </c>
      <c r="K1212" s="11">
        <f t="shared" si="18"/>
        <v>-2.5677883699462001E-2</v>
      </c>
    </row>
    <row r="1213" spans="1:11" x14ac:dyDescent="0.2">
      <c r="A1213" s="2">
        <v>44224</v>
      </c>
      <c r="B1213">
        <v>3755.75</v>
      </c>
      <c r="C1213">
        <v>3830.5</v>
      </c>
      <c r="D1213">
        <v>3755.75</v>
      </c>
      <c r="E1213">
        <v>3787.3798828125</v>
      </c>
      <c r="F1213">
        <v>3787.3798828125</v>
      </c>
      <c r="G1213">
        <v>6992770000</v>
      </c>
      <c r="H1213">
        <v>0</v>
      </c>
      <c r="I1213">
        <v>0</v>
      </c>
      <c r="K1213" s="11">
        <f t="shared" si="18"/>
        <v>9.7606259756297664E-3</v>
      </c>
    </row>
    <row r="1214" spans="1:11" x14ac:dyDescent="0.2">
      <c r="A1214" s="2">
        <v>44225</v>
      </c>
      <c r="B1214">
        <v>3778.050048828125</v>
      </c>
      <c r="C1214">
        <v>3778.050048828125</v>
      </c>
      <c r="D1214">
        <v>3694.1201171875</v>
      </c>
      <c r="E1214">
        <v>3714.239990234375</v>
      </c>
      <c r="F1214">
        <v>3714.239990234375</v>
      </c>
      <c r="G1214">
        <v>6643370000</v>
      </c>
      <c r="H1214">
        <v>0</v>
      </c>
      <c r="I1214">
        <v>0</v>
      </c>
      <c r="K1214" s="11">
        <f t="shared" si="18"/>
        <v>-1.9311475173124593E-2</v>
      </c>
    </row>
    <row r="1215" spans="1:11" x14ac:dyDescent="0.2">
      <c r="A1215" s="2">
        <v>44228</v>
      </c>
      <c r="B1215">
        <v>3731.169921875</v>
      </c>
      <c r="C1215">
        <v>3784.320068359375</v>
      </c>
      <c r="D1215">
        <v>3725.6201171875</v>
      </c>
      <c r="E1215">
        <v>3773.860107421875</v>
      </c>
      <c r="F1215">
        <v>3773.860107421875</v>
      </c>
      <c r="G1215">
        <v>5436230000</v>
      </c>
      <c r="H1215">
        <v>0</v>
      </c>
      <c r="I1215">
        <v>0</v>
      </c>
      <c r="K1215" s="11">
        <f t="shared" si="18"/>
        <v>1.6051767614439383E-2</v>
      </c>
    </row>
    <row r="1216" spans="1:11" x14ac:dyDescent="0.2">
      <c r="A1216" s="2">
        <v>44229</v>
      </c>
      <c r="B1216">
        <v>3791.840087890625</v>
      </c>
      <c r="C1216">
        <v>3843.090087890625</v>
      </c>
      <c r="D1216">
        <v>3791.840087890625</v>
      </c>
      <c r="E1216">
        <v>3826.31005859375</v>
      </c>
      <c r="F1216">
        <v>3826.31005859375</v>
      </c>
      <c r="G1216">
        <v>5514090000</v>
      </c>
      <c r="H1216">
        <v>0</v>
      </c>
      <c r="I1216">
        <v>0</v>
      </c>
      <c r="K1216" s="11">
        <f t="shared" si="18"/>
        <v>1.3898223484416938E-2</v>
      </c>
    </row>
    <row r="1217" spans="1:11" x14ac:dyDescent="0.2">
      <c r="A1217" s="2">
        <v>44230</v>
      </c>
      <c r="B1217">
        <v>3840.27001953125</v>
      </c>
      <c r="C1217">
        <v>3847.510009765625</v>
      </c>
      <c r="D1217">
        <v>3816.679931640625</v>
      </c>
      <c r="E1217">
        <v>3830.169921875</v>
      </c>
      <c r="F1217">
        <v>3830.169921875</v>
      </c>
      <c r="G1217">
        <v>4864870000</v>
      </c>
      <c r="H1217">
        <v>0</v>
      </c>
      <c r="I1217">
        <v>0</v>
      </c>
      <c r="K1217" s="11">
        <f t="shared" si="18"/>
        <v>1.0087690809532646E-3</v>
      </c>
    </row>
    <row r="1218" spans="1:11" x14ac:dyDescent="0.2">
      <c r="A1218" s="2">
        <v>44231</v>
      </c>
      <c r="B1218">
        <v>3836.659912109375</v>
      </c>
      <c r="C1218">
        <v>3872.419921875</v>
      </c>
      <c r="D1218">
        <v>3836.659912109375</v>
      </c>
      <c r="E1218">
        <v>3871.739990234375</v>
      </c>
      <c r="F1218">
        <v>3871.739990234375</v>
      </c>
      <c r="G1218">
        <v>4879240000</v>
      </c>
      <c r="H1218">
        <v>0</v>
      </c>
      <c r="I1218">
        <v>0</v>
      </c>
      <c r="K1218" s="11">
        <f t="shared" si="18"/>
        <v>1.0853322230420792E-2</v>
      </c>
    </row>
    <row r="1219" spans="1:11" x14ac:dyDescent="0.2">
      <c r="A1219" s="2">
        <v>44232</v>
      </c>
      <c r="B1219">
        <v>3878.300048828125</v>
      </c>
      <c r="C1219">
        <v>3894.56005859375</v>
      </c>
      <c r="D1219">
        <v>3874.929931640625</v>
      </c>
      <c r="E1219">
        <v>3886.830078125</v>
      </c>
      <c r="F1219">
        <v>3886.830078125</v>
      </c>
      <c r="G1219">
        <v>4879470000</v>
      </c>
      <c r="H1219">
        <v>0</v>
      </c>
      <c r="I1219">
        <v>0</v>
      </c>
      <c r="K1219" s="11">
        <f t="shared" si="18"/>
        <v>3.897495164625342E-3</v>
      </c>
    </row>
    <row r="1220" spans="1:11" x14ac:dyDescent="0.2">
      <c r="A1220" s="2">
        <v>44235</v>
      </c>
      <c r="B1220">
        <v>3892.590087890625</v>
      </c>
      <c r="C1220">
        <v>3915.77001953125</v>
      </c>
      <c r="D1220">
        <v>3892.590087890625</v>
      </c>
      <c r="E1220">
        <v>3915.590087890625</v>
      </c>
      <c r="F1220">
        <v>3915.590087890625</v>
      </c>
      <c r="G1220">
        <v>4648360000</v>
      </c>
      <c r="H1220">
        <v>0</v>
      </c>
      <c r="I1220">
        <v>0</v>
      </c>
      <c r="K1220" s="11">
        <f t="shared" ref="K1220:K1283" si="19">(E1220/E1219)-1</f>
        <v>7.3993483603735921E-3</v>
      </c>
    </row>
    <row r="1221" spans="1:11" x14ac:dyDescent="0.2">
      <c r="A1221" s="2">
        <v>44236</v>
      </c>
      <c r="B1221">
        <v>3910.489990234375</v>
      </c>
      <c r="C1221">
        <v>3918.35009765625</v>
      </c>
      <c r="D1221">
        <v>3902.639892578125</v>
      </c>
      <c r="E1221">
        <v>3911.22998046875</v>
      </c>
      <c r="F1221">
        <v>3911.22998046875</v>
      </c>
      <c r="G1221">
        <v>4568320000</v>
      </c>
      <c r="H1221">
        <v>0</v>
      </c>
      <c r="I1221">
        <v>0</v>
      </c>
      <c r="K1221" s="11">
        <f t="shared" si="19"/>
        <v>-1.1135249921484514E-3</v>
      </c>
    </row>
    <row r="1222" spans="1:11" x14ac:dyDescent="0.2">
      <c r="A1222" s="2">
        <v>44237</v>
      </c>
      <c r="B1222">
        <v>3920.780029296875</v>
      </c>
      <c r="C1222">
        <v>3931.5</v>
      </c>
      <c r="D1222">
        <v>3884.93994140625</v>
      </c>
      <c r="E1222">
        <v>3909.8798828125</v>
      </c>
      <c r="F1222">
        <v>3909.8798828125</v>
      </c>
      <c r="G1222">
        <v>4837070000</v>
      </c>
      <c r="H1222">
        <v>0</v>
      </c>
      <c r="I1222">
        <v>0</v>
      </c>
      <c r="K1222" s="11">
        <f t="shared" si="19"/>
        <v>-3.4518493235935477E-4</v>
      </c>
    </row>
    <row r="1223" spans="1:11" x14ac:dyDescent="0.2">
      <c r="A1223" s="2">
        <v>44238</v>
      </c>
      <c r="B1223">
        <v>3916.39990234375</v>
      </c>
      <c r="C1223">
        <v>3925.989990234375</v>
      </c>
      <c r="D1223">
        <v>3890.389892578125</v>
      </c>
      <c r="E1223">
        <v>3916.3798828125</v>
      </c>
      <c r="F1223">
        <v>3916.3798828125</v>
      </c>
      <c r="G1223">
        <v>4590960000</v>
      </c>
      <c r="H1223">
        <v>0</v>
      </c>
      <c r="I1223">
        <v>0</v>
      </c>
      <c r="K1223" s="11">
        <f t="shared" si="19"/>
        <v>1.6624551635393559E-3</v>
      </c>
    </row>
    <row r="1224" spans="1:11" x14ac:dyDescent="0.2">
      <c r="A1224" s="2">
        <v>44239</v>
      </c>
      <c r="B1224">
        <v>3911.64990234375</v>
      </c>
      <c r="C1224">
        <v>3937.22998046875</v>
      </c>
      <c r="D1224">
        <v>3905.780029296875</v>
      </c>
      <c r="E1224">
        <v>3934.830078125</v>
      </c>
      <c r="F1224">
        <v>3934.830078125</v>
      </c>
      <c r="G1224">
        <v>4135060000</v>
      </c>
      <c r="H1224">
        <v>0</v>
      </c>
      <c r="I1224">
        <v>0</v>
      </c>
      <c r="K1224" s="11">
        <f t="shared" si="19"/>
        <v>4.7110331133788375E-3</v>
      </c>
    </row>
    <row r="1225" spans="1:11" x14ac:dyDescent="0.2">
      <c r="A1225" s="2">
        <v>44243</v>
      </c>
      <c r="B1225">
        <v>3939.610107421875</v>
      </c>
      <c r="C1225">
        <v>3950.429931640625</v>
      </c>
      <c r="D1225">
        <v>3923.85009765625</v>
      </c>
      <c r="E1225">
        <v>3932.590087890625</v>
      </c>
      <c r="F1225">
        <v>3932.590087890625</v>
      </c>
      <c r="G1225">
        <v>5058990000</v>
      </c>
      <c r="H1225">
        <v>0</v>
      </c>
      <c r="I1225">
        <v>0</v>
      </c>
      <c r="K1225" s="11">
        <f t="shared" si="19"/>
        <v>-5.6927241835114106E-4</v>
      </c>
    </row>
    <row r="1226" spans="1:11" x14ac:dyDescent="0.2">
      <c r="A1226" s="2">
        <v>44244</v>
      </c>
      <c r="B1226">
        <v>3918.5</v>
      </c>
      <c r="C1226">
        <v>3933.610107421875</v>
      </c>
      <c r="D1226">
        <v>3900.429931640625</v>
      </c>
      <c r="E1226">
        <v>3931.330078125</v>
      </c>
      <c r="F1226">
        <v>3931.330078125</v>
      </c>
      <c r="G1226">
        <v>4730650000</v>
      </c>
      <c r="H1226">
        <v>0</v>
      </c>
      <c r="I1226">
        <v>0</v>
      </c>
      <c r="K1226" s="11">
        <f t="shared" si="19"/>
        <v>-3.2040200922667239E-4</v>
      </c>
    </row>
    <row r="1227" spans="1:11" x14ac:dyDescent="0.2">
      <c r="A1227" s="2">
        <v>44245</v>
      </c>
      <c r="B1227">
        <v>3915.860107421875</v>
      </c>
      <c r="C1227">
        <v>3921.97998046875</v>
      </c>
      <c r="D1227">
        <v>3885.030029296875</v>
      </c>
      <c r="E1227">
        <v>3913.969970703125</v>
      </c>
      <c r="F1227">
        <v>3913.969970703125</v>
      </c>
      <c r="G1227">
        <v>4793650000</v>
      </c>
      <c r="H1227">
        <v>0</v>
      </c>
      <c r="I1227">
        <v>0</v>
      </c>
      <c r="K1227" s="11">
        <f t="shared" si="19"/>
        <v>-4.4158356273545918E-3</v>
      </c>
    </row>
    <row r="1228" spans="1:11" x14ac:dyDescent="0.2">
      <c r="A1228" s="2">
        <v>44246</v>
      </c>
      <c r="B1228">
        <v>3921.159912109375</v>
      </c>
      <c r="C1228">
        <v>3930.409912109375</v>
      </c>
      <c r="D1228">
        <v>3903.070068359375</v>
      </c>
      <c r="E1228">
        <v>3906.7099609375</v>
      </c>
      <c r="F1228">
        <v>3906.7099609375</v>
      </c>
      <c r="G1228">
        <v>4845320000</v>
      </c>
      <c r="H1228">
        <v>0</v>
      </c>
      <c r="I1228">
        <v>0</v>
      </c>
      <c r="K1228" s="11">
        <f t="shared" si="19"/>
        <v>-1.8548966445751658E-3</v>
      </c>
    </row>
    <row r="1229" spans="1:11" x14ac:dyDescent="0.2">
      <c r="A1229" s="2">
        <v>44249</v>
      </c>
      <c r="B1229">
        <v>3885.550048828125</v>
      </c>
      <c r="C1229">
        <v>3902.919921875</v>
      </c>
      <c r="D1229">
        <v>3874.7099609375</v>
      </c>
      <c r="E1229">
        <v>3876.5</v>
      </c>
      <c r="F1229">
        <v>3876.5</v>
      </c>
      <c r="G1229">
        <v>5917100000</v>
      </c>
      <c r="H1229">
        <v>0</v>
      </c>
      <c r="I1229">
        <v>0</v>
      </c>
      <c r="K1229" s="11">
        <f t="shared" si="19"/>
        <v>-7.7328394581538396E-3</v>
      </c>
    </row>
    <row r="1230" spans="1:11" x14ac:dyDescent="0.2">
      <c r="A1230" s="2">
        <v>44250</v>
      </c>
      <c r="B1230">
        <v>3857.070068359375</v>
      </c>
      <c r="C1230">
        <v>3895.97998046875</v>
      </c>
      <c r="D1230">
        <v>3805.590087890625</v>
      </c>
      <c r="E1230">
        <v>3881.3701171875</v>
      </c>
      <c r="F1230">
        <v>3881.3701171875</v>
      </c>
      <c r="G1230">
        <v>6296610000</v>
      </c>
      <c r="H1230">
        <v>0</v>
      </c>
      <c r="I1230">
        <v>0</v>
      </c>
      <c r="K1230" s="11">
        <f t="shared" si="19"/>
        <v>1.2563181187927874E-3</v>
      </c>
    </row>
    <row r="1231" spans="1:11" x14ac:dyDescent="0.2">
      <c r="A1231" s="2">
        <v>44251</v>
      </c>
      <c r="B1231">
        <v>3873.7099609375</v>
      </c>
      <c r="C1231">
        <v>3928.64990234375</v>
      </c>
      <c r="D1231">
        <v>3859.60009765625</v>
      </c>
      <c r="E1231">
        <v>3925.429931640625</v>
      </c>
      <c r="F1231">
        <v>3925.429931640625</v>
      </c>
      <c r="G1231">
        <v>6012790000</v>
      </c>
      <c r="H1231">
        <v>0</v>
      </c>
      <c r="I1231">
        <v>0</v>
      </c>
      <c r="K1231" s="11">
        <f t="shared" si="19"/>
        <v>1.1351613765979041E-2</v>
      </c>
    </row>
    <row r="1232" spans="1:11" x14ac:dyDescent="0.2">
      <c r="A1232" s="2">
        <v>44252</v>
      </c>
      <c r="B1232">
        <v>3915.800048828125</v>
      </c>
      <c r="C1232">
        <v>3925.02001953125</v>
      </c>
      <c r="D1232">
        <v>3814.0400390625</v>
      </c>
      <c r="E1232">
        <v>3829.340087890625</v>
      </c>
      <c r="F1232">
        <v>3829.340087890625</v>
      </c>
      <c r="G1232">
        <v>6547470000</v>
      </c>
      <c r="H1232">
        <v>0</v>
      </c>
      <c r="I1232">
        <v>0</v>
      </c>
      <c r="K1232" s="11">
        <f t="shared" si="19"/>
        <v>-2.4478807525126212E-2</v>
      </c>
    </row>
    <row r="1233" spans="1:11" x14ac:dyDescent="0.2">
      <c r="A1233" s="2">
        <v>44253</v>
      </c>
      <c r="B1233">
        <v>3839.659912109375</v>
      </c>
      <c r="C1233">
        <v>3861.080078125</v>
      </c>
      <c r="D1233">
        <v>3789.5400390625</v>
      </c>
      <c r="E1233">
        <v>3811.14990234375</v>
      </c>
      <c r="F1233">
        <v>3811.14990234375</v>
      </c>
      <c r="G1233">
        <v>6526070000</v>
      </c>
      <c r="H1233">
        <v>0</v>
      </c>
      <c r="I1233">
        <v>0</v>
      </c>
      <c r="K1233" s="11">
        <f t="shared" si="19"/>
        <v>-4.7502141699028444E-3</v>
      </c>
    </row>
    <row r="1234" spans="1:11" x14ac:dyDescent="0.2">
      <c r="A1234" s="2">
        <v>44256</v>
      </c>
      <c r="B1234">
        <v>3842.510009765625</v>
      </c>
      <c r="C1234">
        <v>3914.5</v>
      </c>
      <c r="D1234">
        <v>3842.510009765625</v>
      </c>
      <c r="E1234">
        <v>3901.820068359375</v>
      </c>
      <c r="F1234">
        <v>3901.820068359375</v>
      </c>
      <c r="G1234">
        <v>5114820000</v>
      </c>
      <c r="H1234">
        <v>0</v>
      </c>
      <c r="I1234">
        <v>0</v>
      </c>
      <c r="K1234" s="11">
        <f t="shared" si="19"/>
        <v>2.3790763506800205E-2</v>
      </c>
    </row>
    <row r="1235" spans="1:11" x14ac:dyDescent="0.2">
      <c r="A1235" s="2">
        <v>44257</v>
      </c>
      <c r="B1235">
        <v>3903.639892578125</v>
      </c>
      <c r="C1235">
        <v>3906.409912109375</v>
      </c>
      <c r="D1235">
        <v>3868.570068359375</v>
      </c>
      <c r="E1235">
        <v>3870.2900390625</v>
      </c>
      <c r="F1235">
        <v>3870.2900390625</v>
      </c>
      <c r="G1235">
        <v>5536010000</v>
      </c>
      <c r="H1235">
        <v>0</v>
      </c>
      <c r="I1235">
        <v>0</v>
      </c>
      <c r="K1235" s="11">
        <f t="shared" si="19"/>
        <v>-8.080851690870694E-3</v>
      </c>
    </row>
    <row r="1236" spans="1:11" x14ac:dyDescent="0.2">
      <c r="A1236" s="2">
        <v>44258</v>
      </c>
      <c r="B1236">
        <v>3863.989990234375</v>
      </c>
      <c r="C1236">
        <v>3874.469970703125</v>
      </c>
      <c r="D1236">
        <v>3818.860107421875</v>
      </c>
      <c r="E1236">
        <v>3819.719970703125</v>
      </c>
      <c r="F1236">
        <v>3819.719970703125</v>
      </c>
      <c r="G1236">
        <v>6173660000</v>
      </c>
      <c r="H1236">
        <v>0</v>
      </c>
      <c r="I1236">
        <v>0</v>
      </c>
      <c r="K1236" s="11">
        <f t="shared" si="19"/>
        <v>-1.3066221871998129E-2</v>
      </c>
    </row>
    <row r="1237" spans="1:11" x14ac:dyDescent="0.2">
      <c r="A1237" s="2">
        <v>44259</v>
      </c>
      <c r="B1237">
        <v>3818.530029296875</v>
      </c>
      <c r="C1237">
        <v>3843.669921875</v>
      </c>
      <c r="D1237">
        <v>3723.340087890625</v>
      </c>
      <c r="E1237">
        <v>3768.469970703125</v>
      </c>
      <c r="F1237">
        <v>3768.469970703125</v>
      </c>
      <c r="G1237">
        <v>7195400000</v>
      </c>
      <c r="H1237">
        <v>0</v>
      </c>
      <c r="I1237">
        <v>0</v>
      </c>
      <c r="K1237" s="11">
        <f t="shared" si="19"/>
        <v>-1.3417213930100202E-2</v>
      </c>
    </row>
    <row r="1238" spans="1:11" x14ac:dyDescent="0.2">
      <c r="A1238" s="2">
        <v>44260</v>
      </c>
      <c r="B1238">
        <v>3793.580078125</v>
      </c>
      <c r="C1238">
        <v>3851.68994140625</v>
      </c>
      <c r="D1238">
        <v>3730.18994140625</v>
      </c>
      <c r="E1238">
        <v>3841.93994140625</v>
      </c>
      <c r="F1238">
        <v>3841.93994140625</v>
      </c>
      <c r="G1238">
        <v>6851070000</v>
      </c>
      <c r="H1238">
        <v>0</v>
      </c>
      <c r="I1238">
        <v>0</v>
      </c>
      <c r="K1238" s="11">
        <f t="shared" si="19"/>
        <v>1.949596819778221E-2</v>
      </c>
    </row>
    <row r="1239" spans="1:11" x14ac:dyDescent="0.2">
      <c r="A1239" s="2">
        <v>44263</v>
      </c>
      <c r="B1239">
        <v>3844.389892578125</v>
      </c>
      <c r="C1239">
        <v>3881.06005859375</v>
      </c>
      <c r="D1239">
        <v>3819.25</v>
      </c>
      <c r="E1239">
        <v>3821.35009765625</v>
      </c>
      <c r="F1239">
        <v>3821.35009765625</v>
      </c>
      <c r="G1239">
        <v>5871710000</v>
      </c>
      <c r="H1239">
        <v>0</v>
      </c>
      <c r="I1239">
        <v>0</v>
      </c>
      <c r="K1239" s="11">
        <f t="shared" si="19"/>
        <v>-5.3592310301612267E-3</v>
      </c>
    </row>
    <row r="1240" spans="1:11" x14ac:dyDescent="0.2">
      <c r="A1240" s="2">
        <v>44264</v>
      </c>
      <c r="B1240">
        <v>3851.929931640625</v>
      </c>
      <c r="C1240">
        <v>3903.760009765625</v>
      </c>
      <c r="D1240">
        <v>3851.929931640625</v>
      </c>
      <c r="E1240">
        <v>3875.43994140625</v>
      </c>
      <c r="F1240">
        <v>3875.43994140625</v>
      </c>
      <c r="G1240">
        <v>5513560000</v>
      </c>
      <c r="H1240">
        <v>0</v>
      </c>
      <c r="I1240">
        <v>0</v>
      </c>
      <c r="K1240" s="11">
        <f t="shared" si="19"/>
        <v>1.4154642303822129E-2</v>
      </c>
    </row>
    <row r="1241" spans="1:11" x14ac:dyDescent="0.2">
      <c r="A1241" s="2">
        <v>44265</v>
      </c>
      <c r="B1241">
        <v>3891.989990234375</v>
      </c>
      <c r="C1241">
        <v>3917.35009765625</v>
      </c>
      <c r="D1241">
        <v>3885.72998046875</v>
      </c>
      <c r="E1241">
        <v>3898.81005859375</v>
      </c>
      <c r="F1241">
        <v>3898.81005859375</v>
      </c>
      <c r="G1241">
        <v>5847380000</v>
      </c>
      <c r="H1241">
        <v>0</v>
      </c>
      <c r="I1241">
        <v>0</v>
      </c>
      <c r="K1241" s="11">
        <f t="shared" si="19"/>
        <v>6.0303133427013211E-3</v>
      </c>
    </row>
    <row r="1242" spans="1:11" x14ac:dyDescent="0.2">
      <c r="A1242" s="2">
        <v>44266</v>
      </c>
      <c r="B1242">
        <v>3915.5400390625</v>
      </c>
      <c r="C1242">
        <v>3960.27001953125</v>
      </c>
      <c r="D1242">
        <v>3915.5400390625</v>
      </c>
      <c r="E1242">
        <v>3939.340087890625</v>
      </c>
      <c r="F1242">
        <v>3939.340087890625</v>
      </c>
      <c r="G1242">
        <v>5312880000</v>
      </c>
      <c r="H1242">
        <v>0</v>
      </c>
      <c r="I1242">
        <v>0</v>
      </c>
      <c r="K1242" s="11">
        <f t="shared" si="19"/>
        <v>1.0395487004435822E-2</v>
      </c>
    </row>
    <row r="1243" spans="1:11" x14ac:dyDescent="0.2">
      <c r="A1243" s="2">
        <v>44267</v>
      </c>
      <c r="B1243">
        <v>3924.52001953125</v>
      </c>
      <c r="C1243">
        <v>3944.989990234375</v>
      </c>
      <c r="D1243">
        <v>3915.2099609375</v>
      </c>
      <c r="E1243">
        <v>3943.340087890625</v>
      </c>
      <c r="F1243">
        <v>3943.340087890625</v>
      </c>
      <c r="G1243">
        <v>4476280000</v>
      </c>
      <c r="H1243">
        <v>0</v>
      </c>
      <c r="I1243">
        <v>0</v>
      </c>
      <c r="K1243" s="11">
        <f t="shared" si="19"/>
        <v>1.0153984958789497E-3</v>
      </c>
    </row>
    <row r="1244" spans="1:11" x14ac:dyDescent="0.2">
      <c r="A1244" s="2">
        <v>44270</v>
      </c>
      <c r="B1244">
        <v>3942.9599609375</v>
      </c>
      <c r="C1244">
        <v>3970.080078125</v>
      </c>
      <c r="D1244">
        <v>3923.5400390625</v>
      </c>
      <c r="E1244">
        <v>3968.93994140625</v>
      </c>
      <c r="F1244">
        <v>3968.93994140625</v>
      </c>
      <c r="G1244">
        <v>4900100000</v>
      </c>
      <c r="H1244">
        <v>0</v>
      </c>
      <c r="I1244">
        <v>0</v>
      </c>
      <c r="K1244" s="11">
        <f t="shared" si="19"/>
        <v>6.4919213014971167E-3</v>
      </c>
    </row>
    <row r="1245" spans="1:11" x14ac:dyDescent="0.2">
      <c r="A1245" s="2">
        <v>44271</v>
      </c>
      <c r="B1245">
        <v>3973.590087890625</v>
      </c>
      <c r="C1245">
        <v>3981.0400390625</v>
      </c>
      <c r="D1245">
        <v>3953.43994140625</v>
      </c>
      <c r="E1245">
        <v>3962.7099609375</v>
      </c>
      <c r="F1245">
        <v>3962.7099609375</v>
      </c>
      <c r="G1245">
        <v>4613080000</v>
      </c>
      <c r="H1245">
        <v>0</v>
      </c>
      <c r="I1245">
        <v>0</v>
      </c>
      <c r="K1245" s="11">
        <f t="shared" si="19"/>
        <v>-1.5696837343783798E-3</v>
      </c>
    </row>
    <row r="1246" spans="1:11" x14ac:dyDescent="0.2">
      <c r="A1246" s="2">
        <v>44272</v>
      </c>
      <c r="B1246">
        <v>3949.570068359375</v>
      </c>
      <c r="C1246">
        <v>3983.8701171875</v>
      </c>
      <c r="D1246">
        <v>3935.739990234375</v>
      </c>
      <c r="E1246">
        <v>3974.1201171875</v>
      </c>
      <c r="F1246">
        <v>3974.1201171875</v>
      </c>
      <c r="G1246">
        <v>4561660000</v>
      </c>
      <c r="H1246">
        <v>0</v>
      </c>
      <c r="I1246">
        <v>0</v>
      </c>
      <c r="K1246" s="11">
        <f t="shared" si="19"/>
        <v>2.8793821305308498E-3</v>
      </c>
    </row>
    <row r="1247" spans="1:11" x14ac:dyDescent="0.2">
      <c r="A1247" s="2">
        <v>44273</v>
      </c>
      <c r="B1247">
        <v>3953.5</v>
      </c>
      <c r="C1247">
        <v>3969.6201171875</v>
      </c>
      <c r="D1247">
        <v>3910.860107421875</v>
      </c>
      <c r="E1247">
        <v>3915.4599609375</v>
      </c>
      <c r="F1247">
        <v>3915.4599609375</v>
      </c>
      <c r="G1247">
        <v>5118590000</v>
      </c>
      <c r="H1247">
        <v>0</v>
      </c>
      <c r="I1247">
        <v>0</v>
      </c>
      <c r="K1247" s="11">
        <f t="shared" si="19"/>
        <v>-1.4760539319459198E-2</v>
      </c>
    </row>
    <row r="1248" spans="1:11" x14ac:dyDescent="0.2">
      <c r="A1248" s="2">
        <v>44274</v>
      </c>
      <c r="B1248">
        <v>3913.139892578125</v>
      </c>
      <c r="C1248">
        <v>3930.1201171875</v>
      </c>
      <c r="D1248">
        <v>3886.75</v>
      </c>
      <c r="E1248">
        <v>3913.10009765625</v>
      </c>
      <c r="F1248">
        <v>3913.10009765625</v>
      </c>
      <c r="G1248">
        <v>7757420000</v>
      </c>
      <c r="H1248">
        <v>0</v>
      </c>
      <c r="I1248">
        <v>0</v>
      </c>
      <c r="K1248" s="11">
        <f t="shared" si="19"/>
        <v>-6.0270397470363335E-4</v>
      </c>
    </row>
    <row r="1249" spans="1:11" x14ac:dyDescent="0.2">
      <c r="A1249" s="2">
        <v>44277</v>
      </c>
      <c r="B1249">
        <v>3916.47998046875</v>
      </c>
      <c r="C1249">
        <v>3955.31005859375</v>
      </c>
      <c r="D1249">
        <v>3914.159912109375</v>
      </c>
      <c r="E1249">
        <v>3940.590087890625</v>
      </c>
      <c r="F1249">
        <v>3940.590087890625</v>
      </c>
      <c r="G1249">
        <v>4316260000</v>
      </c>
      <c r="H1249">
        <v>0</v>
      </c>
      <c r="I1249">
        <v>0</v>
      </c>
      <c r="K1249" s="11">
        <f t="shared" si="19"/>
        <v>7.025118077311765E-3</v>
      </c>
    </row>
    <row r="1250" spans="1:11" x14ac:dyDescent="0.2">
      <c r="A1250" s="2">
        <v>44278</v>
      </c>
      <c r="B1250">
        <v>3937.60009765625</v>
      </c>
      <c r="C1250">
        <v>3949.1298828125</v>
      </c>
      <c r="D1250">
        <v>3901.570068359375</v>
      </c>
      <c r="E1250">
        <v>3910.52001953125</v>
      </c>
      <c r="F1250">
        <v>3910.52001953125</v>
      </c>
      <c r="G1250">
        <v>4669010000</v>
      </c>
      <c r="H1250">
        <v>0</v>
      </c>
      <c r="I1250">
        <v>0</v>
      </c>
      <c r="K1250" s="11">
        <f t="shared" si="19"/>
        <v>-7.6308541839406052E-3</v>
      </c>
    </row>
    <row r="1251" spans="1:11" x14ac:dyDescent="0.2">
      <c r="A1251" s="2">
        <v>44279</v>
      </c>
      <c r="B1251">
        <v>3919.929931640625</v>
      </c>
      <c r="C1251">
        <v>3942.080078125</v>
      </c>
      <c r="D1251">
        <v>3889.070068359375</v>
      </c>
      <c r="E1251">
        <v>3889.139892578125</v>
      </c>
      <c r="F1251">
        <v>3889.139892578125</v>
      </c>
      <c r="G1251">
        <v>4783020000</v>
      </c>
      <c r="H1251">
        <v>0</v>
      </c>
      <c r="I1251">
        <v>0</v>
      </c>
      <c r="K1251" s="11">
        <f t="shared" si="19"/>
        <v>-5.46733601831495E-3</v>
      </c>
    </row>
    <row r="1252" spans="1:11" x14ac:dyDescent="0.2">
      <c r="A1252" s="2">
        <v>44280</v>
      </c>
      <c r="B1252">
        <v>3879.340087890625</v>
      </c>
      <c r="C1252">
        <v>3919.5400390625</v>
      </c>
      <c r="D1252">
        <v>3853.5</v>
      </c>
      <c r="E1252">
        <v>3909.52001953125</v>
      </c>
      <c r="F1252">
        <v>3909.52001953125</v>
      </c>
      <c r="G1252">
        <v>4948340000</v>
      </c>
      <c r="H1252">
        <v>0</v>
      </c>
      <c r="I1252">
        <v>0</v>
      </c>
      <c r="K1252" s="11">
        <f t="shared" si="19"/>
        <v>5.2402658469594687E-3</v>
      </c>
    </row>
    <row r="1253" spans="1:11" x14ac:dyDescent="0.2">
      <c r="A1253" s="2">
        <v>44281</v>
      </c>
      <c r="B1253">
        <v>3917.1201171875</v>
      </c>
      <c r="C1253">
        <v>3978.18994140625</v>
      </c>
      <c r="D1253">
        <v>3917.1201171875</v>
      </c>
      <c r="E1253">
        <v>3974.5400390625</v>
      </c>
      <c r="F1253">
        <v>3974.5400390625</v>
      </c>
      <c r="G1253">
        <v>5483160000</v>
      </c>
      <c r="H1253">
        <v>0</v>
      </c>
      <c r="I1253">
        <v>0</v>
      </c>
      <c r="K1253" s="11">
        <f t="shared" si="19"/>
        <v>1.6631202604519668E-2</v>
      </c>
    </row>
    <row r="1254" spans="1:11" x14ac:dyDescent="0.2">
      <c r="A1254" s="2">
        <v>44284</v>
      </c>
      <c r="B1254">
        <v>3969.31005859375</v>
      </c>
      <c r="C1254">
        <v>3981.830078125</v>
      </c>
      <c r="D1254">
        <v>3943.25</v>
      </c>
      <c r="E1254">
        <v>3971.090087890625</v>
      </c>
      <c r="F1254">
        <v>3971.090087890625</v>
      </c>
      <c r="G1254">
        <v>4628180000</v>
      </c>
      <c r="H1254">
        <v>0</v>
      </c>
      <c r="I1254">
        <v>0</v>
      </c>
      <c r="K1254" s="11">
        <f t="shared" si="19"/>
        <v>-8.6801268523362118E-4</v>
      </c>
    </row>
    <row r="1255" spans="1:11" x14ac:dyDescent="0.2">
      <c r="A1255" s="2">
        <v>44285</v>
      </c>
      <c r="B1255">
        <v>3963.340087890625</v>
      </c>
      <c r="C1255">
        <v>3968.010009765625</v>
      </c>
      <c r="D1255">
        <v>3944.35009765625</v>
      </c>
      <c r="E1255">
        <v>3958.550048828125</v>
      </c>
      <c r="F1255">
        <v>3958.550048828125</v>
      </c>
      <c r="G1255">
        <v>4121510000</v>
      </c>
      <c r="H1255">
        <v>0</v>
      </c>
      <c r="I1255">
        <v>0</v>
      </c>
      <c r="K1255" s="11">
        <f t="shared" si="19"/>
        <v>-3.1578329337678124E-3</v>
      </c>
    </row>
    <row r="1256" spans="1:11" x14ac:dyDescent="0.2">
      <c r="A1256" s="2">
        <v>44286</v>
      </c>
      <c r="B1256">
        <v>3967.25</v>
      </c>
      <c r="C1256">
        <v>3994.409912109375</v>
      </c>
      <c r="D1256">
        <v>3966.97998046875</v>
      </c>
      <c r="E1256">
        <v>3972.889892578125</v>
      </c>
      <c r="F1256">
        <v>3972.889892578125</v>
      </c>
      <c r="G1256">
        <v>4578050000</v>
      </c>
      <c r="H1256">
        <v>0</v>
      </c>
      <c r="I1256">
        <v>0</v>
      </c>
      <c r="K1256" s="11">
        <f t="shared" si="19"/>
        <v>3.6224990395776757E-3</v>
      </c>
    </row>
    <row r="1257" spans="1:11" x14ac:dyDescent="0.2">
      <c r="A1257" s="2">
        <v>44287</v>
      </c>
      <c r="B1257">
        <v>3992.780029296875</v>
      </c>
      <c r="C1257">
        <v>4020.6298828125</v>
      </c>
      <c r="D1257">
        <v>3992.780029296875</v>
      </c>
      <c r="E1257">
        <v>4019.8701171875</v>
      </c>
      <c r="F1257">
        <v>4019.8701171875</v>
      </c>
      <c r="G1257">
        <v>4162130000</v>
      </c>
      <c r="H1257">
        <v>0</v>
      </c>
      <c r="I1257">
        <v>0</v>
      </c>
      <c r="K1257" s="11">
        <f t="shared" si="19"/>
        <v>1.1825201774944727E-2</v>
      </c>
    </row>
    <row r="1258" spans="1:11" x14ac:dyDescent="0.2">
      <c r="A1258" s="2">
        <v>44291</v>
      </c>
      <c r="B1258">
        <v>4034.43994140625</v>
      </c>
      <c r="C1258">
        <v>4083.419921875</v>
      </c>
      <c r="D1258">
        <v>4034.43994140625</v>
      </c>
      <c r="E1258">
        <v>4077.909912109375</v>
      </c>
      <c r="F1258">
        <v>4077.909912109375</v>
      </c>
      <c r="G1258">
        <v>4005030000</v>
      </c>
      <c r="H1258">
        <v>0</v>
      </c>
      <c r="I1258">
        <v>0</v>
      </c>
      <c r="K1258" s="11">
        <f t="shared" si="19"/>
        <v>1.4438226417743616E-2</v>
      </c>
    </row>
    <row r="1259" spans="1:11" x14ac:dyDescent="0.2">
      <c r="A1259" s="2">
        <v>44292</v>
      </c>
      <c r="B1259">
        <v>4075.570068359375</v>
      </c>
      <c r="C1259">
        <v>4086.22998046875</v>
      </c>
      <c r="D1259">
        <v>4068.139892578125</v>
      </c>
      <c r="E1259">
        <v>4073.93994140625</v>
      </c>
      <c r="F1259">
        <v>4073.93994140625</v>
      </c>
      <c r="G1259">
        <v>4081270000</v>
      </c>
      <c r="H1259">
        <v>0</v>
      </c>
      <c r="I1259">
        <v>0</v>
      </c>
      <c r="K1259" s="11">
        <f t="shared" si="19"/>
        <v>-9.7353075195116823E-4</v>
      </c>
    </row>
    <row r="1260" spans="1:11" x14ac:dyDescent="0.2">
      <c r="A1260" s="2">
        <v>44293</v>
      </c>
      <c r="B1260">
        <v>4074.2900390625</v>
      </c>
      <c r="C1260">
        <v>4083.1298828125</v>
      </c>
      <c r="D1260">
        <v>4068.31005859375</v>
      </c>
      <c r="E1260">
        <v>4079.949951171875</v>
      </c>
      <c r="F1260">
        <v>4079.949951171875</v>
      </c>
      <c r="G1260">
        <v>4120810000</v>
      </c>
      <c r="H1260">
        <v>0</v>
      </c>
      <c r="I1260">
        <v>0</v>
      </c>
      <c r="K1260" s="11">
        <f t="shared" si="19"/>
        <v>1.475232784985625E-3</v>
      </c>
    </row>
    <row r="1261" spans="1:11" x14ac:dyDescent="0.2">
      <c r="A1261" s="2">
        <v>44294</v>
      </c>
      <c r="B1261">
        <v>4089.949951171875</v>
      </c>
      <c r="C1261">
        <v>4098.18994140625</v>
      </c>
      <c r="D1261">
        <v>4082.5400390625</v>
      </c>
      <c r="E1261">
        <v>4097.169921875</v>
      </c>
      <c r="F1261">
        <v>4097.169921875</v>
      </c>
      <c r="G1261">
        <v>3907100000</v>
      </c>
      <c r="H1261">
        <v>0</v>
      </c>
      <c r="I1261">
        <v>0</v>
      </c>
      <c r="K1261" s="11">
        <f t="shared" si="19"/>
        <v>4.2206328286402695E-3</v>
      </c>
    </row>
    <row r="1262" spans="1:11" x14ac:dyDescent="0.2">
      <c r="A1262" s="2">
        <v>44295</v>
      </c>
      <c r="B1262">
        <v>4096.10986328125</v>
      </c>
      <c r="C1262">
        <v>4129.47998046875</v>
      </c>
      <c r="D1262">
        <v>4095.510009765625</v>
      </c>
      <c r="E1262">
        <v>4128.7998046875</v>
      </c>
      <c r="F1262">
        <v>4128.7998046875</v>
      </c>
      <c r="G1262">
        <v>3640390000</v>
      </c>
      <c r="H1262">
        <v>0</v>
      </c>
      <c r="I1262">
        <v>0</v>
      </c>
      <c r="K1262" s="11">
        <f t="shared" si="19"/>
        <v>7.7199343487381888E-3</v>
      </c>
    </row>
    <row r="1263" spans="1:11" x14ac:dyDescent="0.2">
      <c r="A1263" s="2">
        <v>44298</v>
      </c>
      <c r="B1263">
        <v>4124.7099609375</v>
      </c>
      <c r="C1263">
        <v>4131.759765625</v>
      </c>
      <c r="D1263">
        <v>4114.81982421875</v>
      </c>
      <c r="E1263">
        <v>4127.990234375</v>
      </c>
      <c r="F1263">
        <v>4127.990234375</v>
      </c>
      <c r="G1263">
        <v>3588900000</v>
      </c>
      <c r="H1263">
        <v>0</v>
      </c>
      <c r="I1263">
        <v>0</v>
      </c>
      <c r="K1263" s="11">
        <f t="shared" si="19"/>
        <v>-1.9607884876882142E-4</v>
      </c>
    </row>
    <row r="1264" spans="1:11" x14ac:dyDescent="0.2">
      <c r="A1264" s="2">
        <v>44299</v>
      </c>
      <c r="B1264">
        <v>4130.10009765625</v>
      </c>
      <c r="C1264">
        <v>4148</v>
      </c>
      <c r="D1264">
        <v>4124.43017578125</v>
      </c>
      <c r="E1264">
        <v>4141.58984375</v>
      </c>
      <c r="F1264">
        <v>4141.58984375</v>
      </c>
      <c r="G1264">
        <v>3734720000</v>
      </c>
      <c r="H1264">
        <v>0</v>
      </c>
      <c r="I1264">
        <v>0</v>
      </c>
      <c r="K1264" s="11">
        <f t="shared" si="19"/>
        <v>3.2944868090414303E-3</v>
      </c>
    </row>
    <row r="1265" spans="1:11" x14ac:dyDescent="0.2">
      <c r="A1265" s="2">
        <v>44300</v>
      </c>
      <c r="B1265">
        <v>4141.580078125</v>
      </c>
      <c r="C1265">
        <v>4151.68994140625</v>
      </c>
      <c r="D1265">
        <v>4120.8701171875</v>
      </c>
      <c r="E1265">
        <v>4124.66015625</v>
      </c>
      <c r="F1265">
        <v>4124.66015625</v>
      </c>
      <c r="G1265">
        <v>3985350000</v>
      </c>
      <c r="H1265">
        <v>0</v>
      </c>
      <c r="I1265">
        <v>0</v>
      </c>
      <c r="K1265" s="11">
        <f t="shared" si="19"/>
        <v>-4.0877267278285334E-3</v>
      </c>
    </row>
    <row r="1266" spans="1:11" x14ac:dyDescent="0.2">
      <c r="A1266" s="2">
        <v>44301</v>
      </c>
      <c r="B1266">
        <v>4139.759765625</v>
      </c>
      <c r="C1266">
        <v>4173.490234375</v>
      </c>
      <c r="D1266">
        <v>4139.759765625</v>
      </c>
      <c r="E1266">
        <v>4170.419921875</v>
      </c>
      <c r="F1266">
        <v>4170.419921875</v>
      </c>
      <c r="G1266">
        <v>4033420000</v>
      </c>
      <c r="H1266">
        <v>0</v>
      </c>
      <c r="I1266">
        <v>0</v>
      </c>
      <c r="K1266" s="11">
        <f t="shared" si="19"/>
        <v>1.109419052516647E-2</v>
      </c>
    </row>
    <row r="1267" spans="1:11" x14ac:dyDescent="0.2">
      <c r="A1267" s="2">
        <v>44302</v>
      </c>
      <c r="B1267">
        <v>4174.14013671875</v>
      </c>
      <c r="C1267">
        <v>4191.31005859375</v>
      </c>
      <c r="D1267">
        <v>4170.75</v>
      </c>
      <c r="E1267">
        <v>4185.47021484375</v>
      </c>
      <c r="F1267">
        <v>4185.47021484375</v>
      </c>
      <c r="G1267">
        <v>4163820000</v>
      </c>
      <c r="H1267">
        <v>0</v>
      </c>
      <c r="I1267">
        <v>0</v>
      </c>
      <c r="K1267" s="11">
        <f t="shared" si="19"/>
        <v>3.6088195555097347E-3</v>
      </c>
    </row>
    <row r="1268" spans="1:11" x14ac:dyDescent="0.2">
      <c r="A1268" s="2">
        <v>44305</v>
      </c>
      <c r="B1268">
        <v>4179.7998046875</v>
      </c>
      <c r="C1268">
        <v>4180.81005859375</v>
      </c>
      <c r="D1268">
        <v>4150.47021484375</v>
      </c>
      <c r="E1268">
        <v>4163.259765625</v>
      </c>
      <c r="F1268">
        <v>4163.259765625</v>
      </c>
      <c r="G1268">
        <v>3810290000</v>
      </c>
      <c r="H1268">
        <v>0</v>
      </c>
      <c r="I1268">
        <v>0</v>
      </c>
      <c r="K1268" s="11">
        <f t="shared" si="19"/>
        <v>-5.3065600944860458E-3</v>
      </c>
    </row>
    <row r="1269" spans="1:11" x14ac:dyDescent="0.2">
      <c r="A1269" s="2">
        <v>44306</v>
      </c>
      <c r="B1269">
        <v>4159.18017578125</v>
      </c>
      <c r="C1269">
        <v>4159.18017578125</v>
      </c>
      <c r="D1269">
        <v>4118.3798828125</v>
      </c>
      <c r="E1269">
        <v>4134.93994140625</v>
      </c>
      <c r="F1269">
        <v>4134.93994140625</v>
      </c>
      <c r="G1269">
        <v>4342650000</v>
      </c>
      <c r="H1269">
        <v>0</v>
      </c>
      <c r="I1269">
        <v>0</v>
      </c>
      <c r="K1269" s="11">
        <f t="shared" si="19"/>
        <v>-6.8023197717759221E-3</v>
      </c>
    </row>
    <row r="1270" spans="1:11" x14ac:dyDescent="0.2">
      <c r="A1270" s="2">
        <v>44307</v>
      </c>
      <c r="B1270">
        <v>4128.419921875</v>
      </c>
      <c r="C1270">
        <v>4175.02001953125</v>
      </c>
      <c r="D1270">
        <v>4126.35009765625</v>
      </c>
      <c r="E1270">
        <v>4173.419921875</v>
      </c>
      <c r="F1270">
        <v>4173.419921875</v>
      </c>
      <c r="G1270">
        <v>3887250000</v>
      </c>
      <c r="H1270">
        <v>0</v>
      </c>
      <c r="I1270">
        <v>0</v>
      </c>
      <c r="K1270" s="11">
        <f t="shared" si="19"/>
        <v>9.3060554721535738E-3</v>
      </c>
    </row>
    <row r="1271" spans="1:11" x14ac:dyDescent="0.2">
      <c r="A1271" s="2">
        <v>44308</v>
      </c>
      <c r="B1271">
        <v>4170.4599609375</v>
      </c>
      <c r="C1271">
        <v>4179.56982421875</v>
      </c>
      <c r="D1271">
        <v>4123.68994140625</v>
      </c>
      <c r="E1271">
        <v>4134.97998046875</v>
      </c>
      <c r="F1271">
        <v>4134.97998046875</v>
      </c>
      <c r="G1271">
        <v>4245140000</v>
      </c>
      <c r="H1271">
        <v>0</v>
      </c>
      <c r="I1271">
        <v>0</v>
      </c>
      <c r="K1271" s="11">
        <f t="shared" si="19"/>
        <v>-9.210657476561801E-3</v>
      </c>
    </row>
    <row r="1272" spans="1:11" x14ac:dyDescent="0.2">
      <c r="A1272" s="2">
        <v>44309</v>
      </c>
      <c r="B1272">
        <v>4138.77978515625</v>
      </c>
      <c r="C1272">
        <v>4194.169921875</v>
      </c>
      <c r="D1272">
        <v>4138.77978515625</v>
      </c>
      <c r="E1272">
        <v>4180.169921875</v>
      </c>
      <c r="F1272">
        <v>4180.169921875</v>
      </c>
      <c r="G1272">
        <v>3569880000</v>
      </c>
      <c r="H1272">
        <v>0</v>
      </c>
      <c r="I1272">
        <v>0</v>
      </c>
      <c r="K1272" s="11">
        <f t="shared" si="19"/>
        <v>1.0928696540176919E-2</v>
      </c>
    </row>
    <row r="1273" spans="1:11" x14ac:dyDescent="0.2">
      <c r="A1273" s="2">
        <v>44312</v>
      </c>
      <c r="B1273">
        <v>4185.02978515625</v>
      </c>
      <c r="C1273">
        <v>4194.18994140625</v>
      </c>
      <c r="D1273">
        <v>4182.35986328125</v>
      </c>
      <c r="E1273">
        <v>4187.6201171875</v>
      </c>
      <c r="F1273">
        <v>4187.6201171875</v>
      </c>
      <c r="G1273">
        <v>3748320000</v>
      </c>
      <c r="H1273">
        <v>0</v>
      </c>
      <c r="I1273">
        <v>0</v>
      </c>
      <c r="K1273" s="11">
        <f t="shared" si="19"/>
        <v>1.782270924804541E-3</v>
      </c>
    </row>
    <row r="1274" spans="1:11" x14ac:dyDescent="0.2">
      <c r="A1274" s="2">
        <v>44313</v>
      </c>
      <c r="B1274">
        <v>4188.25</v>
      </c>
      <c r="C1274">
        <v>4193.35009765625</v>
      </c>
      <c r="D1274">
        <v>4176.22021484375</v>
      </c>
      <c r="E1274">
        <v>4186.72021484375</v>
      </c>
      <c r="F1274">
        <v>4186.72021484375</v>
      </c>
      <c r="G1274">
        <v>3710700000</v>
      </c>
      <c r="H1274">
        <v>0</v>
      </c>
      <c r="I1274">
        <v>0</v>
      </c>
      <c r="K1274" s="11">
        <f t="shared" si="19"/>
        <v>-2.1489588801437698E-4</v>
      </c>
    </row>
    <row r="1275" spans="1:11" x14ac:dyDescent="0.2">
      <c r="A1275" s="2">
        <v>44314</v>
      </c>
      <c r="B1275">
        <v>4185.14013671875</v>
      </c>
      <c r="C1275">
        <v>4201.52978515625</v>
      </c>
      <c r="D1275">
        <v>4181.77978515625</v>
      </c>
      <c r="E1275">
        <v>4183.18017578125</v>
      </c>
      <c r="F1275">
        <v>4183.18017578125</v>
      </c>
      <c r="G1275">
        <v>3787360000</v>
      </c>
      <c r="H1275">
        <v>0</v>
      </c>
      <c r="I1275">
        <v>0</v>
      </c>
      <c r="K1275" s="11">
        <f t="shared" si="19"/>
        <v>-8.4553991688984809E-4</v>
      </c>
    </row>
    <row r="1276" spans="1:11" x14ac:dyDescent="0.2">
      <c r="A1276" s="2">
        <v>44315</v>
      </c>
      <c r="B1276">
        <v>4206.14013671875</v>
      </c>
      <c r="C1276">
        <v>4218.77978515625</v>
      </c>
      <c r="D1276">
        <v>4176.81005859375</v>
      </c>
      <c r="E1276">
        <v>4211.47021484375</v>
      </c>
      <c r="F1276">
        <v>4211.47021484375</v>
      </c>
      <c r="G1276">
        <v>4298680000</v>
      </c>
      <c r="H1276">
        <v>0</v>
      </c>
      <c r="I1276">
        <v>0</v>
      </c>
      <c r="K1276" s="11">
        <f t="shared" si="19"/>
        <v>6.7628067340457232E-3</v>
      </c>
    </row>
    <row r="1277" spans="1:11" x14ac:dyDescent="0.2">
      <c r="A1277" s="2">
        <v>44316</v>
      </c>
      <c r="B1277">
        <v>4198.10009765625</v>
      </c>
      <c r="C1277">
        <v>4198.10009765625</v>
      </c>
      <c r="D1277">
        <v>4174.85009765625</v>
      </c>
      <c r="E1277">
        <v>4181.169921875</v>
      </c>
      <c r="F1277">
        <v>4181.169921875</v>
      </c>
      <c r="G1277">
        <v>4300880000</v>
      </c>
      <c r="H1277">
        <v>0</v>
      </c>
      <c r="I1277">
        <v>0</v>
      </c>
      <c r="K1277" s="11">
        <f t="shared" si="19"/>
        <v>-7.1947066993264253E-3</v>
      </c>
    </row>
    <row r="1278" spans="1:11" x14ac:dyDescent="0.2">
      <c r="A1278" s="2">
        <v>44319</v>
      </c>
      <c r="B1278">
        <v>4191.97998046875</v>
      </c>
      <c r="C1278">
        <v>4209.39013671875</v>
      </c>
      <c r="D1278">
        <v>4188.02978515625</v>
      </c>
      <c r="E1278">
        <v>4192.66015625</v>
      </c>
      <c r="F1278">
        <v>4192.66015625</v>
      </c>
      <c r="G1278">
        <v>4070220000</v>
      </c>
      <c r="H1278">
        <v>0</v>
      </c>
      <c r="I1278">
        <v>0</v>
      </c>
      <c r="K1278" s="11">
        <f t="shared" si="19"/>
        <v>2.7480907472536842E-3</v>
      </c>
    </row>
    <row r="1279" spans="1:11" x14ac:dyDescent="0.2">
      <c r="A1279" s="2">
        <v>44320</v>
      </c>
      <c r="B1279">
        <v>4179.0400390625</v>
      </c>
      <c r="C1279">
        <v>4179.0400390625</v>
      </c>
      <c r="D1279">
        <v>4128.58984375</v>
      </c>
      <c r="E1279">
        <v>4164.66015625</v>
      </c>
      <c r="F1279">
        <v>4164.66015625</v>
      </c>
      <c r="G1279">
        <v>4452460000</v>
      </c>
      <c r="H1279">
        <v>0</v>
      </c>
      <c r="I1279">
        <v>0</v>
      </c>
      <c r="K1279" s="11">
        <f t="shared" si="19"/>
        <v>-6.678337608227225E-3</v>
      </c>
    </row>
    <row r="1280" spans="1:11" x14ac:dyDescent="0.2">
      <c r="A1280" s="2">
        <v>44321</v>
      </c>
      <c r="B1280">
        <v>4177.06005859375</v>
      </c>
      <c r="C1280">
        <v>4187.72021484375</v>
      </c>
      <c r="D1280">
        <v>4160.93994140625</v>
      </c>
      <c r="E1280">
        <v>4167.58984375</v>
      </c>
      <c r="F1280">
        <v>4167.58984375</v>
      </c>
      <c r="G1280">
        <v>4230920000</v>
      </c>
      <c r="H1280">
        <v>0</v>
      </c>
      <c r="I1280">
        <v>0</v>
      </c>
      <c r="K1280" s="11">
        <f t="shared" si="19"/>
        <v>7.0346376176777525E-4</v>
      </c>
    </row>
    <row r="1281" spans="1:11" x14ac:dyDescent="0.2">
      <c r="A1281" s="2">
        <v>44322</v>
      </c>
      <c r="B1281">
        <v>4169.14013671875</v>
      </c>
      <c r="C1281">
        <v>4202.7001953125</v>
      </c>
      <c r="D1281">
        <v>4147.330078125</v>
      </c>
      <c r="E1281">
        <v>4201.6201171875</v>
      </c>
      <c r="F1281">
        <v>4201.6201171875</v>
      </c>
      <c r="G1281">
        <v>4511000000</v>
      </c>
      <c r="H1281">
        <v>0</v>
      </c>
      <c r="I1281">
        <v>0</v>
      </c>
      <c r="K1281" s="11">
        <f t="shared" si="19"/>
        <v>8.1654564660518236E-3</v>
      </c>
    </row>
    <row r="1282" spans="1:11" x14ac:dyDescent="0.2">
      <c r="A1282" s="2">
        <v>44323</v>
      </c>
      <c r="B1282">
        <v>4210.33984375</v>
      </c>
      <c r="C1282">
        <v>4238.0400390625</v>
      </c>
      <c r="D1282">
        <v>4201.64013671875</v>
      </c>
      <c r="E1282">
        <v>4232.60009765625</v>
      </c>
      <c r="F1282">
        <v>4232.60009765625</v>
      </c>
      <c r="G1282">
        <v>4016080000</v>
      </c>
      <c r="H1282">
        <v>0</v>
      </c>
      <c r="I1282">
        <v>0</v>
      </c>
      <c r="K1282" s="11">
        <f t="shared" si="19"/>
        <v>7.373341616968343E-3</v>
      </c>
    </row>
    <row r="1283" spans="1:11" x14ac:dyDescent="0.2">
      <c r="A1283" s="2">
        <v>44326</v>
      </c>
      <c r="B1283">
        <v>4228.2900390625</v>
      </c>
      <c r="C1283">
        <v>4236.39013671875</v>
      </c>
      <c r="D1283">
        <v>4188.1298828125</v>
      </c>
      <c r="E1283">
        <v>4188.43017578125</v>
      </c>
      <c r="F1283">
        <v>4188.43017578125</v>
      </c>
      <c r="G1283">
        <v>4560700000</v>
      </c>
      <c r="H1283">
        <v>0</v>
      </c>
      <c r="I1283">
        <v>0</v>
      </c>
      <c r="K1283" s="11">
        <f t="shared" si="19"/>
        <v>-1.0435647322188157E-2</v>
      </c>
    </row>
    <row r="1284" spans="1:11" x14ac:dyDescent="0.2">
      <c r="A1284" s="2">
        <v>44327</v>
      </c>
      <c r="B1284">
        <v>4150.33984375</v>
      </c>
      <c r="C1284">
        <v>4162.0400390625</v>
      </c>
      <c r="D1284">
        <v>4111.52978515625</v>
      </c>
      <c r="E1284">
        <v>4152.10009765625</v>
      </c>
      <c r="F1284">
        <v>4152.10009765625</v>
      </c>
      <c r="G1284">
        <v>4870710000</v>
      </c>
      <c r="H1284">
        <v>0</v>
      </c>
      <c r="I1284">
        <v>0</v>
      </c>
      <c r="K1284" s="11">
        <f t="shared" ref="K1284:K1347" si="20">(E1284/E1283)-1</f>
        <v>-8.67391280271812E-3</v>
      </c>
    </row>
    <row r="1285" spans="1:11" x14ac:dyDescent="0.2">
      <c r="A1285" s="2">
        <v>44328</v>
      </c>
      <c r="B1285">
        <v>4130.5498046875</v>
      </c>
      <c r="C1285">
        <v>4134.72998046875</v>
      </c>
      <c r="D1285">
        <v>4056.8798828125</v>
      </c>
      <c r="E1285">
        <v>4063.0400390625</v>
      </c>
      <c r="F1285">
        <v>4063.0400390625</v>
      </c>
      <c r="G1285">
        <v>4733070000</v>
      </c>
      <c r="H1285">
        <v>0</v>
      </c>
      <c r="I1285">
        <v>0</v>
      </c>
      <c r="K1285" s="11">
        <f t="shared" si="20"/>
        <v>-2.1449400664502738E-2</v>
      </c>
    </row>
    <row r="1286" spans="1:11" x14ac:dyDescent="0.2">
      <c r="A1286" s="2">
        <v>44329</v>
      </c>
      <c r="B1286">
        <v>4074.989990234375</v>
      </c>
      <c r="C1286">
        <v>4131.580078125</v>
      </c>
      <c r="D1286">
        <v>4074.989990234375</v>
      </c>
      <c r="E1286">
        <v>4112.5</v>
      </c>
      <c r="F1286">
        <v>4112.5</v>
      </c>
      <c r="G1286">
        <v>4779540000</v>
      </c>
      <c r="H1286">
        <v>0</v>
      </c>
      <c r="I1286">
        <v>0</v>
      </c>
      <c r="K1286" s="11">
        <f t="shared" si="20"/>
        <v>1.2173141406923493E-2</v>
      </c>
    </row>
    <row r="1287" spans="1:11" x14ac:dyDescent="0.2">
      <c r="A1287" s="2">
        <v>44330</v>
      </c>
      <c r="B1287">
        <v>4129.580078125</v>
      </c>
      <c r="C1287">
        <v>4183.1298828125</v>
      </c>
      <c r="D1287">
        <v>4129.580078125</v>
      </c>
      <c r="E1287">
        <v>4173.85009765625</v>
      </c>
      <c r="F1287">
        <v>4173.85009765625</v>
      </c>
      <c r="G1287">
        <v>4008880000</v>
      </c>
      <c r="H1287">
        <v>0</v>
      </c>
      <c r="I1287">
        <v>0</v>
      </c>
      <c r="K1287" s="11">
        <f t="shared" si="20"/>
        <v>1.4917956876899785E-2</v>
      </c>
    </row>
    <row r="1288" spans="1:11" x14ac:dyDescent="0.2">
      <c r="A1288" s="2">
        <v>44333</v>
      </c>
      <c r="B1288">
        <v>4169.919921875</v>
      </c>
      <c r="C1288">
        <v>4171.919921875</v>
      </c>
      <c r="D1288">
        <v>4142.68994140625</v>
      </c>
      <c r="E1288">
        <v>4163.2900390625</v>
      </c>
      <c r="F1288">
        <v>4163.2900390625</v>
      </c>
      <c r="G1288">
        <v>4125050000</v>
      </c>
      <c r="H1288">
        <v>0</v>
      </c>
      <c r="I1288">
        <v>0</v>
      </c>
      <c r="K1288" s="11">
        <f t="shared" si="20"/>
        <v>-2.5300521932207776E-3</v>
      </c>
    </row>
    <row r="1289" spans="1:11" x14ac:dyDescent="0.2">
      <c r="A1289" s="2">
        <v>44334</v>
      </c>
      <c r="B1289">
        <v>4165.93994140625</v>
      </c>
      <c r="C1289">
        <v>4169.14990234375</v>
      </c>
      <c r="D1289">
        <v>4125.990234375</v>
      </c>
      <c r="E1289">
        <v>4127.830078125</v>
      </c>
      <c r="F1289">
        <v>4127.830078125</v>
      </c>
      <c r="G1289">
        <v>4398150000</v>
      </c>
      <c r="H1289">
        <v>0</v>
      </c>
      <c r="I1289">
        <v>0</v>
      </c>
      <c r="K1289" s="11">
        <f t="shared" si="20"/>
        <v>-8.5172929593646529E-3</v>
      </c>
    </row>
    <row r="1290" spans="1:11" x14ac:dyDescent="0.2">
      <c r="A1290" s="2">
        <v>44335</v>
      </c>
      <c r="B1290">
        <v>4098.4501953125</v>
      </c>
      <c r="C1290">
        <v>4116.93017578125</v>
      </c>
      <c r="D1290">
        <v>4061.409912109375</v>
      </c>
      <c r="E1290">
        <v>4115.68017578125</v>
      </c>
      <c r="F1290">
        <v>4115.68017578125</v>
      </c>
      <c r="G1290">
        <v>4247450000</v>
      </c>
      <c r="H1290">
        <v>0</v>
      </c>
      <c r="I1290">
        <v>0</v>
      </c>
      <c r="K1290" s="11">
        <f t="shared" si="20"/>
        <v>-2.9434114568177572E-3</v>
      </c>
    </row>
    <row r="1291" spans="1:11" x14ac:dyDescent="0.2">
      <c r="A1291" s="2">
        <v>44336</v>
      </c>
      <c r="B1291">
        <v>4121.97021484375</v>
      </c>
      <c r="C1291">
        <v>4172.7998046875</v>
      </c>
      <c r="D1291">
        <v>4121.97021484375</v>
      </c>
      <c r="E1291">
        <v>4159.1201171875</v>
      </c>
      <c r="F1291">
        <v>4159.1201171875</v>
      </c>
      <c r="G1291">
        <v>3978880000</v>
      </c>
      <c r="H1291">
        <v>0</v>
      </c>
      <c r="I1291">
        <v>0</v>
      </c>
      <c r="K1291" s="11">
        <f t="shared" si="20"/>
        <v>1.0554741756143349E-2</v>
      </c>
    </row>
    <row r="1292" spans="1:11" x14ac:dyDescent="0.2">
      <c r="A1292" s="2">
        <v>44337</v>
      </c>
      <c r="B1292">
        <v>4168.60986328125</v>
      </c>
      <c r="C1292">
        <v>4188.72021484375</v>
      </c>
      <c r="D1292">
        <v>4151.72021484375</v>
      </c>
      <c r="E1292">
        <v>4155.85986328125</v>
      </c>
      <c r="F1292">
        <v>4155.85986328125</v>
      </c>
      <c r="G1292">
        <v>3995250000</v>
      </c>
      <c r="H1292">
        <v>0</v>
      </c>
      <c r="I1292">
        <v>0</v>
      </c>
      <c r="K1292" s="11">
        <f t="shared" si="20"/>
        <v>-7.8388068014123569E-4</v>
      </c>
    </row>
    <row r="1293" spans="1:11" x14ac:dyDescent="0.2">
      <c r="A1293" s="2">
        <v>44340</v>
      </c>
      <c r="B1293">
        <v>4170.16015625</v>
      </c>
      <c r="C1293">
        <v>4209.52001953125</v>
      </c>
      <c r="D1293">
        <v>4170.16015625</v>
      </c>
      <c r="E1293">
        <v>4197.0498046875</v>
      </c>
      <c r="F1293">
        <v>4197.0498046875</v>
      </c>
      <c r="G1293">
        <v>3684800000</v>
      </c>
      <c r="H1293">
        <v>0</v>
      </c>
      <c r="I1293">
        <v>0</v>
      </c>
      <c r="K1293" s="11">
        <f t="shared" si="20"/>
        <v>9.911292190138532E-3</v>
      </c>
    </row>
    <row r="1294" spans="1:11" x14ac:dyDescent="0.2">
      <c r="A1294" s="2">
        <v>44341</v>
      </c>
      <c r="B1294">
        <v>4205.93994140625</v>
      </c>
      <c r="C1294">
        <v>4213.419921875</v>
      </c>
      <c r="D1294">
        <v>4182.52001953125</v>
      </c>
      <c r="E1294">
        <v>4188.1298828125</v>
      </c>
      <c r="F1294">
        <v>4188.1298828125</v>
      </c>
      <c r="G1294">
        <v>4182250000</v>
      </c>
      <c r="H1294">
        <v>0</v>
      </c>
      <c r="I1294">
        <v>0</v>
      </c>
      <c r="K1294" s="11">
        <f t="shared" si="20"/>
        <v>-2.1252837802967495E-3</v>
      </c>
    </row>
    <row r="1295" spans="1:11" x14ac:dyDescent="0.2">
      <c r="A1295" s="2">
        <v>44342</v>
      </c>
      <c r="B1295">
        <v>4191.58984375</v>
      </c>
      <c r="C1295">
        <v>4202.60986328125</v>
      </c>
      <c r="D1295">
        <v>4184.10986328125</v>
      </c>
      <c r="E1295">
        <v>4195.990234375</v>
      </c>
      <c r="F1295">
        <v>4195.990234375</v>
      </c>
      <c r="G1295">
        <v>4420890000</v>
      </c>
      <c r="H1295">
        <v>0</v>
      </c>
      <c r="I1295">
        <v>0</v>
      </c>
      <c r="K1295" s="11">
        <f t="shared" si="20"/>
        <v>1.8768165702687245E-3</v>
      </c>
    </row>
    <row r="1296" spans="1:11" x14ac:dyDescent="0.2">
      <c r="A1296" s="2">
        <v>44343</v>
      </c>
      <c r="B1296">
        <v>4201.93994140625</v>
      </c>
      <c r="C1296">
        <v>4213.3798828125</v>
      </c>
      <c r="D1296">
        <v>4197.77978515625</v>
      </c>
      <c r="E1296">
        <v>4200.8798828125</v>
      </c>
      <c r="F1296">
        <v>4200.8798828125</v>
      </c>
      <c r="G1296">
        <v>6406310000</v>
      </c>
      <c r="H1296">
        <v>0</v>
      </c>
      <c r="I1296">
        <v>0</v>
      </c>
      <c r="K1296" s="11">
        <f t="shared" si="20"/>
        <v>1.1653145418315525E-3</v>
      </c>
    </row>
    <row r="1297" spans="1:11" x14ac:dyDescent="0.2">
      <c r="A1297" s="2">
        <v>44344</v>
      </c>
      <c r="B1297">
        <v>4210.77001953125</v>
      </c>
      <c r="C1297">
        <v>4218.35986328125</v>
      </c>
      <c r="D1297">
        <v>4203.56982421875</v>
      </c>
      <c r="E1297">
        <v>4204.10986328125</v>
      </c>
      <c r="F1297">
        <v>4204.10986328125</v>
      </c>
      <c r="G1297">
        <v>4649250000</v>
      </c>
      <c r="H1297">
        <v>0</v>
      </c>
      <c r="I1297">
        <v>0</v>
      </c>
      <c r="K1297" s="11">
        <f t="shared" si="20"/>
        <v>7.6888189114021621E-4</v>
      </c>
    </row>
    <row r="1298" spans="1:11" x14ac:dyDescent="0.2">
      <c r="A1298" s="2">
        <v>44348</v>
      </c>
      <c r="B1298">
        <v>4216.52001953125</v>
      </c>
      <c r="C1298">
        <v>4234.1201171875</v>
      </c>
      <c r="D1298">
        <v>4197.58984375</v>
      </c>
      <c r="E1298">
        <v>4202.0400390625</v>
      </c>
      <c r="F1298">
        <v>4202.0400390625</v>
      </c>
      <c r="G1298">
        <v>5074670000</v>
      </c>
      <c r="H1298">
        <v>0</v>
      </c>
      <c r="I1298">
        <v>0</v>
      </c>
      <c r="K1298" s="11">
        <f t="shared" si="20"/>
        <v>-4.9233352268640562E-4</v>
      </c>
    </row>
    <row r="1299" spans="1:11" x14ac:dyDescent="0.2">
      <c r="A1299" s="2">
        <v>44349</v>
      </c>
      <c r="B1299">
        <v>4206.81982421875</v>
      </c>
      <c r="C1299">
        <v>4217.3701171875</v>
      </c>
      <c r="D1299">
        <v>4198.27001953125</v>
      </c>
      <c r="E1299">
        <v>4208.1201171875</v>
      </c>
      <c r="F1299">
        <v>4208.1201171875</v>
      </c>
      <c r="G1299">
        <v>5833670000</v>
      </c>
      <c r="H1299">
        <v>0</v>
      </c>
      <c r="I1299">
        <v>0</v>
      </c>
      <c r="K1299" s="11">
        <f t="shared" si="20"/>
        <v>1.4469348384307246E-3</v>
      </c>
    </row>
    <row r="1300" spans="1:11" x14ac:dyDescent="0.2">
      <c r="A1300" s="2">
        <v>44350</v>
      </c>
      <c r="B1300">
        <v>4191.43017578125</v>
      </c>
      <c r="C1300">
        <v>4204.39013671875</v>
      </c>
      <c r="D1300">
        <v>4167.93017578125</v>
      </c>
      <c r="E1300">
        <v>4192.85009765625</v>
      </c>
      <c r="F1300">
        <v>4192.85009765625</v>
      </c>
      <c r="G1300">
        <v>5587970000</v>
      </c>
      <c r="H1300">
        <v>0</v>
      </c>
      <c r="I1300">
        <v>0</v>
      </c>
      <c r="K1300" s="11">
        <f t="shared" si="20"/>
        <v>-3.6287033416374515E-3</v>
      </c>
    </row>
    <row r="1301" spans="1:11" x14ac:dyDescent="0.2">
      <c r="A1301" s="2">
        <v>44351</v>
      </c>
      <c r="B1301">
        <v>4206.0498046875</v>
      </c>
      <c r="C1301">
        <v>4233.4501953125</v>
      </c>
      <c r="D1301">
        <v>4206.0498046875</v>
      </c>
      <c r="E1301">
        <v>4229.89013671875</v>
      </c>
      <c r="F1301">
        <v>4229.89013671875</v>
      </c>
      <c r="G1301">
        <v>4139790000</v>
      </c>
      <c r="H1301">
        <v>0</v>
      </c>
      <c r="I1301">
        <v>0</v>
      </c>
      <c r="K1301" s="11">
        <f t="shared" si="20"/>
        <v>8.8340957105059736E-3</v>
      </c>
    </row>
    <row r="1302" spans="1:11" x14ac:dyDescent="0.2">
      <c r="A1302" s="2">
        <v>44354</v>
      </c>
      <c r="B1302">
        <v>4229.33984375</v>
      </c>
      <c r="C1302">
        <v>4232.33984375</v>
      </c>
      <c r="D1302">
        <v>4215.66015625</v>
      </c>
      <c r="E1302">
        <v>4226.52001953125</v>
      </c>
      <c r="F1302">
        <v>4226.52001953125</v>
      </c>
      <c r="G1302">
        <v>4476920000</v>
      </c>
      <c r="H1302">
        <v>0</v>
      </c>
      <c r="I1302">
        <v>0</v>
      </c>
      <c r="K1302" s="11">
        <f t="shared" si="20"/>
        <v>-7.9673870445118311E-4</v>
      </c>
    </row>
    <row r="1303" spans="1:11" x14ac:dyDescent="0.2">
      <c r="A1303" s="2">
        <v>44355</v>
      </c>
      <c r="B1303">
        <v>4233.81005859375</v>
      </c>
      <c r="C1303">
        <v>4236.740234375</v>
      </c>
      <c r="D1303">
        <v>4208.41015625</v>
      </c>
      <c r="E1303">
        <v>4227.259765625</v>
      </c>
      <c r="F1303">
        <v>4227.259765625</v>
      </c>
      <c r="G1303">
        <v>4659620000</v>
      </c>
      <c r="H1303">
        <v>0</v>
      </c>
      <c r="I1303">
        <v>0</v>
      </c>
      <c r="K1303" s="11">
        <f t="shared" si="20"/>
        <v>1.7502486450582388E-4</v>
      </c>
    </row>
    <row r="1304" spans="1:11" x14ac:dyDescent="0.2">
      <c r="A1304" s="2">
        <v>44356</v>
      </c>
      <c r="B1304">
        <v>4232.990234375</v>
      </c>
      <c r="C1304">
        <v>4237.08984375</v>
      </c>
      <c r="D1304">
        <v>4218.740234375</v>
      </c>
      <c r="E1304">
        <v>4219.5498046875</v>
      </c>
      <c r="F1304">
        <v>4219.5498046875</v>
      </c>
      <c r="G1304">
        <v>4713260000</v>
      </c>
      <c r="H1304">
        <v>0</v>
      </c>
      <c r="I1304">
        <v>0</v>
      </c>
      <c r="K1304" s="11">
        <f t="shared" si="20"/>
        <v>-1.8238673194856947E-3</v>
      </c>
    </row>
    <row r="1305" spans="1:11" x14ac:dyDescent="0.2">
      <c r="A1305" s="2">
        <v>44357</v>
      </c>
      <c r="B1305">
        <v>4228.56005859375</v>
      </c>
      <c r="C1305">
        <v>4249.740234375</v>
      </c>
      <c r="D1305">
        <v>4220.33984375</v>
      </c>
      <c r="E1305">
        <v>4239.18017578125</v>
      </c>
      <c r="F1305">
        <v>4239.18017578125</v>
      </c>
      <c r="G1305">
        <v>4408210000</v>
      </c>
      <c r="H1305">
        <v>0</v>
      </c>
      <c r="I1305">
        <v>0</v>
      </c>
      <c r="K1305" s="11">
        <f t="shared" si="20"/>
        <v>4.6522430122621916E-3</v>
      </c>
    </row>
    <row r="1306" spans="1:11" x14ac:dyDescent="0.2">
      <c r="A1306" s="2">
        <v>44358</v>
      </c>
      <c r="B1306">
        <v>4242.89990234375</v>
      </c>
      <c r="C1306">
        <v>4248.3798828125</v>
      </c>
      <c r="D1306">
        <v>4232.25</v>
      </c>
      <c r="E1306">
        <v>4247.43994140625</v>
      </c>
      <c r="F1306">
        <v>4247.43994140625</v>
      </c>
      <c r="G1306">
        <v>3815010000</v>
      </c>
      <c r="H1306">
        <v>0</v>
      </c>
      <c r="I1306">
        <v>0</v>
      </c>
      <c r="K1306" s="11">
        <f t="shared" si="20"/>
        <v>1.9484346695590737E-3</v>
      </c>
    </row>
    <row r="1307" spans="1:11" x14ac:dyDescent="0.2">
      <c r="A1307" s="2">
        <v>44361</v>
      </c>
      <c r="B1307">
        <v>4248.31005859375</v>
      </c>
      <c r="C1307">
        <v>4255.58984375</v>
      </c>
      <c r="D1307">
        <v>4234.06982421875</v>
      </c>
      <c r="E1307">
        <v>4255.14990234375</v>
      </c>
      <c r="F1307">
        <v>4255.14990234375</v>
      </c>
      <c r="G1307">
        <v>4151200000</v>
      </c>
      <c r="H1307">
        <v>0</v>
      </c>
      <c r="I1307">
        <v>0</v>
      </c>
      <c r="K1307" s="11">
        <f t="shared" si="20"/>
        <v>1.8152018730952513E-3</v>
      </c>
    </row>
    <row r="1308" spans="1:11" x14ac:dyDescent="0.2">
      <c r="A1308" s="2">
        <v>44362</v>
      </c>
      <c r="B1308">
        <v>4255.27978515625</v>
      </c>
      <c r="C1308">
        <v>4257.16015625</v>
      </c>
      <c r="D1308">
        <v>4238.35009765625</v>
      </c>
      <c r="E1308">
        <v>4246.58984375</v>
      </c>
      <c r="F1308">
        <v>4246.58984375</v>
      </c>
      <c r="G1308">
        <v>4048940000</v>
      </c>
      <c r="H1308">
        <v>0</v>
      </c>
      <c r="I1308">
        <v>0</v>
      </c>
      <c r="K1308" s="11">
        <f t="shared" si="20"/>
        <v>-2.0116937805257917E-3</v>
      </c>
    </row>
    <row r="1309" spans="1:11" x14ac:dyDescent="0.2">
      <c r="A1309" s="2">
        <v>44363</v>
      </c>
      <c r="B1309">
        <v>4248.8701171875</v>
      </c>
      <c r="C1309">
        <v>4251.89013671875</v>
      </c>
      <c r="D1309">
        <v>4202.4501953125</v>
      </c>
      <c r="E1309">
        <v>4223.7001953125</v>
      </c>
      <c r="F1309">
        <v>4223.7001953125</v>
      </c>
      <c r="G1309">
        <v>4538350000</v>
      </c>
      <c r="H1309">
        <v>0</v>
      </c>
      <c r="I1309">
        <v>0</v>
      </c>
      <c r="K1309" s="11">
        <f t="shared" si="20"/>
        <v>-5.3901246128557068E-3</v>
      </c>
    </row>
    <row r="1310" spans="1:11" x14ac:dyDescent="0.2">
      <c r="A1310" s="2">
        <v>44364</v>
      </c>
      <c r="B1310">
        <v>4220.3701171875</v>
      </c>
      <c r="C1310">
        <v>4232.2900390625</v>
      </c>
      <c r="D1310">
        <v>4196.0498046875</v>
      </c>
      <c r="E1310">
        <v>4221.85986328125</v>
      </c>
      <c r="F1310">
        <v>4221.85986328125</v>
      </c>
      <c r="G1310">
        <v>5312680000</v>
      </c>
      <c r="H1310">
        <v>0</v>
      </c>
      <c r="I1310">
        <v>0</v>
      </c>
      <c r="K1310" s="11">
        <f t="shared" si="20"/>
        <v>-4.3571559205179966E-4</v>
      </c>
    </row>
    <row r="1311" spans="1:11" x14ac:dyDescent="0.2">
      <c r="A1311" s="2">
        <v>44365</v>
      </c>
      <c r="B1311">
        <v>4204.77978515625</v>
      </c>
      <c r="C1311">
        <v>4204.77978515625</v>
      </c>
      <c r="D1311">
        <v>4164.39990234375</v>
      </c>
      <c r="E1311">
        <v>4166.4501953125</v>
      </c>
      <c r="F1311">
        <v>4166.4501953125</v>
      </c>
      <c r="G1311">
        <v>6817010000</v>
      </c>
      <c r="H1311">
        <v>0</v>
      </c>
      <c r="I1311">
        <v>0</v>
      </c>
      <c r="K1311" s="11">
        <f t="shared" si="20"/>
        <v>-1.3124468779900589E-2</v>
      </c>
    </row>
    <row r="1312" spans="1:11" x14ac:dyDescent="0.2">
      <c r="A1312" s="2">
        <v>44368</v>
      </c>
      <c r="B1312">
        <v>4173.39990234375</v>
      </c>
      <c r="C1312">
        <v>4226.240234375</v>
      </c>
      <c r="D1312">
        <v>4173.39990234375</v>
      </c>
      <c r="E1312">
        <v>4224.7900390625</v>
      </c>
      <c r="F1312">
        <v>4224.7900390625</v>
      </c>
      <c r="G1312">
        <v>4128950000</v>
      </c>
      <c r="H1312">
        <v>0</v>
      </c>
      <c r="I1312">
        <v>0</v>
      </c>
      <c r="K1312" s="11">
        <f t="shared" si="20"/>
        <v>1.4002289962720793E-2</v>
      </c>
    </row>
    <row r="1313" spans="1:11" x14ac:dyDescent="0.2">
      <c r="A1313" s="2">
        <v>44369</v>
      </c>
      <c r="B1313">
        <v>4224.60986328125</v>
      </c>
      <c r="C1313">
        <v>4255.83984375</v>
      </c>
      <c r="D1313">
        <v>4217.27001953125</v>
      </c>
      <c r="E1313">
        <v>4246.43994140625</v>
      </c>
      <c r="F1313">
        <v>4246.43994140625</v>
      </c>
      <c r="G1313">
        <v>3828390000</v>
      </c>
      <c r="H1313">
        <v>0</v>
      </c>
      <c r="I1313">
        <v>0</v>
      </c>
      <c r="K1313" s="11">
        <f t="shared" si="20"/>
        <v>5.1244919022186419E-3</v>
      </c>
    </row>
    <row r="1314" spans="1:11" x14ac:dyDescent="0.2">
      <c r="A1314" s="2">
        <v>44370</v>
      </c>
      <c r="B1314">
        <v>4249.27001953125</v>
      </c>
      <c r="C1314">
        <v>4256.60009765625</v>
      </c>
      <c r="D1314">
        <v>4241.43017578125</v>
      </c>
      <c r="E1314">
        <v>4241.83984375</v>
      </c>
      <c r="F1314">
        <v>4241.83984375</v>
      </c>
      <c r="G1314">
        <v>3730350000</v>
      </c>
      <c r="H1314">
        <v>0</v>
      </c>
      <c r="I1314">
        <v>0</v>
      </c>
      <c r="K1314" s="11">
        <f t="shared" si="20"/>
        <v>-1.0832833431588806E-3</v>
      </c>
    </row>
    <row r="1315" spans="1:11" x14ac:dyDescent="0.2">
      <c r="A1315" s="2">
        <v>44371</v>
      </c>
      <c r="B1315">
        <v>4256.97021484375</v>
      </c>
      <c r="C1315">
        <v>4271.27978515625</v>
      </c>
      <c r="D1315">
        <v>4256.97021484375</v>
      </c>
      <c r="E1315">
        <v>4266.490234375</v>
      </c>
      <c r="F1315">
        <v>4266.490234375</v>
      </c>
      <c r="G1315">
        <v>3816660000</v>
      </c>
      <c r="H1315">
        <v>0</v>
      </c>
      <c r="I1315">
        <v>0</v>
      </c>
      <c r="K1315" s="11">
        <f t="shared" si="20"/>
        <v>5.8112497248854478E-3</v>
      </c>
    </row>
    <row r="1316" spans="1:11" x14ac:dyDescent="0.2">
      <c r="A1316" s="2">
        <v>44372</v>
      </c>
      <c r="B1316">
        <v>4274.4501953125</v>
      </c>
      <c r="C1316">
        <v>4286.1201171875</v>
      </c>
      <c r="D1316">
        <v>4271.16015625</v>
      </c>
      <c r="E1316">
        <v>4280.7001953125</v>
      </c>
      <c r="F1316">
        <v>4280.7001953125</v>
      </c>
      <c r="G1316">
        <v>7341450000</v>
      </c>
      <c r="H1316">
        <v>0</v>
      </c>
      <c r="I1316">
        <v>0</v>
      </c>
      <c r="K1316" s="11">
        <f t="shared" si="20"/>
        <v>3.3305973193167304E-3</v>
      </c>
    </row>
    <row r="1317" spans="1:11" x14ac:dyDescent="0.2">
      <c r="A1317" s="2">
        <v>44375</v>
      </c>
      <c r="B1317">
        <v>4284.89990234375</v>
      </c>
      <c r="C1317">
        <v>4292.14013671875</v>
      </c>
      <c r="D1317">
        <v>4274.669921875</v>
      </c>
      <c r="E1317">
        <v>4290.60986328125</v>
      </c>
      <c r="F1317">
        <v>4290.60986328125</v>
      </c>
      <c r="G1317">
        <v>4147890000</v>
      </c>
      <c r="H1317">
        <v>0</v>
      </c>
      <c r="I1317">
        <v>0</v>
      </c>
      <c r="K1317" s="11">
        <f t="shared" si="20"/>
        <v>2.3149642620619026E-3</v>
      </c>
    </row>
    <row r="1318" spans="1:11" x14ac:dyDescent="0.2">
      <c r="A1318" s="2">
        <v>44376</v>
      </c>
      <c r="B1318">
        <v>4293.2099609375</v>
      </c>
      <c r="C1318">
        <v>4300.52001953125</v>
      </c>
      <c r="D1318">
        <v>4287.0400390625</v>
      </c>
      <c r="E1318">
        <v>4291.7998046875</v>
      </c>
      <c r="F1318">
        <v>4291.7998046875</v>
      </c>
      <c r="G1318">
        <v>3707150000</v>
      </c>
      <c r="H1318">
        <v>0</v>
      </c>
      <c r="I1318">
        <v>0</v>
      </c>
      <c r="K1318" s="11">
        <f t="shared" si="20"/>
        <v>2.7733619326086867E-4</v>
      </c>
    </row>
    <row r="1319" spans="1:11" x14ac:dyDescent="0.2">
      <c r="A1319" s="2">
        <v>44377</v>
      </c>
      <c r="B1319">
        <v>4290.64990234375</v>
      </c>
      <c r="C1319">
        <v>4302.43017578125</v>
      </c>
      <c r="D1319">
        <v>4287.9599609375</v>
      </c>
      <c r="E1319">
        <v>4297.5</v>
      </c>
      <c r="F1319">
        <v>4297.5</v>
      </c>
      <c r="G1319">
        <v>4266040000</v>
      </c>
      <c r="H1319">
        <v>0</v>
      </c>
      <c r="I1319">
        <v>0</v>
      </c>
      <c r="K1319" s="11">
        <f t="shared" si="20"/>
        <v>1.3281596467464851E-3</v>
      </c>
    </row>
    <row r="1320" spans="1:11" x14ac:dyDescent="0.2">
      <c r="A1320" s="2">
        <v>44378</v>
      </c>
      <c r="B1320">
        <v>4300.72998046875</v>
      </c>
      <c r="C1320">
        <v>4320.66015625</v>
      </c>
      <c r="D1320">
        <v>4300.72998046875</v>
      </c>
      <c r="E1320">
        <v>4319.93994140625</v>
      </c>
      <c r="F1320">
        <v>4319.93994140625</v>
      </c>
      <c r="G1320">
        <v>3788230000</v>
      </c>
      <c r="H1320">
        <v>0</v>
      </c>
      <c r="I1320">
        <v>0</v>
      </c>
      <c r="K1320" s="11">
        <f t="shared" si="20"/>
        <v>5.2216268542757405E-3</v>
      </c>
    </row>
    <row r="1321" spans="1:11" x14ac:dyDescent="0.2">
      <c r="A1321" s="2">
        <v>44379</v>
      </c>
      <c r="B1321">
        <v>4326.60009765625</v>
      </c>
      <c r="C1321">
        <v>4355.43017578125</v>
      </c>
      <c r="D1321">
        <v>4326.60009765625</v>
      </c>
      <c r="E1321">
        <v>4352.33984375</v>
      </c>
      <c r="F1321">
        <v>4352.33984375</v>
      </c>
      <c r="G1321">
        <v>3225840000</v>
      </c>
      <c r="H1321">
        <v>0</v>
      </c>
      <c r="I1321">
        <v>0</v>
      </c>
      <c r="K1321" s="11">
        <f t="shared" si="20"/>
        <v>7.5000816639139156E-3</v>
      </c>
    </row>
    <row r="1322" spans="1:11" x14ac:dyDescent="0.2">
      <c r="A1322" s="2">
        <v>44383</v>
      </c>
      <c r="B1322">
        <v>4356.4599609375</v>
      </c>
      <c r="C1322">
        <v>4356.4599609375</v>
      </c>
      <c r="D1322">
        <v>4314.3701171875</v>
      </c>
      <c r="E1322">
        <v>4343.5400390625</v>
      </c>
      <c r="F1322">
        <v>4343.5400390625</v>
      </c>
      <c r="G1322">
        <v>4309570000</v>
      </c>
      <c r="H1322">
        <v>0</v>
      </c>
      <c r="I1322">
        <v>0</v>
      </c>
      <c r="K1322" s="11">
        <f t="shared" si="20"/>
        <v>-2.0218560598241897E-3</v>
      </c>
    </row>
    <row r="1323" spans="1:11" x14ac:dyDescent="0.2">
      <c r="A1323" s="2">
        <v>44384</v>
      </c>
      <c r="B1323">
        <v>4351.009765625</v>
      </c>
      <c r="C1323">
        <v>4361.8798828125</v>
      </c>
      <c r="D1323">
        <v>4329.7900390625</v>
      </c>
      <c r="E1323">
        <v>4358.1298828125</v>
      </c>
      <c r="F1323">
        <v>4358.1298828125</v>
      </c>
      <c r="G1323">
        <v>4037380000</v>
      </c>
      <c r="H1323">
        <v>0</v>
      </c>
      <c r="I1323">
        <v>0</v>
      </c>
      <c r="K1323" s="11">
        <f t="shared" si="20"/>
        <v>3.3589753101825881E-3</v>
      </c>
    </row>
    <row r="1324" spans="1:11" x14ac:dyDescent="0.2">
      <c r="A1324" s="2">
        <v>44385</v>
      </c>
      <c r="B1324">
        <v>4321.06982421875</v>
      </c>
      <c r="C1324">
        <v>4330.8798828125</v>
      </c>
      <c r="D1324">
        <v>4289.3701171875</v>
      </c>
      <c r="E1324">
        <v>4320.81982421875</v>
      </c>
      <c r="F1324">
        <v>4320.81982421875</v>
      </c>
      <c r="G1324">
        <v>4347500000</v>
      </c>
      <c r="H1324">
        <v>0</v>
      </c>
      <c r="I1324">
        <v>0</v>
      </c>
      <c r="K1324" s="11">
        <f t="shared" si="20"/>
        <v>-8.5610249343169853E-3</v>
      </c>
    </row>
    <row r="1325" spans="1:11" x14ac:dyDescent="0.2">
      <c r="A1325" s="2">
        <v>44386</v>
      </c>
      <c r="B1325">
        <v>4329.3798828125</v>
      </c>
      <c r="C1325">
        <v>4371.60009765625</v>
      </c>
      <c r="D1325">
        <v>4329.3798828125</v>
      </c>
      <c r="E1325">
        <v>4369.5498046875</v>
      </c>
      <c r="F1325">
        <v>4369.5498046875</v>
      </c>
      <c r="G1325">
        <v>3531120000</v>
      </c>
      <c r="H1325">
        <v>0</v>
      </c>
      <c r="I1325">
        <v>0</v>
      </c>
      <c r="K1325" s="11">
        <f t="shared" si="20"/>
        <v>1.1277947808795874E-2</v>
      </c>
    </row>
    <row r="1326" spans="1:11" x14ac:dyDescent="0.2">
      <c r="A1326" s="2">
        <v>44389</v>
      </c>
      <c r="B1326">
        <v>4372.41015625</v>
      </c>
      <c r="C1326">
        <v>4386.68017578125</v>
      </c>
      <c r="D1326">
        <v>4364.02978515625</v>
      </c>
      <c r="E1326">
        <v>4384.6298828125</v>
      </c>
      <c r="F1326">
        <v>4384.6298828125</v>
      </c>
      <c r="G1326">
        <v>3384460000</v>
      </c>
      <c r="H1326">
        <v>0</v>
      </c>
      <c r="I1326">
        <v>0</v>
      </c>
      <c r="K1326" s="11">
        <f t="shared" si="20"/>
        <v>3.4511743312370946E-3</v>
      </c>
    </row>
    <row r="1327" spans="1:11" x14ac:dyDescent="0.2">
      <c r="A1327" s="2">
        <v>44390</v>
      </c>
      <c r="B1327">
        <v>4381.06982421875</v>
      </c>
      <c r="C1327">
        <v>4392.3701171875</v>
      </c>
      <c r="D1327">
        <v>4366.919921875</v>
      </c>
      <c r="E1327">
        <v>4369.2099609375</v>
      </c>
      <c r="F1327">
        <v>4369.2099609375</v>
      </c>
      <c r="G1327">
        <v>3695430000</v>
      </c>
      <c r="H1327">
        <v>0</v>
      </c>
      <c r="I1327">
        <v>0</v>
      </c>
      <c r="K1327" s="11">
        <f t="shared" si="20"/>
        <v>-3.5168126585656267E-3</v>
      </c>
    </row>
    <row r="1328" spans="1:11" x14ac:dyDescent="0.2">
      <c r="A1328" s="2">
        <v>44391</v>
      </c>
      <c r="B1328">
        <v>4380.10986328125</v>
      </c>
      <c r="C1328">
        <v>4393.68017578125</v>
      </c>
      <c r="D1328">
        <v>4362.35986328125</v>
      </c>
      <c r="E1328">
        <v>4374.2998046875</v>
      </c>
      <c r="F1328">
        <v>4374.2998046875</v>
      </c>
      <c r="G1328">
        <v>4006370000</v>
      </c>
      <c r="H1328">
        <v>0</v>
      </c>
      <c r="I1328">
        <v>0</v>
      </c>
      <c r="K1328" s="11">
        <f t="shared" si="20"/>
        <v>1.1649345752446916E-3</v>
      </c>
    </row>
    <row r="1329" spans="1:11" x14ac:dyDescent="0.2">
      <c r="A1329" s="2">
        <v>44392</v>
      </c>
      <c r="B1329">
        <v>4369.02001953125</v>
      </c>
      <c r="C1329">
        <v>4369.02001953125</v>
      </c>
      <c r="D1329">
        <v>4340.7001953125</v>
      </c>
      <c r="E1329">
        <v>4360.02978515625</v>
      </c>
      <c r="F1329">
        <v>4360.02978515625</v>
      </c>
      <c r="G1329">
        <v>3905230000</v>
      </c>
      <c r="H1329">
        <v>0</v>
      </c>
      <c r="I1329">
        <v>0</v>
      </c>
      <c r="K1329" s="11">
        <f t="shared" si="20"/>
        <v>-3.2622408541723713E-3</v>
      </c>
    </row>
    <row r="1330" spans="1:11" x14ac:dyDescent="0.2">
      <c r="A1330" s="2">
        <v>44393</v>
      </c>
      <c r="B1330">
        <v>4367.43017578125</v>
      </c>
      <c r="C1330">
        <v>4375.08984375</v>
      </c>
      <c r="D1330">
        <v>4322.52978515625</v>
      </c>
      <c r="E1330">
        <v>4327.16015625</v>
      </c>
      <c r="F1330">
        <v>4327.16015625</v>
      </c>
      <c r="G1330">
        <v>3985700000</v>
      </c>
      <c r="H1330">
        <v>0</v>
      </c>
      <c r="I1330">
        <v>0</v>
      </c>
      <c r="K1330" s="11">
        <f t="shared" si="20"/>
        <v>-7.5388542110778056E-3</v>
      </c>
    </row>
    <row r="1331" spans="1:11" x14ac:dyDescent="0.2">
      <c r="A1331" s="2">
        <v>44396</v>
      </c>
      <c r="B1331">
        <v>4296.39990234375</v>
      </c>
      <c r="C1331">
        <v>4296.39990234375</v>
      </c>
      <c r="D1331">
        <v>4233.1298828125</v>
      </c>
      <c r="E1331">
        <v>4258.490234375</v>
      </c>
      <c r="F1331">
        <v>4258.490234375</v>
      </c>
      <c r="G1331">
        <v>5157660000</v>
      </c>
      <c r="H1331">
        <v>0</v>
      </c>
      <c r="I1331">
        <v>0</v>
      </c>
      <c r="K1331" s="11">
        <f t="shared" si="20"/>
        <v>-1.5869512427409305E-2</v>
      </c>
    </row>
    <row r="1332" spans="1:11" x14ac:dyDescent="0.2">
      <c r="A1332" s="2">
        <v>44397</v>
      </c>
      <c r="B1332">
        <v>4265.10986328125</v>
      </c>
      <c r="C1332">
        <v>4336.83984375</v>
      </c>
      <c r="D1332">
        <v>4262.0498046875</v>
      </c>
      <c r="E1332">
        <v>4323.06005859375</v>
      </c>
      <c r="F1332">
        <v>4323.06005859375</v>
      </c>
      <c r="G1332">
        <v>4438270000</v>
      </c>
      <c r="H1332">
        <v>0</v>
      </c>
      <c r="I1332">
        <v>0</v>
      </c>
      <c r="K1332" s="11">
        <f t="shared" si="20"/>
        <v>1.5162609437855634E-2</v>
      </c>
    </row>
    <row r="1333" spans="1:11" x14ac:dyDescent="0.2">
      <c r="A1333" s="2">
        <v>44398</v>
      </c>
      <c r="B1333">
        <v>4331.1298828125</v>
      </c>
      <c r="C1333">
        <v>4359.7001953125</v>
      </c>
      <c r="D1333">
        <v>4331.1298828125</v>
      </c>
      <c r="E1333">
        <v>4358.68994140625</v>
      </c>
      <c r="F1333">
        <v>4358.68994140625</v>
      </c>
      <c r="G1333">
        <v>3810280000</v>
      </c>
      <c r="H1333">
        <v>0</v>
      </c>
      <c r="I1333">
        <v>0</v>
      </c>
      <c r="K1333" s="11">
        <f t="shared" si="20"/>
        <v>8.2418199908353973E-3</v>
      </c>
    </row>
    <row r="1334" spans="1:11" x14ac:dyDescent="0.2">
      <c r="A1334" s="2">
        <v>44399</v>
      </c>
      <c r="B1334">
        <v>4361.27001953125</v>
      </c>
      <c r="C1334">
        <v>4369.8701171875</v>
      </c>
      <c r="D1334">
        <v>4350.06005859375</v>
      </c>
      <c r="E1334">
        <v>4367.47998046875</v>
      </c>
      <c r="F1334">
        <v>4367.47998046875</v>
      </c>
      <c r="G1334">
        <v>3358300000</v>
      </c>
      <c r="H1334">
        <v>0</v>
      </c>
      <c r="I1334">
        <v>0</v>
      </c>
      <c r="K1334" s="11">
        <f t="shared" si="20"/>
        <v>2.0166699583279435E-3</v>
      </c>
    </row>
    <row r="1335" spans="1:11" x14ac:dyDescent="0.2">
      <c r="A1335" s="2">
        <v>44400</v>
      </c>
      <c r="B1335">
        <v>4381.2001953125</v>
      </c>
      <c r="C1335">
        <v>4415.18017578125</v>
      </c>
      <c r="D1335">
        <v>4381.2001953125</v>
      </c>
      <c r="E1335">
        <v>4411.7900390625</v>
      </c>
      <c r="F1335">
        <v>4411.7900390625</v>
      </c>
      <c r="G1335">
        <v>4540070000</v>
      </c>
      <c r="H1335">
        <v>0</v>
      </c>
      <c r="I1335">
        <v>0</v>
      </c>
      <c r="K1335" s="11">
        <f t="shared" si="20"/>
        <v>1.0145452020822843E-2</v>
      </c>
    </row>
    <row r="1336" spans="1:11" x14ac:dyDescent="0.2">
      <c r="A1336" s="2">
        <v>44403</v>
      </c>
      <c r="B1336">
        <v>4409.580078125</v>
      </c>
      <c r="C1336">
        <v>4422.72998046875</v>
      </c>
      <c r="D1336">
        <v>4405.4501953125</v>
      </c>
      <c r="E1336">
        <v>4422.2998046875</v>
      </c>
      <c r="F1336">
        <v>4422.2998046875</v>
      </c>
      <c r="G1336">
        <v>4275630000</v>
      </c>
      <c r="H1336">
        <v>0</v>
      </c>
      <c r="I1336">
        <v>0</v>
      </c>
      <c r="K1336" s="11">
        <f t="shared" si="20"/>
        <v>2.3821998626283314E-3</v>
      </c>
    </row>
    <row r="1337" spans="1:11" x14ac:dyDescent="0.2">
      <c r="A1337" s="2">
        <v>44404</v>
      </c>
      <c r="B1337">
        <v>4416.3798828125</v>
      </c>
      <c r="C1337">
        <v>4416.3798828125</v>
      </c>
      <c r="D1337">
        <v>4372.509765625</v>
      </c>
      <c r="E1337">
        <v>4401.4599609375</v>
      </c>
      <c r="F1337">
        <v>4401.4599609375</v>
      </c>
      <c r="G1337">
        <v>4241950000</v>
      </c>
      <c r="H1337">
        <v>0</v>
      </c>
      <c r="I1337">
        <v>0</v>
      </c>
      <c r="K1337" s="11">
        <f t="shared" si="20"/>
        <v>-4.7124448070912095E-3</v>
      </c>
    </row>
    <row r="1338" spans="1:11" x14ac:dyDescent="0.2">
      <c r="A1338" s="2">
        <v>44405</v>
      </c>
      <c r="B1338">
        <v>4402.9501953125</v>
      </c>
      <c r="C1338">
        <v>4415.47021484375</v>
      </c>
      <c r="D1338">
        <v>4387.009765625</v>
      </c>
      <c r="E1338">
        <v>4400.64013671875</v>
      </c>
      <c r="F1338">
        <v>4400.64013671875</v>
      </c>
      <c r="G1338">
        <v>4215290000</v>
      </c>
      <c r="H1338">
        <v>0</v>
      </c>
      <c r="I1338">
        <v>0</v>
      </c>
      <c r="K1338" s="11">
        <f t="shared" si="20"/>
        <v>-1.862618826539153E-4</v>
      </c>
    </row>
    <row r="1339" spans="1:11" x14ac:dyDescent="0.2">
      <c r="A1339" s="2">
        <v>44406</v>
      </c>
      <c r="B1339">
        <v>4403.58984375</v>
      </c>
      <c r="C1339">
        <v>4429.97021484375</v>
      </c>
      <c r="D1339">
        <v>4403.58984375</v>
      </c>
      <c r="E1339">
        <v>4419.14990234375</v>
      </c>
      <c r="F1339">
        <v>4419.14990234375</v>
      </c>
      <c r="G1339">
        <v>4044600000</v>
      </c>
      <c r="H1339">
        <v>0</v>
      </c>
      <c r="I1339">
        <v>0</v>
      </c>
      <c r="K1339" s="11">
        <f t="shared" si="20"/>
        <v>4.2061529800074826E-3</v>
      </c>
    </row>
    <row r="1340" spans="1:11" x14ac:dyDescent="0.2">
      <c r="A1340" s="2">
        <v>44407</v>
      </c>
      <c r="B1340">
        <v>4395.1201171875</v>
      </c>
      <c r="C1340">
        <v>4412.25</v>
      </c>
      <c r="D1340">
        <v>4389.64990234375</v>
      </c>
      <c r="E1340">
        <v>4395.259765625</v>
      </c>
      <c r="F1340">
        <v>4395.259765625</v>
      </c>
      <c r="G1340">
        <v>3956740000</v>
      </c>
      <c r="H1340">
        <v>0</v>
      </c>
      <c r="I1340">
        <v>0</v>
      </c>
      <c r="K1340" s="11">
        <f t="shared" si="20"/>
        <v>-5.4060480514769305E-3</v>
      </c>
    </row>
    <row r="1341" spans="1:11" x14ac:dyDescent="0.2">
      <c r="A1341" s="2">
        <v>44410</v>
      </c>
      <c r="B1341">
        <v>4406.85986328125</v>
      </c>
      <c r="C1341">
        <v>4422.18017578125</v>
      </c>
      <c r="D1341">
        <v>4384.81005859375</v>
      </c>
      <c r="E1341">
        <v>4387.16015625</v>
      </c>
      <c r="F1341">
        <v>4387.16015625</v>
      </c>
      <c r="G1341">
        <v>3724090000</v>
      </c>
      <c r="H1341">
        <v>0</v>
      </c>
      <c r="I1341">
        <v>0</v>
      </c>
      <c r="K1341" s="11">
        <f t="shared" si="20"/>
        <v>-1.842805614891363E-3</v>
      </c>
    </row>
    <row r="1342" spans="1:11" x14ac:dyDescent="0.2">
      <c r="A1342" s="2">
        <v>44411</v>
      </c>
      <c r="B1342">
        <v>4392.740234375</v>
      </c>
      <c r="C1342">
        <v>4423.7900390625</v>
      </c>
      <c r="D1342">
        <v>4373</v>
      </c>
      <c r="E1342">
        <v>4423.14990234375</v>
      </c>
      <c r="F1342">
        <v>4423.14990234375</v>
      </c>
      <c r="G1342">
        <v>3965190000</v>
      </c>
      <c r="H1342">
        <v>0</v>
      </c>
      <c r="I1342">
        <v>0</v>
      </c>
      <c r="K1342" s="11">
        <f t="shared" si="20"/>
        <v>8.2034265474622003E-3</v>
      </c>
    </row>
    <row r="1343" spans="1:11" x14ac:dyDescent="0.2">
      <c r="A1343" s="2">
        <v>44412</v>
      </c>
      <c r="B1343">
        <v>4415.9501953125</v>
      </c>
      <c r="C1343">
        <v>4416.169921875</v>
      </c>
      <c r="D1343">
        <v>4400.22998046875</v>
      </c>
      <c r="E1343">
        <v>4402.66015625</v>
      </c>
      <c r="F1343">
        <v>4402.66015625</v>
      </c>
      <c r="G1343">
        <v>4260760000</v>
      </c>
      <c r="H1343">
        <v>0</v>
      </c>
      <c r="I1343">
        <v>0</v>
      </c>
      <c r="K1343" s="11">
        <f t="shared" si="20"/>
        <v>-4.6323879014122937E-3</v>
      </c>
    </row>
    <row r="1344" spans="1:11" x14ac:dyDescent="0.2">
      <c r="A1344" s="2">
        <v>44413</v>
      </c>
      <c r="B1344">
        <v>4408.85986328125</v>
      </c>
      <c r="C1344">
        <v>4429.759765625</v>
      </c>
      <c r="D1344">
        <v>4408.85986328125</v>
      </c>
      <c r="E1344">
        <v>4429.10009765625</v>
      </c>
      <c r="F1344">
        <v>4429.10009765625</v>
      </c>
      <c r="G1344">
        <v>3769410000</v>
      </c>
      <c r="H1344">
        <v>0</v>
      </c>
      <c r="I1344">
        <v>0</v>
      </c>
      <c r="K1344" s="11">
        <f t="shared" si="20"/>
        <v>6.0054468134942418E-3</v>
      </c>
    </row>
    <row r="1345" spans="1:11" x14ac:dyDescent="0.2">
      <c r="A1345" s="2">
        <v>44414</v>
      </c>
      <c r="B1345">
        <v>4429.06982421875</v>
      </c>
      <c r="C1345">
        <v>4440.81982421875</v>
      </c>
      <c r="D1345">
        <v>4429.06982421875</v>
      </c>
      <c r="E1345">
        <v>4436.52001953125</v>
      </c>
      <c r="F1345">
        <v>4436.52001953125</v>
      </c>
      <c r="G1345">
        <v>3451870000</v>
      </c>
      <c r="H1345">
        <v>0</v>
      </c>
      <c r="I1345">
        <v>0</v>
      </c>
      <c r="K1345" s="11">
        <f t="shared" si="20"/>
        <v>1.6752662417647279E-3</v>
      </c>
    </row>
    <row r="1346" spans="1:11" x14ac:dyDescent="0.2">
      <c r="A1346" s="2">
        <v>44417</v>
      </c>
      <c r="B1346">
        <v>4437.77001953125</v>
      </c>
      <c r="C1346">
        <v>4439.39013671875</v>
      </c>
      <c r="D1346">
        <v>4424.740234375</v>
      </c>
      <c r="E1346">
        <v>4432.35009765625</v>
      </c>
      <c r="F1346">
        <v>4432.35009765625</v>
      </c>
      <c r="G1346">
        <v>3449280000</v>
      </c>
      <c r="H1346">
        <v>0</v>
      </c>
      <c r="I1346">
        <v>0</v>
      </c>
      <c r="K1346" s="11">
        <f t="shared" si="20"/>
        <v>-9.3990827419743184E-4</v>
      </c>
    </row>
    <row r="1347" spans="1:11" x14ac:dyDescent="0.2">
      <c r="A1347" s="2">
        <v>44418</v>
      </c>
      <c r="B1347">
        <v>4435.7900390625</v>
      </c>
      <c r="C1347">
        <v>4445.2099609375</v>
      </c>
      <c r="D1347">
        <v>4430.02978515625</v>
      </c>
      <c r="E1347">
        <v>4436.75</v>
      </c>
      <c r="F1347">
        <v>4436.75</v>
      </c>
      <c r="G1347">
        <v>3886610000</v>
      </c>
      <c r="H1347">
        <v>0</v>
      </c>
      <c r="I1347">
        <v>0</v>
      </c>
      <c r="K1347" s="11">
        <f t="shared" si="20"/>
        <v>9.9267933417013232E-4</v>
      </c>
    </row>
    <row r="1348" spans="1:11" x14ac:dyDescent="0.2">
      <c r="A1348" s="2">
        <v>44419</v>
      </c>
      <c r="B1348">
        <v>4442.18017578125</v>
      </c>
      <c r="C1348">
        <v>4449.43994140625</v>
      </c>
      <c r="D1348">
        <v>4436.419921875</v>
      </c>
      <c r="E1348">
        <v>4442.41015625</v>
      </c>
      <c r="F1348">
        <v>4442.41015625</v>
      </c>
      <c r="G1348">
        <v>3532560000</v>
      </c>
      <c r="H1348">
        <v>0</v>
      </c>
      <c r="I1348">
        <v>0</v>
      </c>
      <c r="K1348" s="11">
        <f t="shared" ref="K1348:K1411" si="21">(E1348/E1347)-1</f>
        <v>1.2757437876824707E-3</v>
      </c>
    </row>
    <row r="1349" spans="1:11" x14ac:dyDescent="0.2">
      <c r="A1349" s="2">
        <v>44420</v>
      </c>
      <c r="B1349">
        <v>4446.080078125</v>
      </c>
      <c r="C1349">
        <v>4461.77001953125</v>
      </c>
      <c r="D1349">
        <v>4435.9599609375</v>
      </c>
      <c r="E1349">
        <v>4460.830078125</v>
      </c>
      <c r="F1349">
        <v>4460.830078125</v>
      </c>
      <c r="G1349">
        <v>3375310000</v>
      </c>
      <c r="H1349">
        <v>0</v>
      </c>
      <c r="I1349">
        <v>0</v>
      </c>
      <c r="K1349" s="11">
        <f t="shared" si="21"/>
        <v>4.1463802816776862E-3</v>
      </c>
    </row>
    <row r="1350" spans="1:11" x14ac:dyDescent="0.2">
      <c r="A1350" s="2">
        <v>44421</v>
      </c>
      <c r="B1350">
        <v>4464.83984375</v>
      </c>
      <c r="C1350">
        <v>4468.3701171875</v>
      </c>
      <c r="D1350">
        <v>4460.81982421875</v>
      </c>
      <c r="E1350">
        <v>4468</v>
      </c>
      <c r="F1350">
        <v>4468</v>
      </c>
      <c r="G1350">
        <v>3016470000</v>
      </c>
      <c r="H1350">
        <v>0</v>
      </c>
      <c r="I1350">
        <v>0</v>
      </c>
      <c r="K1350" s="11">
        <f t="shared" si="21"/>
        <v>1.6073066558082161E-3</v>
      </c>
    </row>
    <row r="1351" spans="1:11" x14ac:dyDescent="0.2">
      <c r="A1351" s="2">
        <v>44424</v>
      </c>
      <c r="B1351">
        <v>4461.64990234375</v>
      </c>
      <c r="C1351">
        <v>4480.259765625</v>
      </c>
      <c r="D1351">
        <v>4437.66015625</v>
      </c>
      <c r="E1351">
        <v>4479.7099609375</v>
      </c>
      <c r="F1351">
        <v>4479.7099609375</v>
      </c>
      <c r="G1351">
        <v>3370640000</v>
      </c>
      <c r="H1351">
        <v>0</v>
      </c>
      <c r="I1351">
        <v>0</v>
      </c>
      <c r="K1351" s="11">
        <f t="shared" si="21"/>
        <v>2.6208507022158489E-3</v>
      </c>
    </row>
    <row r="1352" spans="1:11" x14ac:dyDescent="0.2">
      <c r="A1352" s="2">
        <v>44425</v>
      </c>
      <c r="B1352">
        <v>4462.1201171875</v>
      </c>
      <c r="C1352">
        <v>4462.1201171875</v>
      </c>
      <c r="D1352">
        <v>4417.830078125</v>
      </c>
      <c r="E1352">
        <v>4448.080078125</v>
      </c>
      <c r="F1352">
        <v>4448.080078125</v>
      </c>
      <c r="G1352">
        <v>3836960000</v>
      </c>
      <c r="H1352">
        <v>0</v>
      </c>
      <c r="I1352">
        <v>0</v>
      </c>
      <c r="K1352" s="11">
        <f t="shared" si="21"/>
        <v>-7.0606988149475303E-3</v>
      </c>
    </row>
    <row r="1353" spans="1:11" x14ac:dyDescent="0.2">
      <c r="A1353" s="2">
        <v>44426</v>
      </c>
      <c r="B1353">
        <v>4440.93994140625</v>
      </c>
      <c r="C1353">
        <v>4454.31982421875</v>
      </c>
      <c r="D1353">
        <v>4397.58984375</v>
      </c>
      <c r="E1353">
        <v>4400.27001953125</v>
      </c>
      <c r="F1353">
        <v>4400.27001953125</v>
      </c>
      <c r="G1353">
        <v>3755590000</v>
      </c>
      <c r="H1353">
        <v>0</v>
      </c>
      <c r="I1353">
        <v>0</v>
      </c>
      <c r="K1353" s="11">
        <f t="shared" si="21"/>
        <v>-1.0748470745585936E-2</v>
      </c>
    </row>
    <row r="1354" spans="1:11" x14ac:dyDescent="0.2">
      <c r="A1354" s="2">
        <v>44427</v>
      </c>
      <c r="B1354">
        <v>4382.43994140625</v>
      </c>
      <c r="C1354">
        <v>4418.60986328125</v>
      </c>
      <c r="D1354">
        <v>4367.72998046875</v>
      </c>
      <c r="E1354">
        <v>4405.7998046875</v>
      </c>
      <c r="F1354">
        <v>4405.7998046875</v>
      </c>
      <c r="G1354">
        <v>4398410000</v>
      </c>
      <c r="H1354">
        <v>0</v>
      </c>
      <c r="I1354">
        <v>0</v>
      </c>
      <c r="K1354" s="11">
        <f t="shared" si="21"/>
        <v>1.2566922329095842E-3</v>
      </c>
    </row>
    <row r="1355" spans="1:11" x14ac:dyDescent="0.2">
      <c r="A1355" s="2">
        <v>44428</v>
      </c>
      <c r="B1355">
        <v>4410.56005859375</v>
      </c>
      <c r="C1355">
        <v>4444.35009765625</v>
      </c>
      <c r="D1355">
        <v>4406.7998046875</v>
      </c>
      <c r="E1355">
        <v>4441.669921875</v>
      </c>
      <c r="F1355">
        <v>4441.669921875</v>
      </c>
      <c r="G1355">
        <v>3652610000</v>
      </c>
      <c r="H1355">
        <v>0</v>
      </c>
      <c r="I1355">
        <v>0</v>
      </c>
      <c r="K1355" s="11">
        <f t="shared" si="21"/>
        <v>8.1415676557379246E-3</v>
      </c>
    </row>
    <row r="1356" spans="1:11" x14ac:dyDescent="0.2">
      <c r="A1356" s="2">
        <v>44431</v>
      </c>
      <c r="B1356">
        <v>4450.2900390625</v>
      </c>
      <c r="C1356">
        <v>4489.8798828125</v>
      </c>
      <c r="D1356">
        <v>4450.2900390625</v>
      </c>
      <c r="E1356">
        <v>4479.52978515625</v>
      </c>
      <c r="F1356">
        <v>4479.52978515625</v>
      </c>
      <c r="G1356">
        <v>3576530000</v>
      </c>
      <c r="H1356">
        <v>0</v>
      </c>
      <c r="I1356">
        <v>0</v>
      </c>
      <c r="K1356" s="11">
        <f t="shared" si="21"/>
        <v>8.5237903642483293E-3</v>
      </c>
    </row>
    <row r="1357" spans="1:11" x14ac:dyDescent="0.2">
      <c r="A1357" s="2">
        <v>44432</v>
      </c>
      <c r="B1357">
        <v>4484.39990234375</v>
      </c>
      <c r="C1357">
        <v>4492.81005859375</v>
      </c>
      <c r="D1357">
        <v>4482.27978515625</v>
      </c>
      <c r="E1357">
        <v>4486.22998046875</v>
      </c>
      <c r="F1357">
        <v>4486.22998046875</v>
      </c>
      <c r="G1357">
        <v>3979220000</v>
      </c>
      <c r="H1357">
        <v>0</v>
      </c>
      <c r="I1357">
        <v>0</v>
      </c>
      <c r="K1357" s="11">
        <f t="shared" si="21"/>
        <v>1.4957363013194946E-3</v>
      </c>
    </row>
    <row r="1358" spans="1:11" x14ac:dyDescent="0.2">
      <c r="A1358" s="2">
        <v>44433</v>
      </c>
      <c r="B1358">
        <v>4490.4501953125</v>
      </c>
      <c r="C1358">
        <v>4501.7099609375</v>
      </c>
      <c r="D1358">
        <v>4485.66015625</v>
      </c>
      <c r="E1358">
        <v>4496.18994140625</v>
      </c>
      <c r="F1358">
        <v>4496.18994140625</v>
      </c>
      <c r="G1358">
        <v>3444700000</v>
      </c>
      <c r="H1358">
        <v>0</v>
      </c>
      <c r="I1358">
        <v>0</v>
      </c>
      <c r="K1358" s="11">
        <f t="shared" si="21"/>
        <v>2.220118224179668E-3</v>
      </c>
    </row>
    <row r="1359" spans="1:11" x14ac:dyDescent="0.2">
      <c r="A1359" s="2">
        <v>44434</v>
      </c>
      <c r="B1359">
        <v>4493.75</v>
      </c>
      <c r="C1359">
        <v>4495.89990234375</v>
      </c>
      <c r="D1359">
        <v>4468.990234375</v>
      </c>
      <c r="E1359">
        <v>4470</v>
      </c>
      <c r="F1359">
        <v>4470</v>
      </c>
      <c r="G1359">
        <v>3263980000</v>
      </c>
      <c r="H1359">
        <v>0</v>
      </c>
      <c r="I1359">
        <v>0</v>
      </c>
      <c r="K1359" s="11">
        <f t="shared" si="21"/>
        <v>-5.8249188196125568E-3</v>
      </c>
    </row>
    <row r="1360" spans="1:11" x14ac:dyDescent="0.2">
      <c r="A1360" s="2">
        <v>44435</v>
      </c>
      <c r="B1360">
        <v>4474.10009765625</v>
      </c>
      <c r="C1360">
        <v>4513.330078125</v>
      </c>
      <c r="D1360">
        <v>4474.10009765625</v>
      </c>
      <c r="E1360">
        <v>4509.3701171875</v>
      </c>
      <c r="F1360">
        <v>4509.3701171875</v>
      </c>
      <c r="G1360">
        <v>3331200000</v>
      </c>
      <c r="H1360">
        <v>0</v>
      </c>
      <c r="I1360">
        <v>0</v>
      </c>
      <c r="K1360" s="11">
        <f t="shared" si="21"/>
        <v>8.8076324804251538E-3</v>
      </c>
    </row>
    <row r="1361" spans="1:11" x14ac:dyDescent="0.2">
      <c r="A1361" s="2">
        <v>44438</v>
      </c>
      <c r="B1361">
        <v>4513.759765625</v>
      </c>
      <c r="C1361">
        <v>4537.35986328125</v>
      </c>
      <c r="D1361">
        <v>4513.759765625</v>
      </c>
      <c r="E1361">
        <v>4528.7900390625</v>
      </c>
      <c r="F1361">
        <v>4528.7900390625</v>
      </c>
      <c r="G1361">
        <v>3168660000</v>
      </c>
      <c r="H1361">
        <v>0</v>
      </c>
      <c r="I1361">
        <v>0</v>
      </c>
      <c r="K1361" s="11">
        <f t="shared" si="21"/>
        <v>4.3065708447795892E-3</v>
      </c>
    </row>
    <row r="1362" spans="1:11" x14ac:dyDescent="0.2">
      <c r="A1362" s="2">
        <v>44439</v>
      </c>
      <c r="B1362">
        <v>4529.75</v>
      </c>
      <c r="C1362">
        <v>4531.39013671875</v>
      </c>
      <c r="D1362">
        <v>4515.7998046875</v>
      </c>
      <c r="E1362">
        <v>4522.68017578125</v>
      </c>
      <c r="F1362">
        <v>4522.68017578125</v>
      </c>
      <c r="G1362">
        <v>4290710000</v>
      </c>
      <c r="H1362">
        <v>0</v>
      </c>
      <c r="I1362">
        <v>0</v>
      </c>
      <c r="K1362" s="11">
        <f t="shared" si="21"/>
        <v>-1.3491160395050494E-3</v>
      </c>
    </row>
    <row r="1363" spans="1:11" x14ac:dyDescent="0.2">
      <c r="A1363" s="2">
        <v>44440</v>
      </c>
      <c r="B1363">
        <v>4528.7998046875</v>
      </c>
      <c r="C1363">
        <v>4537.10986328125</v>
      </c>
      <c r="D1363">
        <v>4522.02001953125</v>
      </c>
      <c r="E1363">
        <v>4524.08984375</v>
      </c>
      <c r="F1363">
        <v>4524.08984375</v>
      </c>
      <c r="G1363">
        <v>4057340000</v>
      </c>
      <c r="H1363">
        <v>0</v>
      </c>
      <c r="I1363">
        <v>0</v>
      </c>
      <c r="K1363" s="11">
        <f t="shared" si="21"/>
        <v>3.1168862576191891E-4</v>
      </c>
    </row>
    <row r="1364" spans="1:11" x14ac:dyDescent="0.2">
      <c r="A1364" s="2">
        <v>44441</v>
      </c>
      <c r="B1364">
        <v>4534.47998046875</v>
      </c>
      <c r="C1364">
        <v>4545.85009765625</v>
      </c>
      <c r="D1364">
        <v>4524.66015625</v>
      </c>
      <c r="E1364">
        <v>4536.9501953125</v>
      </c>
      <c r="F1364">
        <v>4536.9501953125</v>
      </c>
      <c r="G1364">
        <v>3735990000</v>
      </c>
      <c r="H1364">
        <v>0</v>
      </c>
      <c r="I1364">
        <v>0</v>
      </c>
      <c r="K1364" s="11">
        <f t="shared" si="21"/>
        <v>2.8426384105229019E-3</v>
      </c>
    </row>
    <row r="1365" spans="1:11" x14ac:dyDescent="0.2">
      <c r="A1365" s="2">
        <v>44442</v>
      </c>
      <c r="B1365">
        <v>4532.419921875</v>
      </c>
      <c r="C1365">
        <v>4541.4501953125</v>
      </c>
      <c r="D1365">
        <v>4521.2998046875</v>
      </c>
      <c r="E1365">
        <v>4535.43017578125</v>
      </c>
      <c r="F1365">
        <v>4535.43017578125</v>
      </c>
      <c r="G1365">
        <v>3217530000</v>
      </c>
      <c r="H1365">
        <v>0</v>
      </c>
      <c r="I1365">
        <v>0</v>
      </c>
      <c r="K1365" s="11">
        <f t="shared" si="21"/>
        <v>-3.3503112571531268E-4</v>
      </c>
    </row>
    <row r="1366" spans="1:11" x14ac:dyDescent="0.2">
      <c r="A1366" s="2">
        <v>44446</v>
      </c>
      <c r="B1366">
        <v>4535.3798828125</v>
      </c>
      <c r="C1366">
        <v>4535.3798828125</v>
      </c>
      <c r="D1366">
        <v>4513</v>
      </c>
      <c r="E1366">
        <v>4520.02978515625</v>
      </c>
      <c r="F1366">
        <v>4520.02978515625</v>
      </c>
      <c r="G1366">
        <v>3822960000</v>
      </c>
      <c r="H1366">
        <v>0</v>
      </c>
      <c r="I1366">
        <v>0</v>
      </c>
      <c r="K1366" s="11">
        <f t="shared" si="21"/>
        <v>-3.395574405981705E-3</v>
      </c>
    </row>
    <row r="1367" spans="1:11" x14ac:dyDescent="0.2">
      <c r="A1367" s="2">
        <v>44447</v>
      </c>
      <c r="B1367">
        <v>4518.08984375</v>
      </c>
      <c r="C1367">
        <v>4521.7900390625</v>
      </c>
      <c r="D1367">
        <v>4493.9501953125</v>
      </c>
      <c r="E1367">
        <v>4514.06982421875</v>
      </c>
      <c r="F1367">
        <v>4514.06982421875</v>
      </c>
      <c r="G1367">
        <v>3750880000</v>
      </c>
      <c r="H1367">
        <v>0</v>
      </c>
      <c r="I1367">
        <v>0</v>
      </c>
      <c r="K1367" s="11">
        <f t="shared" si="21"/>
        <v>-1.318566739775151E-3</v>
      </c>
    </row>
    <row r="1368" spans="1:11" x14ac:dyDescent="0.2">
      <c r="A1368" s="2">
        <v>44448</v>
      </c>
      <c r="B1368">
        <v>4513.02001953125</v>
      </c>
      <c r="C1368">
        <v>4529.89990234375</v>
      </c>
      <c r="D1368">
        <v>4492.06982421875</v>
      </c>
      <c r="E1368">
        <v>4493.27978515625</v>
      </c>
      <c r="F1368">
        <v>4493.27978515625</v>
      </c>
      <c r="G1368">
        <v>3735390000</v>
      </c>
      <c r="H1368">
        <v>0</v>
      </c>
      <c r="I1368">
        <v>0</v>
      </c>
      <c r="K1368" s="11">
        <f t="shared" si="21"/>
        <v>-4.6056086573933452E-3</v>
      </c>
    </row>
    <row r="1369" spans="1:11" x14ac:dyDescent="0.2">
      <c r="A1369" s="2">
        <v>44449</v>
      </c>
      <c r="B1369">
        <v>4506.919921875</v>
      </c>
      <c r="C1369">
        <v>4520.47021484375</v>
      </c>
      <c r="D1369">
        <v>4457.66015625</v>
      </c>
      <c r="E1369">
        <v>4458.580078125</v>
      </c>
      <c r="F1369">
        <v>4458.580078125</v>
      </c>
      <c r="G1369">
        <v>3623180000</v>
      </c>
      <c r="H1369">
        <v>0</v>
      </c>
      <c r="I1369">
        <v>0</v>
      </c>
      <c r="K1369" s="11">
        <f t="shared" si="21"/>
        <v>-7.7225787599254359E-3</v>
      </c>
    </row>
    <row r="1370" spans="1:11" x14ac:dyDescent="0.2">
      <c r="A1370" s="2">
        <v>44452</v>
      </c>
      <c r="B1370">
        <v>4474.81005859375</v>
      </c>
      <c r="C1370">
        <v>4492.990234375</v>
      </c>
      <c r="D1370">
        <v>4445.7001953125</v>
      </c>
      <c r="E1370">
        <v>4468.72998046875</v>
      </c>
      <c r="F1370">
        <v>4468.72998046875</v>
      </c>
      <c r="G1370">
        <v>3914220000</v>
      </c>
      <c r="H1370">
        <v>0</v>
      </c>
      <c r="I1370">
        <v>0</v>
      </c>
      <c r="K1370" s="11">
        <f t="shared" si="21"/>
        <v>2.2764876184568905E-3</v>
      </c>
    </row>
    <row r="1371" spans="1:11" x14ac:dyDescent="0.2">
      <c r="A1371" s="2">
        <v>44453</v>
      </c>
      <c r="B1371">
        <v>4479.330078125</v>
      </c>
      <c r="C1371">
        <v>4485.68017578125</v>
      </c>
      <c r="D1371">
        <v>4435.4599609375</v>
      </c>
      <c r="E1371">
        <v>4443.0498046875</v>
      </c>
      <c r="F1371">
        <v>4443.0498046875</v>
      </c>
      <c r="G1371">
        <v>3670460000</v>
      </c>
      <c r="H1371">
        <v>0</v>
      </c>
      <c r="I1371">
        <v>0</v>
      </c>
      <c r="K1371" s="11">
        <f t="shared" si="21"/>
        <v>-5.7466385065755299E-3</v>
      </c>
    </row>
    <row r="1372" spans="1:11" x14ac:dyDescent="0.2">
      <c r="A1372" s="2">
        <v>44454</v>
      </c>
      <c r="B1372">
        <v>4447.490234375</v>
      </c>
      <c r="C1372">
        <v>4486.8701171875</v>
      </c>
      <c r="D1372">
        <v>4438.3701171875</v>
      </c>
      <c r="E1372">
        <v>4480.7001953125</v>
      </c>
      <c r="F1372">
        <v>4480.7001953125</v>
      </c>
      <c r="G1372">
        <v>4032020000</v>
      </c>
      <c r="H1372">
        <v>0</v>
      </c>
      <c r="I1372">
        <v>0</v>
      </c>
      <c r="K1372" s="11">
        <f t="shared" si="21"/>
        <v>8.4739969795697423E-3</v>
      </c>
    </row>
    <row r="1373" spans="1:11" x14ac:dyDescent="0.2">
      <c r="A1373" s="2">
        <v>44455</v>
      </c>
      <c r="B1373">
        <v>4477.08984375</v>
      </c>
      <c r="C1373">
        <v>4485.8701171875</v>
      </c>
      <c r="D1373">
        <v>4443.7998046875</v>
      </c>
      <c r="E1373">
        <v>4473.75</v>
      </c>
      <c r="F1373">
        <v>4473.75</v>
      </c>
      <c r="G1373">
        <v>3984560000</v>
      </c>
      <c r="H1373">
        <v>0</v>
      </c>
      <c r="I1373">
        <v>0</v>
      </c>
      <c r="K1373" s="11">
        <f t="shared" si="21"/>
        <v>-1.5511404489350067E-3</v>
      </c>
    </row>
    <row r="1374" spans="1:11" x14ac:dyDescent="0.2">
      <c r="A1374" s="2">
        <v>44456</v>
      </c>
      <c r="B1374">
        <v>4469.740234375</v>
      </c>
      <c r="C1374">
        <v>4471.52001953125</v>
      </c>
      <c r="D1374">
        <v>4427.759765625</v>
      </c>
      <c r="E1374">
        <v>4432.990234375</v>
      </c>
      <c r="F1374">
        <v>4432.990234375</v>
      </c>
      <c r="G1374">
        <v>7289530000</v>
      </c>
      <c r="H1374">
        <v>0</v>
      </c>
      <c r="I1374">
        <v>0</v>
      </c>
      <c r="K1374" s="11">
        <f t="shared" si="21"/>
        <v>-9.1108724504050942E-3</v>
      </c>
    </row>
    <row r="1375" spans="1:11" x14ac:dyDescent="0.2">
      <c r="A1375" s="2">
        <v>44459</v>
      </c>
      <c r="B1375">
        <v>4402.9501953125</v>
      </c>
      <c r="C1375">
        <v>4402.9501953125</v>
      </c>
      <c r="D1375">
        <v>4305.91015625</v>
      </c>
      <c r="E1375">
        <v>4357.72998046875</v>
      </c>
      <c r="F1375">
        <v>4357.72998046875</v>
      </c>
      <c r="G1375">
        <v>4898070000</v>
      </c>
      <c r="H1375">
        <v>0</v>
      </c>
      <c r="I1375">
        <v>0</v>
      </c>
      <c r="K1375" s="11">
        <f t="shared" si="21"/>
        <v>-1.6977311008414819E-2</v>
      </c>
    </row>
    <row r="1376" spans="1:11" x14ac:dyDescent="0.2">
      <c r="A1376" s="2">
        <v>44460</v>
      </c>
      <c r="B1376">
        <v>4374.4501953125</v>
      </c>
      <c r="C1376">
        <v>4394.8701171875</v>
      </c>
      <c r="D1376">
        <v>4347.9599609375</v>
      </c>
      <c r="E1376">
        <v>4354.18994140625</v>
      </c>
      <c r="F1376">
        <v>4354.18994140625</v>
      </c>
      <c r="G1376">
        <v>3920920000</v>
      </c>
      <c r="H1376">
        <v>0</v>
      </c>
      <c r="I1376">
        <v>0</v>
      </c>
      <c r="K1376" s="11">
        <f t="shared" si="21"/>
        <v>-8.1235851655936386E-4</v>
      </c>
    </row>
    <row r="1377" spans="1:11" x14ac:dyDescent="0.2">
      <c r="A1377" s="2">
        <v>44461</v>
      </c>
      <c r="B1377">
        <v>4367.43017578125</v>
      </c>
      <c r="C1377">
        <v>4416.75</v>
      </c>
      <c r="D1377">
        <v>4367.43017578125</v>
      </c>
      <c r="E1377">
        <v>4395.64013671875</v>
      </c>
      <c r="F1377">
        <v>4395.64013671875</v>
      </c>
      <c r="G1377">
        <v>3939170000</v>
      </c>
      <c r="H1377">
        <v>0</v>
      </c>
      <c r="I1377">
        <v>0</v>
      </c>
      <c r="K1377" s="11">
        <f t="shared" si="21"/>
        <v>9.5196111952602358E-3</v>
      </c>
    </row>
    <row r="1378" spans="1:11" x14ac:dyDescent="0.2">
      <c r="A1378" s="2">
        <v>44462</v>
      </c>
      <c r="B1378">
        <v>4406.75</v>
      </c>
      <c r="C1378">
        <v>4465.39990234375</v>
      </c>
      <c r="D1378">
        <v>4406.75</v>
      </c>
      <c r="E1378">
        <v>4448.97998046875</v>
      </c>
      <c r="F1378">
        <v>4448.97998046875</v>
      </c>
      <c r="G1378">
        <v>3916350000</v>
      </c>
      <c r="H1378">
        <v>0</v>
      </c>
      <c r="I1378">
        <v>0</v>
      </c>
      <c r="K1378" s="11">
        <f t="shared" si="21"/>
        <v>1.2134715784494876E-2</v>
      </c>
    </row>
    <row r="1379" spans="1:11" x14ac:dyDescent="0.2">
      <c r="A1379" s="2">
        <v>44463</v>
      </c>
      <c r="B1379">
        <v>4438.0400390625</v>
      </c>
      <c r="C1379">
        <v>4463.1201171875</v>
      </c>
      <c r="D1379">
        <v>4430.27001953125</v>
      </c>
      <c r="E1379">
        <v>4455.47998046875</v>
      </c>
      <c r="F1379">
        <v>4455.47998046875</v>
      </c>
      <c r="G1379">
        <v>3384290000</v>
      </c>
      <c r="H1379">
        <v>0</v>
      </c>
      <c r="I1379">
        <v>0</v>
      </c>
      <c r="K1379" s="11">
        <f t="shared" si="21"/>
        <v>1.461009046688222E-3</v>
      </c>
    </row>
    <row r="1380" spans="1:11" x14ac:dyDescent="0.2">
      <c r="A1380" s="2">
        <v>44466</v>
      </c>
      <c r="B1380">
        <v>4442.1201171875</v>
      </c>
      <c r="C1380">
        <v>4457.2998046875</v>
      </c>
      <c r="D1380">
        <v>4436.18994140625</v>
      </c>
      <c r="E1380">
        <v>4443.10986328125</v>
      </c>
      <c r="F1380">
        <v>4443.10986328125</v>
      </c>
      <c r="G1380">
        <v>4058650000</v>
      </c>
      <c r="H1380">
        <v>0</v>
      </c>
      <c r="I1380">
        <v>0</v>
      </c>
      <c r="K1380" s="11">
        <f t="shared" si="21"/>
        <v>-2.7763826213396126E-3</v>
      </c>
    </row>
    <row r="1381" spans="1:11" x14ac:dyDescent="0.2">
      <c r="A1381" s="2">
        <v>44467</v>
      </c>
      <c r="B1381">
        <v>4419.5400390625</v>
      </c>
      <c r="C1381">
        <v>4419.5400390625</v>
      </c>
      <c r="D1381">
        <v>4346.330078125</v>
      </c>
      <c r="E1381">
        <v>4352.6298828125</v>
      </c>
      <c r="F1381">
        <v>4352.6298828125</v>
      </c>
      <c r="G1381">
        <v>4416550000</v>
      </c>
      <c r="H1381">
        <v>0</v>
      </c>
      <c r="I1381">
        <v>0</v>
      </c>
      <c r="K1381" s="11">
        <f t="shared" si="21"/>
        <v>-2.0364110556098214E-2</v>
      </c>
    </row>
    <row r="1382" spans="1:11" x14ac:dyDescent="0.2">
      <c r="A1382" s="2">
        <v>44468</v>
      </c>
      <c r="B1382">
        <v>4362.41015625</v>
      </c>
      <c r="C1382">
        <v>4385.56982421875</v>
      </c>
      <c r="D1382">
        <v>4355.080078125</v>
      </c>
      <c r="E1382">
        <v>4359.4599609375</v>
      </c>
      <c r="F1382">
        <v>4359.4599609375</v>
      </c>
      <c r="G1382">
        <v>3712660000</v>
      </c>
      <c r="H1382">
        <v>0</v>
      </c>
      <c r="I1382">
        <v>0</v>
      </c>
      <c r="K1382" s="11">
        <f t="shared" si="21"/>
        <v>1.5691842194003325E-3</v>
      </c>
    </row>
    <row r="1383" spans="1:11" x14ac:dyDescent="0.2">
      <c r="A1383" s="2">
        <v>44469</v>
      </c>
      <c r="B1383">
        <v>4370.669921875</v>
      </c>
      <c r="C1383">
        <v>4382.5498046875</v>
      </c>
      <c r="D1383">
        <v>4306.240234375</v>
      </c>
      <c r="E1383">
        <v>4307.5400390625</v>
      </c>
      <c r="F1383">
        <v>4307.5400390625</v>
      </c>
      <c r="G1383">
        <v>4448140000</v>
      </c>
      <c r="H1383">
        <v>0</v>
      </c>
      <c r="I1383">
        <v>0</v>
      </c>
      <c r="K1383" s="11">
        <f t="shared" si="21"/>
        <v>-1.1909714125195148E-2</v>
      </c>
    </row>
    <row r="1384" spans="1:11" x14ac:dyDescent="0.2">
      <c r="A1384" s="2">
        <v>44470</v>
      </c>
      <c r="B1384">
        <v>4317.16015625</v>
      </c>
      <c r="C1384">
        <v>4375.18994140625</v>
      </c>
      <c r="D1384">
        <v>4288.52001953125</v>
      </c>
      <c r="E1384">
        <v>4357.0400390625</v>
      </c>
      <c r="F1384">
        <v>4357.0400390625</v>
      </c>
      <c r="G1384">
        <v>4010370000</v>
      </c>
      <c r="H1384">
        <v>0</v>
      </c>
      <c r="I1384">
        <v>0</v>
      </c>
      <c r="K1384" s="11">
        <f t="shared" si="21"/>
        <v>1.149147763018199E-2</v>
      </c>
    </row>
    <row r="1385" spans="1:11" x14ac:dyDescent="0.2">
      <c r="A1385" s="2">
        <v>44473</v>
      </c>
      <c r="B1385">
        <v>4348.83984375</v>
      </c>
      <c r="C1385">
        <v>4355.509765625</v>
      </c>
      <c r="D1385">
        <v>4278.93994140625</v>
      </c>
      <c r="E1385">
        <v>4300.4599609375</v>
      </c>
      <c r="F1385">
        <v>4300.4599609375</v>
      </c>
      <c r="G1385">
        <v>4307870000</v>
      </c>
      <c r="H1385">
        <v>0</v>
      </c>
      <c r="I1385">
        <v>0</v>
      </c>
      <c r="K1385" s="11">
        <f t="shared" si="21"/>
        <v>-1.2985898136748442E-2</v>
      </c>
    </row>
    <row r="1386" spans="1:11" x14ac:dyDescent="0.2">
      <c r="A1386" s="2">
        <v>44474</v>
      </c>
      <c r="B1386">
        <v>4309.8701171875</v>
      </c>
      <c r="C1386">
        <v>4369.22998046875</v>
      </c>
      <c r="D1386">
        <v>4309.8701171875</v>
      </c>
      <c r="E1386">
        <v>4345.72021484375</v>
      </c>
      <c r="F1386">
        <v>4345.72021484375</v>
      </c>
      <c r="G1386">
        <v>3902890000</v>
      </c>
      <c r="H1386">
        <v>0</v>
      </c>
      <c r="I1386">
        <v>0</v>
      </c>
      <c r="K1386" s="11">
        <f t="shared" si="21"/>
        <v>1.0524514660609219E-2</v>
      </c>
    </row>
    <row r="1387" spans="1:11" x14ac:dyDescent="0.2">
      <c r="A1387" s="2">
        <v>44475</v>
      </c>
      <c r="B1387">
        <v>4319.56982421875</v>
      </c>
      <c r="C1387">
        <v>4365.56982421875</v>
      </c>
      <c r="D1387">
        <v>4290.490234375</v>
      </c>
      <c r="E1387">
        <v>4363.5498046875</v>
      </c>
      <c r="F1387">
        <v>4363.5498046875</v>
      </c>
      <c r="G1387">
        <v>4009630000</v>
      </c>
      <c r="H1387">
        <v>0</v>
      </c>
      <c r="I1387">
        <v>0</v>
      </c>
      <c r="K1387" s="11">
        <f t="shared" si="21"/>
        <v>4.1027928541854664E-3</v>
      </c>
    </row>
    <row r="1388" spans="1:11" x14ac:dyDescent="0.2">
      <c r="A1388" s="2">
        <v>44476</v>
      </c>
      <c r="B1388">
        <v>4383.72998046875</v>
      </c>
      <c r="C1388">
        <v>4429.97021484375</v>
      </c>
      <c r="D1388">
        <v>4383.72998046875</v>
      </c>
      <c r="E1388">
        <v>4399.759765625</v>
      </c>
      <c r="F1388">
        <v>4399.759765625</v>
      </c>
      <c r="G1388">
        <v>3843740000</v>
      </c>
      <c r="H1388">
        <v>0</v>
      </c>
      <c r="I1388">
        <v>0</v>
      </c>
      <c r="K1388" s="11">
        <f t="shared" si="21"/>
        <v>8.2982806564053657E-3</v>
      </c>
    </row>
    <row r="1389" spans="1:11" x14ac:dyDescent="0.2">
      <c r="A1389" s="2">
        <v>44477</v>
      </c>
      <c r="B1389">
        <v>4406.509765625</v>
      </c>
      <c r="C1389">
        <v>4412.02001953125</v>
      </c>
      <c r="D1389">
        <v>4386.22021484375</v>
      </c>
      <c r="E1389">
        <v>4391.33984375</v>
      </c>
      <c r="F1389">
        <v>4391.33984375</v>
      </c>
      <c r="G1389">
        <v>3280160000</v>
      </c>
      <c r="H1389">
        <v>0</v>
      </c>
      <c r="I1389">
        <v>0</v>
      </c>
      <c r="K1389" s="11">
        <f t="shared" si="21"/>
        <v>-1.9137230947889883E-3</v>
      </c>
    </row>
    <row r="1390" spans="1:11" x14ac:dyDescent="0.2">
      <c r="A1390" s="2">
        <v>44480</v>
      </c>
      <c r="B1390">
        <v>4385.43994140625</v>
      </c>
      <c r="C1390">
        <v>4415.8798828125</v>
      </c>
      <c r="D1390">
        <v>4360.58984375</v>
      </c>
      <c r="E1390">
        <v>4361.18994140625</v>
      </c>
      <c r="F1390">
        <v>4361.18994140625</v>
      </c>
      <c r="G1390">
        <v>3281970000</v>
      </c>
      <c r="H1390">
        <v>0</v>
      </c>
      <c r="I1390">
        <v>0</v>
      </c>
      <c r="K1390" s="11">
        <f t="shared" si="21"/>
        <v>-6.8657638480568162E-3</v>
      </c>
    </row>
    <row r="1391" spans="1:11" x14ac:dyDescent="0.2">
      <c r="A1391" s="2">
        <v>44481</v>
      </c>
      <c r="B1391">
        <v>4368.31005859375</v>
      </c>
      <c r="C1391">
        <v>4374.89013671875</v>
      </c>
      <c r="D1391">
        <v>4342.08984375</v>
      </c>
      <c r="E1391">
        <v>4350.64990234375</v>
      </c>
      <c r="F1391">
        <v>4350.64990234375</v>
      </c>
      <c r="G1391">
        <v>3558450000</v>
      </c>
      <c r="H1391">
        <v>0</v>
      </c>
      <c r="I1391">
        <v>0</v>
      </c>
      <c r="K1391" s="11">
        <f t="shared" si="21"/>
        <v>-2.4167805585421087E-3</v>
      </c>
    </row>
    <row r="1392" spans="1:11" x14ac:dyDescent="0.2">
      <c r="A1392" s="2">
        <v>44482</v>
      </c>
      <c r="B1392">
        <v>4358.009765625</v>
      </c>
      <c r="C1392">
        <v>4372.8701171875</v>
      </c>
      <c r="D1392">
        <v>4329.919921875</v>
      </c>
      <c r="E1392">
        <v>4363.7998046875</v>
      </c>
      <c r="F1392">
        <v>4363.7998046875</v>
      </c>
      <c r="G1392">
        <v>3620070000</v>
      </c>
      <c r="H1392">
        <v>0</v>
      </c>
      <c r="I1392">
        <v>0</v>
      </c>
      <c r="K1392" s="11">
        <f t="shared" si="21"/>
        <v>3.02251448379387E-3</v>
      </c>
    </row>
    <row r="1393" spans="1:11" x14ac:dyDescent="0.2">
      <c r="A1393" s="2">
        <v>44483</v>
      </c>
      <c r="B1393">
        <v>4386.75</v>
      </c>
      <c r="C1393">
        <v>4439.72998046875</v>
      </c>
      <c r="D1393">
        <v>4386.75</v>
      </c>
      <c r="E1393">
        <v>4438.259765625</v>
      </c>
      <c r="F1393">
        <v>4438.259765625</v>
      </c>
      <c r="G1393">
        <v>3598280000</v>
      </c>
      <c r="H1393">
        <v>0</v>
      </c>
      <c r="I1393">
        <v>0</v>
      </c>
      <c r="K1393" s="11">
        <f t="shared" si="21"/>
        <v>1.7063101945583359E-2</v>
      </c>
    </row>
    <row r="1394" spans="1:11" x14ac:dyDescent="0.2">
      <c r="A1394" s="2">
        <v>44484</v>
      </c>
      <c r="B1394">
        <v>4447.68994140625</v>
      </c>
      <c r="C1394">
        <v>4475.81982421875</v>
      </c>
      <c r="D1394">
        <v>4447.68994140625</v>
      </c>
      <c r="E1394">
        <v>4471.3701171875</v>
      </c>
      <c r="F1394">
        <v>4471.3701171875</v>
      </c>
      <c r="G1394">
        <v>3819380000</v>
      </c>
      <c r="H1394">
        <v>0</v>
      </c>
      <c r="I1394">
        <v>0</v>
      </c>
      <c r="K1394" s="11">
        <f t="shared" si="21"/>
        <v>7.4602103777126061E-3</v>
      </c>
    </row>
    <row r="1395" spans="1:11" x14ac:dyDescent="0.2">
      <c r="A1395" s="2">
        <v>44487</v>
      </c>
      <c r="B1395">
        <v>4463.72021484375</v>
      </c>
      <c r="C1395">
        <v>4488.75</v>
      </c>
      <c r="D1395">
        <v>4447.47021484375</v>
      </c>
      <c r="E1395">
        <v>4486.4599609375</v>
      </c>
      <c r="F1395">
        <v>4486.4599609375</v>
      </c>
      <c r="G1395">
        <v>3662010000</v>
      </c>
      <c r="H1395">
        <v>0</v>
      </c>
      <c r="I1395">
        <v>0</v>
      </c>
      <c r="K1395" s="11">
        <f t="shared" si="21"/>
        <v>3.37476955709759E-3</v>
      </c>
    </row>
    <row r="1396" spans="1:11" x14ac:dyDescent="0.2">
      <c r="A1396" s="2">
        <v>44488</v>
      </c>
      <c r="B1396">
        <v>4497.33984375</v>
      </c>
      <c r="C1396">
        <v>4520.39990234375</v>
      </c>
      <c r="D1396">
        <v>4496.41015625</v>
      </c>
      <c r="E1396">
        <v>4519.6298828125</v>
      </c>
      <c r="F1396">
        <v>4519.6298828125</v>
      </c>
      <c r="G1396">
        <v>3459130000</v>
      </c>
      <c r="H1396">
        <v>0</v>
      </c>
      <c r="I1396">
        <v>0</v>
      </c>
      <c r="K1396" s="11">
        <f t="shared" si="21"/>
        <v>7.3933395514063083E-3</v>
      </c>
    </row>
    <row r="1397" spans="1:11" x14ac:dyDescent="0.2">
      <c r="A1397" s="2">
        <v>44489</v>
      </c>
      <c r="B1397">
        <v>4524.419921875</v>
      </c>
      <c r="C1397">
        <v>4540.8701171875</v>
      </c>
      <c r="D1397">
        <v>4524.39990234375</v>
      </c>
      <c r="E1397">
        <v>4536.18994140625</v>
      </c>
      <c r="F1397">
        <v>4536.18994140625</v>
      </c>
      <c r="G1397">
        <v>3670760000</v>
      </c>
      <c r="H1397">
        <v>0</v>
      </c>
      <c r="I1397">
        <v>0</v>
      </c>
      <c r="K1397" s="11">
        <f t="shared" si="21"/>
        <v>3.6640298040166996E-3</v>
      </c>
    </row>
    <row r="1398" spans="1:11" x14ac:dyDescent="0.2">
      <c r="A1398" s="2">
        <v>44490</v>
      </c>
      <c r="B1398">
        <v>4532.240234375</v>
      </c>
      <c r="C1398">
        <v>4551.43994140625</v>
      </c>
      <c r="D1398">
        <v>4526.89013671875</v>
      </c>
      <c r="E1398">
        <v>4549.77978515625</v>
      </c>
      <c r="F1398">
        <v>4549.77978515625</v>
      </c>
      <c r="G1398">
        <v>3822330000</v>
      </c>
      <c r="H1398">
        <v>0</v>
      </c>
      <c r="I1398">
        <v>0</v>
      </c>
      <c r="K1398" s="11">
        <f t="shared" si="21"/>
        <v>2.9958718496225778E-3</v>
      </c>
    </row>
    <row r="1399" spans="1:11" x14ac:dyDescent="0.2">
      <c r="A1399" s="2">
        <v>44491</v>
      </c>
      <c r="B1399">
        <v>4546.1201171875</v>
      </c>
      <c r="C1399">
        <v>4559.669921875</v>
      </c>
      <c r="D1399">
        <v>4524</v>
      </c>
      <c r="E1399">
        <v>4544.89990234375</v>
      </c>
      <c r="F1399">
        <v>4544.89990234375</v>
      </c>
      <c r="G1399">
        <v>3758220000</v>
      </c>
      <c r="H1399">
        <v>0</v>
      </c>
      <c r="I1399">
        <v>0</v>
      </c>
      <c r="K1399" s="11">
        <f t="shared" si="21"/>
        <v>-1.0725536274130976E-3</v>
      </c>
    </row>
    <row r="1400" spans="1:11" x14ac:dyDescent="0.2">
      <c r="A1400" s="2">
        <v>44494</v>
      </c>
      <c r="B1400">
        <v>4553.68994140625</v>
      </c>
      <c r="C1400">
        <v>4572.6201171875</v>
      </c>
      <c r="D1400">
        <v>4537.35986328125</v>
      </c>
      <c r="E1400">
        <v>4566.47998046875</v>
      </c>
      <c r="F1400">
        <v>4566.47998046875</v>
      </c>
      <c r="G1400">
        <v>3899400000</v>
      </c>
      <c r="H1400">
        <v>0</v>
      </c>
      <c r="I1400">
        <v>0</v>
      </c>
      <c r="K1400" s="11">
        <f t="shared" si="21"/>
        <v>4.7481965694935457E-3</v>
      </c>
    </row>
    <row r="1401" spans="1:11" x14ac:dyDescent="0.2">
      <c r="A1401" s="2">
        <v>44495</v>
      </c>
      <c r="B1401">
        <v>4578.68994140625</v>
      </c>
      <c r="C1401">
        <v>4598.52978515625</v>
      </c>
      <c r="D1401">
        <v>4569.169921875</v>
      </c>
      <c r="E1401">
        <v>4574.7900390625</v>
      </c>
      <c r="F1401">
        <v>4574.7900390625</v>
      </c>
      <c r="G1401">
        <v>3879740000</v>
      </c>
      <c r="H1401">
        <v>0</v>
      </c>
      <c r="I1401">
        <v>0</v>
      </c>
      <c r="K1401" s="11">
        <f t="shared" si="21"/>
        <v>1.8197952535197182E-3</v>
      </c>
    </row>
    <row r="1402" spans="1:11" x14ac:dyDescent="0.2">
      <c r="A1402" s="2">
        <v>44496</v>
      </c>
      <c r="B1402">
        <v>4580.22021484375</v>
      </c>
      <c r="C1402">
        <v>4584.56982421875</v>
      </c>
      <c r="D1402">
        <v>4551.66015625</v>
      </c>
      <c r="E1402">
        <v>4551.68017578125</v>
      </c>
      <c r="F1402">
        <v>4551.68017578125</v>
      </c>
      <c r="G1402">
        <v>4226050000</v>
      </c>
      <c r="H1402">
        <v>0</v>
      </c>
      <c r="I1402">
        <v>0</v>
      </c>
      <c r="K1402" s="11">
        <f t="shared" si="21"/>
        <v>-5.0515680684628528E-3</v>
      </c>
    </row>
    <row r="1403" spans="1:11" x14ac:dyDescent="0.2">
      <c r="A1403" s="2">
        <v>44497</v>
      </c>
      <c r="B1403">
        <v>4562.83984375</v>
      </c>
      <c r="C1403">
        <v>4597.5498046875</v>
      </c>
      <c r="D1403">
        <v>4562.83984375</v>
      </c>
      <c r="E1403">
        <v>4596.419921875</v>
      </c>
      <c r="F1403">
        <v>4596.419921875</v>
      </c>
      <c r="G1403">
        <v>4132950000</v>
      </c>
      <c r="H1403">
        <v>0</v>
      </c>
      <c r="I1403">
        <v>0</v>
      </c>
      <c r="K1403" s="11">
        <f t="shared" si="21"/>
        <v>9.8292815764611241E-3</v>
      </c>
    </row>
    <row r="1404" spans="1:11" x14ac:dyDescent="0.2">
      <c r="A1404" s="2">
        <v>44498</v>
      </c>
      <c r="B1404">
        <v>4572.8701171875</v>
      </c>
      <c r="C1404">
        <v>4608.080078125</v>
      </c>
      <c r="D1404">
        <v>4567.58984375</v>
      </c>
      <c r="E1404">
        <v>4605.3798828125</v>
      </c>
      <c r="F1404">
        <v>4605.3798828125</v>
      </c>
      <c r="G1404">
        <v>4510200000</v>
      </c>
      <c r="H1404">
        <v>0</v>
      </c>
      <c r="I1404">
        <v>0</v>
      </c>
      <c r="K1404" s="11">
        <f t="shared" si="21"/>
        <v>1.9493347191492649E-3</v>
      </c>
    </row>
    <row r="1405" spans="1:11" x14ac:dyDescent="0.2">
      <c r="A1405" s="2">
        <v>44501</v>
      </c>
      <c r="B1405">
        <v>4610.6201171875</v>
      </c>
      <c r="C1405">
        <v>4620.33984375</v>
      </c>
      <c r="D1405">
        <v>4595.06005859375</v>
      </c>
      <c r="E1405">
        <v>4613.669921875</v>
      </c>
      <c r="F1405">
        <v>4613.669921875</v>
      </c>
      <c r="G1405">
        <v>3971540000</v>
      </c>
      <c r="H1405">
        <v>0</v>
      </c>
      <c r="I1405">
        <v>0</v>
      </c>
      <c r="K1405" s="11">
        <f t="shared" si="21"/>
        <v>1.8000771431341267E-3</v>
      </c>
    </row>
    <row r="1406" spans="1:11" x14ac:dyDescent="0.2">
      <c r="A1406" s="2">
        <v>44502</v>
      </c>
      <c r="B1406">
        <v>4613.33984375</v>
      </c>
      <c r="C1406">
        <v>4635.14990234375</v>
      </c>
      <c r="D1406">
        <v>4613.33984375</v>
      </c>
      <c r="E1406">
        <v>4630.64990234375</v>
      </c>
      <c r="F1406">
        <v>4630.64990234375</v>
      </c>
      <c r="G1406">
        <v>3975250000</v>
      </c>
      <c r="H1406">
        <v>0</v>
      </c>
      <c r="I1406">
        <v>0</v>
      </c>
      <c r="K1406" s="11">
        <f t="shared" si="21"/>
        <v>3.6803630854131963E-3</v>
      </c>
    </row>
    <row r="1407" spans="1:11" x14ac:dyDescent="0.2">
      <c r="A1407" s="2">
        <v>44503</v>
      </c>
      <c r="B1407">
        <v>4630.64990234375</v>
      </c>
      <c r="C1407">
        <v>4663.4599609375</v>
      </c>
      <c r="D1407">
        <v>4621.18994140625</v>
      </c>
      <c r="E1407">
        <v>4660.56982421875</v>
      </c>
      <c r="F1407">
        <v>4660.56982421875</v>
      </c>
      <c r="G1407">
        <v>4319660000</v>
      </c>
      <c r="H1407">
        <v>0</v>
      </c>
      <c r="I1407">
        <v>0</v>
      </c>
      <c r="K1407" s="11">
        <f t="shared" si="21"/>
        <v>6.461279195357994E-3</v>
      </c>
    </row>
    <row r="1408" spans="1:11" x14ac:dyDescent="0.2">
      <c r="A1408" s="2">
        <v>44504</v>
      </c>
      <c r="B1408">
        <v>4662.93017578125</v>
      </c>
      <c r="C1408">
        <v>4683</v>
      </c>
      <c r="D1408">
        <v>4662.58984375</v>
      </c>
      <c r="E1408">
        <v>4680.06005859375</v>
      </c>
      <c r="F1408">
        <v>4680.06005859375</v>
      </c>
      <c r="G1408">
        <v>4462300000</v>
      </c>
      <c r="H1408">
        <v>0</v>
      </c>
      <c r="I1408">
        <v>0</v>
      </c>
      <c r="K1408" s="11">
        <f t="shared" si="21"/>
        <v>4.1819423611504369E-3</v>
      </c>
    </row>
    <row r="1409" spans="1:11" x14ac:dyDescent="0.2">
      <c r="A1409" s="2">
        <v>44505</v>
      </c>
      <c r="B1409">
        <v>4699.259765625</v>
      </c>
      <c r="C1409">
        <v>4718.5</v>
      </c>
      <c r="D1409">
        <v>4681.31982421875</v>
      </c>
      <c r="E1409">
        <v>4697.52978515625</v>
      </c>
      <c r="F1409">
        <v>4697.52978515625</v>
      </c>
      <c r="G1409">
        <v>4467180000</v>
      </c>
      <c r="H1409">
        <v>0</v>
      </c>
      <c r="I1409">
        <v>0</v>
      </c>
      <c r="K1409" s="11">
        <f t="shared" si="21"/>
        <v>3.7327996529492591E-3</v>
      </c>
    </row>
    <row r="1410" spans="1:11" x14ac:dyDescent="0.2">
      <c r="A1410" s="2">
        <v>44508</v>
      </c>
      <c r="B1410">
        <v>4701.47998046875</v>
      </c>
      <c r="C1410">
        <v>4714.919921875</v>
      </c>
      <c r="D1410">
        <v>4694.39013671875</v>
      </c>
      <c r="E1410">
        <v>4701.7001953125</v>
      </c>
      <c r="F1410">
        <v>4701.7001953125</v>
      </c>
      <c r="G1410">
        <v>4269710000</v>
      </c>
      <c r="H1410">
        <v>0</v>
      </c>
      <c r="I1410">
        <v>0</v>
      </c>
      <c r="K1410" s="11">
        <f t="shared" si="21"/>
        <v>8.8778791130361689E-4</v>
      </c>
    </row>
    <row r="1411" spans="1:11" x14ac:dyDescent="0.2">
      <c r="A1411" s="2">
        <v>44509</v>
      </c>
      <c r="B1411">
        <v>4707.25</v>
      </c>
      <c r="C1411">
        <v>4708.52978515625</v>
      </c>
      <c r="D1411">
        <v>4670.8701171875</v>
      </c>
      <c r="E1411">
        <v>4685.25</v>
      </c>
      <c r="F1411">
        <v>4685.25</v>
      </c>
      <c r="G1411">
        <v>4117080000</v>
      </c>
      <c r="H1411">
        <v>0</v>
      </c>
      <c r="I1411">
        <v>0</v>
      </c>
      <c r="K1411" s="11">
        <f t="shared" si="21"/>
        <v>-3.4987758957707449E-3</v>
      </c>
    </row>
    <row r="1412" spans="1:11" x14ac:dyDescent="0.2">
      <c r="A1412" s="2">
        <v>44510</v>
      </c>
      <c r="B1412">
        <v>4670.259765625</v>
      </c>
      <c r="C1412">
        <v>4684.85009765625</v>
      </c>
      <c r="D1412">
        <v>4630.85986328125</v>
      </c>
      <c r="E1412">
        <v>4646.7099609375</v>
      </c>
      <c r="F1412">
        <v>4646.7099609375</v>
      </c>
      <c r="G1412">
        <v>4503720000</v>
      </c>
      <c r="H1412">
        <v>0</v>
      </c>
      <c r="I1412">
        <v>0</v>
      </c>
      <c r="K1412" s="11">
        <f t="shared" ref="K1412:K1475" si="22">(E1412/E1411)-1</f>
        <v>-8.2258233952297033E-3</v>
      </c>
    </row>
    <row r="1413" spans="1:11" x14ac:dyDescent="0.2">
      <c r="A1413" s="2">
        <v>44511</v>
      </c>
      <c r="B1413">
        <v>4659.39013671875</v>
      </c>
      <c r="C1413">
        <v>4664.5498046875</v>
      </c>
      <c r="D1413">
        <v>4648.31005859375</v>
      </c>
      <c r="E1413">
        <v>4649.27001953125</v>
      </c>
      <c r="F1413">
        <v>4649.27001953125</v>
      </c>
      <c r="G1413">
        <v>3926870000</v>
      </c>
      <c r="H1413">
        <v>0</v>
      </c>
      <c r="I1413">
        <v>0</v>
      </c>
      <c r="K1413" s="11">
        <f t="shared" si="22"/>
        <v>5.509400447352153E-4</v>
      </c>
    </row>
    <row r="1414" spans="1:11" x14ac:dyDescent="0.2">
      <c r="A1414" s="2">
        <v>44512</v>
      </c>
      <c r="B1414">
        <v>4655.240234375</v>
      </c>
      <c r="C1414">
        <v>4688.47021484375</v>
      </c>
      <c r="D1414">
        <v>4650.77001953125</v>
      </c>
      <c r="E1414">
        <v>4682.85009765625</v>
      </c>
      <c r="F1414">
        <v>4682.85009765625</v>
      </c>
      <c r="G1414">
        <v>3728600000</v>
      </c>
      <c r="H1414">
        <v>0</v>
      </c>
      <c r="I1414">
        <v>0</v>
      </c>
      <c r="K1414" s="11">
        <f t="shared" si="22"/>
        <v>7.2226560264154749E-3</v>
      </c>
    </row>
    <row r="1415" spans="1:11" x14ac:dyDescent="0.2">
      <c r="A1415" s="2">
        <v>44515</v>
      </c>
      <c r="B1415">
        <v>4689.2998046875</v>
      </c>
      <c r="C1415">
        <v>4697.419921875</v>
      </c>
      <c r="D1415">
        <v>4672.85986328125</v>
      </c>
      <c r="E1415">
        <v>4682.7998046875</v>
      </c>
      <c r="F1415">
        <v>4682.7998046875</v>
      </c>
      <c r="G1415">
        <v>3488410000</v>
      </c>
      <c r="H1415">
        <v>0</v>
      </c>
      <c r="I1415">
        <v>0</v>
      </c>
      <c r="K1415" s="11">
        <f t="shared" si="22"/>
        <v>-1.0739820344718431E-5</v>
      </c>
    </row>
    <row r="1416" spans="1:11" x14ac:dyDescent="0.2">
      <c r="A1416" s="2">
        <v>44516</v>
      </c>
      <c r="B1416">
        <v>4679.419921875</v>
      </c>
      <c r="C1416">
        <v>4714.9501953125</v>
      </c>
      <c r="D1416">
        <v>4679.419921875</v>
      </c>
      <c r="E1416">
        <v>4700.89990234375</v>
      </c>
      <c r="F1416">
        <v>4700.89990234375</v>
      </c>
      <c r="G1416">
        <v>3972640000</v>
      </c>
      <c r="H1416">
        <v>0</v>
      </c>
      <c r="I1416">
        <v>0</v>
      </c>
      <c r="K1416" s="11">
        <f t="shared" si="22"/>
        <v>3.865229864862485E-3</v>
      </c>
    </row>
    <row r="1417" spans="1:11" x14ac:dyDescent="0.2">
      <c r="A1417" s="2">
        <v>44517</v>
      </c>
      <c r="B1417">
        <v>4701.5</v>
      </c>
      <c r="C1417">
        <v>4701.5</v>
      </c>
      <c r="D1417">
        <v>4684.41015625</v>
      </c>
      <c r="E1417">
        <v>4688.669921875</v>
      </c>
      <c r="F1417">
        <v>4688.669921875</v>
      </c>
      <c r="G1417">
        <v>3969070000</v>
      </c>
      <c r="H1417">
        <v>0</v>
      </c>
      <c r="I1417">
        <v>0</v>
      </c>
      <c r="K1417" s="11">
        <f t="shared" si="22"/>
        <v>-2.601625374463401E-3</v>
      </c>
    </row>
    <row r="1418" spans="1:11" x14ac:dyDescent="0.2">
      <c r="A1418" s="2">
        <v>44518</v>
      </c>
      <c r="B1418">
        <v>4700.72021484375</v>
      </c>
      <c r="C1418">
        <v>4708.7998046875</v>
      </c>
      <c r="D1418">
        <v>4672.77978515625</v>
      </c>
      <c r="E1418">
        <v>4704.5400390625</v>
      </c>
      <c r="F1418">
        <v>4704.5400390625</v>
      </c>
      <c r="G1418">
        <v>4226410000</v>
      </c>
      <c r="H1418">
        <v>0</v>
      </c>
      <c r="I1418">
        <v>0</v>
      </c>
      <c r="K1418" s="11">
        <f t="shared" si="22"/>
        <v>3.3847802152713324E-3</v>
      </c>
    </row>
    <row r="1419" spans="1:11" x14ac:dyDescent="0.2">
      <c r="A1419" s="2">
        <v>44519</v>
      </c>
      <c r="B1419">
        <v>4708.43994140625</v>
      </c>
      <c r="C1419">
        <v>4717.75</v>
      </c>
      <c r="D1419">
        <v>4694.22021484375</v>
      </c>
      <c r="E1419">
        <v>4697.9599609375</v>
      </c>
      <c r="F1419">
        <v>4697.9599609375</v>
      </c>
      <c r="G1419">
        <v>4253180000</v>
      </c>
      <c r="H1419">
        <v>0</v>
      </c>
      <c r="I1419">
        <v>0</v>
      </c>
      <c r="K1419" s="11">
        <f t="shared" si="22"/>
        <v>-1.398665559303236E-3</v>
      </c>
    </row>
    <row r="1420" spans="1:11" x14ac:dyDescent="0.2">
      <c r="A1420" s="2">
        <v>44522</v>
      </c>
      <c r="B1420">
        <v>4712</v>
      </c>
      <c r="C1420">
        <v>4743.830078125</v>
      </c>
      <c r="D1420">
        <v>4682.169921875</v>
      </c>
      <c r="E1420">
        <v>4682.93994140625</v>
      </c>
      <c r="F1420">
        <v>4682.93994140625</v>
      </c>
      <c r="G1420">
        <v>4441100000</v>
      </c>
      <c r="H1420">
        <v>0</v>
      </c>
      <c r="I1420">
        <v>0</v>
      </c>
      <c r="K1420" s="11">
        <f t="shared" si="22"/>
        <v>-3.1971365563219223E-3</v>
      </c>
    </row>
    <row r="1421" spans="1:11" x14ac:dyDescent="0.2">
      <c r="A1421" s="2">
        <v>44523</v>
      </c>
      <c r="B1421">
        <v>4678.47998046875</v>
      </c>
      <c r="C1421">
        <v>4699.39013671875</v>
      </c>
      <c r="D1421">
        <v>4652.66015625</v>
      </c>
      <c r="E1421">
        <v>4690.7001953125</v>
      </c>
      <c r="F1421">
        <v>4690.7001953125</v>
      </c>
      <c r="G1421">
        <v>4277590000</v>
      </c>
      <c r="H1421">
        <v>0</v>
      </c>
      <c r="I1421">
        <v>0</v>
      </c>
      <c r="K1421" s="11">
        <f t="shared" si="22"/>
        <v>1.657132912945114E-3</v>
      </c>
    </row>
    <row r="1422" spans="1:11" x14ac:dyDescent="0.2">
      <c r="A1422" s="2">
        <v>44524</v>
      </c>
      <c r="B1422">
        <v>4675.77978515625</v>
      </c>
      <c r="C1422">
        <v>4702.8701171875</v>
      </c>
      <c r="D1422">
        <v>4659.89013671875</v>
      </c>
      <c r="E1422">
        <v>4701.4599609375</v>
      </c>
      <c r="F1422">
        <v>4701.4599609375</v>
      </c>
      <c r="G1422">
        <v>3418430000</v>
      </c>
      <c r="H1422">
        <v>0</v>
      </c>
      <c r="I1422">
        <v>0</v>
      </c>
      <c r="K1422" s="11">
        <f t="shared" si="22"/>
        <v>2.2938506357221833E-3</v>
      </c>
    </row>
    <row r="1423" spans="1:11" x14ac:dyDescent="0.2">
      <c r="A1423" s="2">
        <v>44526</v>
      </c>
      <c r="B1423">
        <v>4664.6298828125</v>
      </c>
      <c r="C1423">
        <v>4664.6298828125</v>
      </c>
      <c r="D1423">
        <v>4585.43017578125</v>
      </c>
      <c r="E1423">
        <v>4594.6201171875</v>
      </c>
      <c r="F1423">
        <v>4594.6201171875</v>
      </c>
      <c r="G1423">
        <v>3517700000</v>
      </c>
      <c r="H1423">
        <v>0</v>
      </c>
      <c r="I1423">
        <v>0</v>
      </c>
      <c r="K1423" s="11">
        <f t="shared" si="22"/>
        <v>-2.2724822637582465E-2</v>
      </c>
    </row>
    <row r="1424" spans="1:11" x14ac:dyDescent="0.2">
      <c r="A1424" s="2">
        <v>44529</v>
      </c>
      <c r="B1424">
        <v>4628.75</v>
      </c>
      <c r="C1424">
        <v>4672.9501953125</v>
      </c>
      <c r="D1424">
        <v>4625.259765625</v>
      </c>
      <c r="E1424">
        <v>4655.27001953125</v>
      </c>
      <c r="F1424">
        <v>4655.27001953125</v>
      </c>
      <c r="G1424">
        <v>4336410000</v>
      </c>
      <c r="H1424">
        <v>0</v>
      </c>
      <c r="I1424">
        <v>0</v>
      </c>
      <c r="K1424" s="11">
        <f t="shared" si="22"/>
        <v>1.3200199537034996E-2</v>
      </c>
    </row>
    <row r="1425" spans="1:11" x14ac:dyDescent="0.2">
      <c r="A1425" s="2">
        <v>44530</v>
      </c>
      <c r="B1425">
        <v>4640.25</v>
      </c>
      <c r="C1425">
        <v>4646.02001953125</v>
      </c>
      <c r="D1425">
        <v>4560</v>
      </c>
      <c r="E1425">
        <v>4567</v>
      </c>
      <c r="F1425">
        <v>4567</v>
      </c>
      <c r="G1425">
        <v>6625990000</v>
      </c>
      <c r="H1425">
        <v>0</v>
      </c>
      <c r="I1425">
        <v>0</v>
      </c>
      <c r="K1425" s="11">
        <f t="shared" si="22"/>
        <v>-1.896131033450521E-2</v>
      </c>
    </row>
    <row r="1426" spans="1:11" x14ac:dyDescent="0.2">
      <c r="A1426" s="2">
        <v>44531</v>
      </c>
      <c r="B1426">
        <v>4602.81982421875</v>
      </c>
      <c r="C1426">
        <v>4652.93994140625</v>
      </c>
      <c r="D1426">
        <v>4510.27001953125</v>
      </c>
      <c r="E1426">
        <v>4513.0400390625</v>
      </c>
      <c r="F1426">
        <v>4513.0400390625</v>
      </c>
      <c r="G1426">
        <v>5366730000</v>
      </c>
      <c r="H1426">
        <v>0</v>
      </c>
      <c r="I1426">
        <v>0</v>
      </c>
      <c r="K1426" s="11">
        <f t="shared" si="22"/>
        <v>-1.1815187417889228E-2</v>
      </c>
    </row>
    <row r="1427" spans="1:11" x14ac:dyDescent="0.2">
      <c r="A1427" s="2">
        <v>44532</v>
      </c>
      <c r="B1427">
        <v>4504.72998046875</v>
      </c>
      <c r="C1427">
        <v>4595.4599609375</v>
      </c>
      <c r="D1427">
        <v>4504.72998046875</v>
      </c>
      <c r="E1427">
        <v>4577.10009765625</v>
      </c>
      <c r="F1427">
        <v>4577.10009765625</v>
      </c>
      <c r="G1427">
        <v>5077180000</v>
      </c>
      <c r="H1427">
        <v>0</v>
      </c>
      <c r="I1427">
        <v>0</v>
      </c>
      <c r="K1427" s="11">
        <f t="shared" si="22"/>
        <v>1.419443613158311E-2</v>
      </c>
    </row>
    <row r="1428" spans="1:11" x14ac:dyDescent="0.2">
      <c r="A1428" s="2">
        <v>44533</v>
      </c>
      <c r="B1428">
        <v>4589.490234375</v>
      </c>
      <c r="C1428">
        <v>4608.02978515625</v>
      </c>
      <c r="D1428">
        <v>4495.1201171875</v>
      </c>
      <c r="E1428">
        <v>4538.43017578125</v>
      </c>
      <c r="F1428">
        <v>4538.43017578125</v>
      </c>
      <c r="G1428">
        <v>5240070000</v>
      </c>
      <c r="H1428">
        <v>0</v>
      </c>
      <c r="I1428">
        <v>0</v>
      </c>
      <c r="K1428" s="11">
        <f t="shared" si="22"/>
        <v>-8.4485637302975647E-3</v>
      </c>
    </row>
    <row r="1429" spans="1:11" x14ac:dyDescent="0.2">
      <c r="A1429" s="2">
        <v>44536</v>
      </c>
      <c r="B1429">
        <v>4548.3701171875</v>
      </c>
      <c r="C1429">
        <v>4612.60009765625</v>
      </c>
      <c r="D1429">
        <v>4540.509765625</v>
      </c>
      <c r="E1429">
        <v>4591.669921875</v>
      </c>
      <c r="F1429">
        <v>4591.669921875</v>
      </c>
      <c r="G1429">
        <v>4770800000</v>
      </c>
      <c r="H1429">
        <v>0</v>
      </c>
      <c r="I1429">
        <v>0</v>
      </c>
      <c r="K1429" s="11">
        <f t="shared" si="22"/>
        <v>1.1730872577451423E-2</v>
      </c>
    </row>
    <row r="1430" spans="1:11" x14ac:dyDescent="0.2">
      <c r="A1430" s="2">
        <v>44537</v>
      </c>
      <c r="B1430">
        <v>4631.97021484375</v>
      </c>
      <c r="C1430">
        <v>4694.0400390625</v>
      </c>
      <c r="D1430">
        <v>4631.97021484375</v>
      </c>
      <c r="E1430">
        <v>4686.75</v>
      </c>
      <c r="F1430">
        <v>4686.75</v>
      </c>
      <c r="G1430">
        <v>4492400000</v>
      </c>
      <c r="H1430">
        <v>0</v>
      </c>
      <c r="I1430">
        <v>0</v>
      </c>
      <c r="K1430" s="11">
        <f t="shared" si="22"/>
        <v>2.0707080374404274E-2</v>
      </c>
    </row>
    <row r="1431" spans="1:11" x14ac:dyDescent="0.2">
      <c r="A1431" s="2">
        <v>44538</v>
      </c>
      <c r="B1431">
        <v>4690.85986328125</v>
      </c>
      <c r="C1431">
        <v>4705.06005859375</v>
      </c>
      <c r="D1431">
        <v>4674.52001953125</v>
      </c>
      <c r="E1431">
        <v>4701.2099609375</v>
      </c>
      <c r="F1431">
        <v>4701.2099609375</v>
      </c>
      <c r="G1431">
        <v>4234600000</v>
      </c>
      <c r="H1431">
        <v>0</v>
      </c>
      <c r="I1431">
        <v>0</v>
      </c>
      <c r="K1431" s="11">
        <f t="shared" si="22"/>
        <v>3.0852853123166657E-3</v>
      </c>
    </row>
    <row r="1432" spans="1:11" x14ac:dyDescent="0.2">
      <c r="A1432" s="2">
        <v>44539</v>
      </c>
      <c r="B1432">
        <v>4691</v>
      </c>
      <c r="C1432">
        <v>4695.259765625</v>
      </c>
      <c r="D1432">
        <v>4665.97998046875</v>
      </c>
      <c r="E1432">
        <v>4667.4501953125</v>
      </c>
      <c r="F1432">
        <v>4667.4501953125</v>
      </c>
      <c r="G1432">
        <v>3903840000</v>
      </c>
      <c r="H1432">
        <v>0</v>
      </c>
      <c r="I1432">
        <v>0</v>
      </c>
      <c r="K1432" s="11">
        <f t="shared" si="22"/>
        <v>-7.1810801698947158E-3</v>
      </c>
    </row>
    <row r="1433" spans="1:11" x14ac:dyDescent="0.2">
      <c r="A1433" s="2">
        <v>44540</v>
      </c>
      <c r="B1433">
        <v>4687.64013671875</v>
      </c>
      <c r="C1433">
        <v>4713.56982421875</v>
      </c>
      <c r="D1433">
        <v>4670.240234375</v>
      </c>
      <c r="E1433">
        <v>4712.02001953125</v>
      </c>
      <c r="F1433">
        <v>4712.02001953125</v>
      </c>
      <c r="G1433">
        <v>3870110000</v>
      </c>
      <c r="H1433">
        <v>0</v>
      </c>
      <c r="I1433">
        <v>0</v>
      </c>
      <c r="K1433" s="11">
        <f t="shared" si="22"/>
        <v>9.5490733384817617E-3</v>
      </c>
    </row>
    <row r="1434" spans="1:11" x14ac:dyDescent="0.2">
      <c r="A1434" s="2">
        <v>44543</v>
      </c>
      <c r="B1434">
        <v>4710.2998046875</v>
      </c>
      <c r="C1434">
        <v>4710.2998046875</v>
      </c>
      <c r="D1434">
        <v>4667.60009765625</v>
      </c>
      <c r="E1434">
        <v>4668.97021484375</v>
      </c>
      <c r="F1434">
        <v>4668.97021484375</v>
      </c>
      <c r="G1434">
        <v>4397230000</v>
      </c>
      <c r="H1434">
        <v>0</v>
      </c>
      <c r="I1434">
        <v>0</v>
      </c>
      <c r="K1434" s="11">
        <f t="shared" si="22"/>
        <v>-9.1361676115676582E-3</v>
      </c>
    </row>
    <row r="1435" spans="1:11" x14ac:dyDescent="0.2">
      <c r="A1435" s="2">
        <v>44544</v>
      </c>
      <c r="B1435">
        <v>4642.990234375</v>
      </c>
      <c r="C1435">
        <v>4660.47021484375</v>
      </c>
      <c r="D1435">
        <v>4606.52001953125</v>
      </c>
      <c r="E1435">
        <v>4634.08984375</v>
      </c>
      <c r="F1435">
        <v>4634.08984375</v>
      </c>
      <c r="G1435">
        <v>4485430000</v>
      </c>
      <c r="H1435">
        <v>0</v>
      </c>
      <c r="I1435">
        <v>0</v>
      </c>
      <c r="K1435" s="11">
        <f t="shared" si="22"/>
        <v>-7.4706775774360246E-3</v>
      </c>
    </row>
    <row r="1436" spans="1:11" x14ac:dyDescent="0.2">
      <c r="A1436" s="2">
        <v>44545</v>
      </c>
      <c r="B1436">
        <v>4636.4599609375</v>
      </c>
      <c r="C1436">
        <v>4712.60009765625</v>
      </c>
      <c r="D1436">
        <v>4611.22021484375</v>
      </c>
      <c r="E1436">
        <v>4709.85009765625</v>
      </c>
      <c r="F1436">
        <v>4709.85009765625</v>
      </c>
      <c r="G1436">
        <v>4910130000</v>
      </c>
      <c r="H1436">
        <v>0</v>
      </c>
      <c r="I1436">
        <v>0</v>
      </c>
      <c r="K1436" s="11">
        <f t="shared" si="22"/>
        <v>1.6348464630746795E-2</v>
      </c>
    </row>
    <row r="1437" spans="1:11" x14ac:dyDescent="0.2">
      <c r="A1437" s="2">
        <v>44546</v>
      </c>
      <c r="B1437">
        <v>4719.1298828125</v>
      </c>
      <c r="C1437">
        <v>4731.990234375</v>
      </c>
      <c r="D1437">
        <v>4651.89013671875</v>
      </c>
      <c r="E1437">
        <v>4668.669921875</v>
      </c>
      <c r="F1437">
        <v>4668.669921875</v>
      </c>
      <c r="G1437">
        <v>4829500000</v>
      </c>
      <c r="H1437">
        <v>0</v>
      </c>
      <c r="I1437">
        <v>0</v>
      </c>
      <c r="K1437" s="11">
        <f t="shared" si="22"/>
        <v>-8.7434153799804681E-3</v>
      </c>
    </row>
    <row r="1438" spans="1:11" x14ac:dyDescent="0.2">
      <c r="A1438" s="2">
        <v>44547</v>
      </c>
      <c r="B1438">
        <v>4652.5</v>
      </c>
      <c r="C1438">
        <v>4666.7001953125</v>
      </c>
      <c r="D1438">
        <v>4600.22021484375</v>
      </c>
      <c r="E1438">
        <v>4620.64013671875</v>
      </c>
      <c r="F1438">
        <v>4620.64013671875</v>
      </c>
      <c r="G1438">
        <v>7987090000</v>
      </c>
      <c r="H1438">
        <v>0</v>
      </c>
      <c r="I1438">
        <v>0</v>
      </c>
      <c r="K1438" s="11">
        <f t="shared" si="22"/>
        <v>-1.0287680637092622E-2</v>
      </c>
    </row>
    <row r="1439" spans="1:11" x14ac:dyDescent="0.2">
      <c r="A1439" s="2">
        <v>44550</v>
      </c>
      <c r="B1439">
        <v>4587.89990234375</v>
      </c>
      <c r="C1439">
        <v>4587.89990234375</v>
      </c>
      <c r="D1439">
        <v>4531.10009765625</v>
      </c>
      <c r="E1439">
        <v>4568.02001953125</v>
      </c>
      <c r="F1439">
        <v>4568.02001953125</v>
      </c>
      <c r="G1439">
        <v>4635700000</v>
      </c>
      <c r="H1439">
        <v>0</v>
      </c>
      <c r="I1439">
        <v>0</v>
      </c>
      <c r="K1439" s="11">
        <f t="shared" si="22"/>
        <v>-1.138805785140995E-2</v>
      </c>
    </row>
    <row r="1440" spans="1:11" x14ac:dyDescent="0.2">
      <c r="A1440" s="2">
        <v>44551</v>
      </c>
      <c r="B1440">
        <v>4594.9599609375</v>
      </c>
      <c r="C1440">
        <v>4651.14013671875</v>
      </c>
      <c r="D1440">
        <v>4583.16015625</v>
      </c>
      <c r="E1440">
        <v>4649.22998046875</v>
      </c>
      <c r="F1440">
        <v>4649.22998046875</v>
      </c>
      <c r="G1440">
        <v>4072430000</v>
      </c>
      <c r="H1440">
        <v>0</v>
      </c>
      <c r="I1440">
        <v>0</v>
      </c>
      <c r="K1440" s="11">
        <f t="shared" si="22"/>
        <v>1.7777934551572505E-2</v>
      </c>
    </row>
    <row r="1441" spans="1:11" x14ac:dyDescent="0.2">
      <c r="A1441" s="2">
        <v>44552</v>
      </c>
      <c r="B1441">
        <v>4650.35986328125</v>
      </c>
      <c r="C1441">
        <v>4697.669921875</v>
      </c>
      <c r="D1441">
        <v>4645.52978515625</v>
      </c>
      <c r="E1441">
        <v>4696.56005859375</v>
      </c>
      <c r="F1441">
        <v>4696.56005859375</v>
      </c>
      <c r="G1441">
        <v>3319610000</v>
      </c>
      <c r="H1441">
        <v>0</v>
      </c>
      <c r="I1441">
        <v>0</v>
      </c>
      <c r="K1441" s="11">
        <f t="shared" si="22"/>
        <v>1.0180197220578835E-2</v>
      </c>
    </row>
    <row r="1442" spans="1:11" x14ac:dyDescent="0.2">
      <c r="A1442" s="2">
        <v>44553</v>
      </c>
      <c r="B1442">
        <v>4703.9599609375</v>
      </c>
      <c r="C1442">
        <v>4740.740234375</v>
      </c>
      <c r="D1442">
        <v>4703.9599609375</v>
      </c>
      <c r="E1442">
        <v>4725.7900390625</v>
      </c>
      <c r="F1442">
        <v>4725.7900390625</v>
      </c>
      <c r="G1442">
        <v>2913040000</v>
      </c>
      <c r="H1442">
        <v>0</v>
      </c>
      <c r="I1442">
        <v>0</v>
      </c>
      <c r="K1442" s="11">
        <f t="shared" si="22"/>
        <v>6.2236999216618294E-3</v>
      </c>
    </row>
    <row r="1443" spans="1:11" x14ac:dyDescent="0.2">
      <c r="A1443" s="2">
        <v>44557</v>
      </c>
      <c r="B1443">
        <v>4733.990234375</v>
      </c>
      <c r="C1443">
        <v>4791.490234375</v>
      </c>
      <c r="D1443">
        <v>4733.990234375</v>
      </c>
      <c r="E1443">
        <v>4791.18994140625</v>
      </c>
      <c r="F1443">
        <v>4791.18994140625</v>
      </c>
      <c r="G1443">
        <v>2770290000</v>
      </c>
      <c r="H1443">
        <v>0</v>
      </c>
      <c r="I1443">
        <v>0</v>
      </c>
      <c r="K1443" s="11">
        <f t="shared" si="22"/>
        <v>1.3838935247475259E-2</v>
      </c>
    </row>
    <row r="1444" spans="1:11" x14ac:dyDescent="0.2">
      <c r="A1444" s="2">
        <v>44558</v>
      </c>
      <c r="B1444">
        <v>4795.490234375</v>
      </c>
      <c r="C1444">
        <v>4807.02001953125</v>
      </c>
      <c r="D1444">
        <v>4780.0400390625</v>
      </c>
      <c r="E1444">
        <v>4786.35009765625</v>
      </c>
      <c r="F1444">
        <v>4786.35009765625</v>
      </c>
      <c r="G1444">
        <v>2707920000</v>
      </c>
      <c r="H1444">
        <v>0</v>
      </c>
      <c r="I1444">
        <v>0</v>
      </c>
      <c r="K1444" s="11">
        <f t="shared" si="22"/>
        <v>-1.0101548486260992E-3</v>
      </c>
    </row>
    <row r="1445" spans="1:11" x14ac:dyDescent="0.2">
      <c r="A1445" s="2">
        <v>44559</v>
      </c>
      <c r="B1445">
        <v>4788.64013671875</v>
      </c>
      <c r="C1445">
        <v>4804.06005859375</v>
      </c>
      <c r="D1445">
        <v>4778.080078125</v>
      </c>
      <c r="E1445">
        <v>4793.06005859375</v>
      </c>
      <c r="F1445">
        <v>4793.06005859375</v>
      </c>
      <c r="G1445">
        <v>2963310000</v>
      </c>
      <c r="H1445">
        <v>0</v>
      </c>
      <c r="I1445">
        <v>0</v>
      </c>
      <c r="K1445" s="11">
        <f t="shared" si="22"/>
        <v>1.4018951394270118E-3</v>
      </c>
    </row>
    <row r="1446" spans="1:11" x14ac:dyDescent="0.2">
      <c r="A1446" s="2">
        <v>44560</v>
      </c>
      <c r="B1446">
        <v>4794.22998046875</v>
      </c>
      <c r="C1446">
        <v>4808.93017578125</v>
      </c>
      <c r="D1446">
        <v>4775.330078125</v>
      </c>
      <c r="E1446">
        <v>4778.72998046875</v>
      </c>
      <c r="F1446">
        <v>4778.72998046875</v>
      </c>
      <c r="G1446">
        <v>3124950000</v>
      </c>
      <c r="H1446">
        <v>0</v>
      </c>
      <c r="I1446">
        <v>0</v>
      </c>
      <c r="K1446" s="11">
        <f t="shared" si="22"/>
        <v>-2.9897555945093135E-3</v>
      </c>
    </row>
    <row r="1447" spans="1:11" x14ac:dyDescent="0.2">
      <c r="A1447" s="2">
        <v>44561</v>
      </c>
      <c r="B1447">
        <v>4775.2099609375</v>
      </c>
      <c r="C1447">
        <v>4786.830078125</v>
      </c>
      <c r="D1447">
        <v>4765.75</v>
      </c>
      <c r="E1447">
        <v>4766.18017578125</v>
      </c>
      <c r="F1447">
        <v>4766.18017578125</v>
      </c>
      <c r="G1447">
        <v>2677820000</v>
      </c>
      <c r="H1447">
        <v>0</v>
      </c>
      <c r="I1447">
        <v>0</v>
      </c>
      <c r="K1447" s="11">
        <f t="shared" si="22"/>
        <v>-2.6261799136575448E-3</v>
      </c>
    </row>
    <row r="1448" spans="1:11" x14ac:dyDescent="0.2">
      <c r="A1448" s="2">
        <v>44564</v>
      </c>
      <c r="B1448">
        <v>4778.14013671875</v>
      </c>
      <c r="C1448">
        <v>4796.64013671875</v>
      </c>
      <c r="D1448">
        <v>4758.169921875</v>
      </c>
      <c r="E1448">
        <v>4796.56005859375</v>
      </c>
      <c r="F1448">
        <v>4796.56005859375</v>
      </c>
      <c r="G1448">
        <v>3831020000</v>
      </c>
      <c r="H1448">
        <v>0</v>
      </c>
      <c r="I1448">
        <v>0</v>
      </c>
      <c r="K1448" s="11">
        <f t="shared" si="22"/>
        <v>6.3740525309705642E-3</v>
      </c>
    </row>
    <row r="1449" spans="1:11" x14ac:dyDescent="0.2">
      <c r="A1449" s="2">
        <v>44565</v>
      </c>
      <c r="B1449">
        <v>4804.509765625</v>
      </c>
      <c r="C1449">
        <v>4818.6201171875</v>
      </c>
      <c r="D1449">
        <v>4774.27001953125</v>
      </c>
      <c r="E1449">
        <v>4793.5400390625</v>
      </c>
      <c r="F1449">
        <v>4793.5400390625</v>
      </c>
      <c r="G1449">
        <v>4683170000</v>
      </c>
      <c r="H1449">
        <v>0</v>
      </c>
      <c r="I1449">
        <v>0</v>
      </c>
      <c r="K1449" s="11">
        <f t="shared" si="22"/>
        <v>-6.2962195706051105E-4</v>
      </c>
    </row>
    <row r="1450" spans="1:11" x14ac:dyDescent="0.2">
      <c r="A1450" s="2">
        <v>44566</v>
      </c>
      <c r="B1450">
        <v>4787.990234375</v>
      </c>
      <c r="C1450">
        <v>4797.7001953125</v>
      </c>
      <c r="D1450">
        <v>4699.43994140625</v>
      </c>
      <c r="E1450">
        <v>4700.580078125</v>
      </c>
      <c r="F1450">
        <v>4700.580078125</v>
      </c>
      <c r="G1450">
        <v>4887960000</v>
      </c>
      <c r="H1450">
        <v>0</v>
      </c>
      <c r="I1450">
        <v>0</v>
      </c>
      <c r="K1450" s="11">
        <f t="shared" si="22"/>
        <v>-1.9392757790687165E-2</v>
      </c>
    </row>
    <row r="1451" spans="1:11" x14ac:dyDescent="0.2">
      <c r="A1451" s="2">
        <v>44567</v>
      </c>
      <c r="B1451">
        <v>4693.39013671875</v>
      </c>
      <c r="C1451">
        <v>4725.009765625</v>
      </c>
      <c r="D1451">
        <v>4671.259765625</v>
      </c>
      <c r="E1451">
        <v>4696.0498046875</v>
      </c>
      <c r="F1451">
        <v>4696.0498046875</v>
      </c>
      <c r="G1451">
        <v>4295280000</v>
      </c>
      <c r="H1451">
        <v>0</v>
      </c>
      <c r="I1451">
        <v>0</v>
      </c>
      <c r="K1451" s="11">
        <f t="shared" si="22"/>
        <v>-9.6376901620764954E-4</v>
      </c>
    </row>
    <row r="1452" spans="1:11" x14ac:dyDescent="0.2">
      <c r="A1452" s="2">
        <v>44568</v>
      </c>
      <c r="B1452">
        <v>4697.66015625</v>
      </c>
      <c r="C1452">
        <v>4707.9501953125</v>
      </c>
      <c r="D1452">
        <v>4662.740234375</v>
      </c>
      <c r="E1452">
        <v>4677.02978515625</v>
      </c>
      <c r="F1452">
        <v>4677.02978515625</v>
      </c>
      <c r="G1452">
        <v>4181510000</v>
      </c>
      <c r="H1452">
        <v>0</v>
      </c>
      <c r="I1452">
        <v>0</v>
      </c>
      <c r="K1452" s="11">
        <f t="shared" si="22"/>
        <v>-4.050216740091761E-3</v>
      </c>
    </row>
    <row r="1453" spans="1:11" x14ac:dyDescent="0.2">
      <c r="A1453" s="2">
        <v>44571</v>
      </c>
      <c r="B1453">
        <v>4655.33984375</v>
      </c>
      <c r="C1453">
        <v>4673.02001953125</v>
      </c>
      <c r="D1453">
        <v>4582.240234375</v>
      </c>
      <c r="E1453">
        <v>4670.2900390625</v>
      </c>
      <c r="F1453">
        <v>4670.2900390625</v>
      </c>
      <c r="G1453">
        <v>4511810000</v>
      </c>
      <c r="H1453">
        <v>0</v>
      </c>
      <c r="I1453">
        <v>0</v>
      </c>
      <c r="K1453" s="11">
        <f t="shared" si="22"/>
        <v>-1.4410312534549607E-3</v>
      </c>
    </row>
    <row r="1454" spans="1:11" x14ac:dyDescent="0.2">
      <c r="A1454" s="2">
        <v>44572</v>
      </c>
      <c r="B1454">
        <v>4669.14013671875</v>
      </c>
      <c r="C1454">
        <v>4714.1298828125</v>
      </c>
      <c r="D1454">
        <v>4638.27001953125</v>
      </c>
      <c r="E1454">
        <v>4713.06982421875</v>
      </c>
      <c r="F1454">
        <v>4713.06982421875</v>
      </c>
      <c r="G1454">
        <v>4101590000</v>
      </c>
      <c r="H1454">
        <v>0</v>
      </c>
      <c r="I1454">
        <v>0</v>
      </c>
      <c r="K1454" s="11">
        <f t="shared" si="22"/>
        <v>9.159984668711818E-3</v>
      </c>
    </row>
    <row r="1455" spans="1:11" x14ac:dyDescent="0.2">
      <c r="A1455" s="2">
        <v>44573</v>
      </c>
      <c r="B1455">
        <v>4728.58984375</v>
      </c>
      <c r="C1455">
        <v>4748.830078125</v>
      </c>
      <c r="D1455">
        <v>4706.7099609375</v>
      </c>
      <c r="E1455">
        <v>4726.35009765625</v>
      </c>
      <c r="F1455">
        <v>4726.35009765625</v>
      </c>
      <c r="G1455">
        <v>4048220000</v>
      </c>
      <c r="H1455">
        <v>0</v>
      </c>
      <c r="I1455">
        <v>0</v>
      </c>
      <c r="K1455" s="11">
        <f t="shared" si="22"/>
        <v>2.8177544430294521E-3</v>
      </c>
    </row>
    <row r="1456" spans="1:11" x14ac:dyDescent="0.2">
      <c r="A1456" s="2">
        <v>44574</v>
      </c>
      <c r="B1456">
        <v>4733.56005859375</v>
      </c>
      <c r="C1456">
        <v>4744.1298828125</v>
      </c>
      <c r="D1456">
        <v>4650.2900390625</v>
      </c>
      <c r="E1456">
        <v>4659.02978515625</v>
      </c>
      <c r="F1456">
        <v>4659.02978515625</v>
      </c>
      <c r="G1456">
        <v>4251730000</v>
      </c>
      <c r="H1456">
        <v>0</v>
      </c>
      <c r="I1456">
        <v>0</v>
      </c>
      <c r="K1456" s="11">
        <f t="shared" si="22"/>
        <v>-1.42436152864307E-2</v>
      </c>
    </row>
    <row r="1457" spans="1:11" x14ac:dyDescent="0.2">
      <c r="A1457" s="2">
        <v>44575</v>
      </c>
      <c r="B1457">
        <v>4637.990234375</v>
      </c>
      <c r="C1457">
        <v>4665.1298828125</v>
      </c>
      <c r="D1457">
        <v>4614.75</v>
      </c>
      <c r="E1457">
        <v>4662.85009765625</v>
      </c>
      <c r="F1457">
        <v>4662.85009765625</v>
      </c>
      <c r="G1457">
        <v>4338490000</v>
      </c>
      <c r="H1457">
        <v>0</v>
      </c>
      <c r="I1457">
        <v>0</v>
      </c>
      <c r="K1457" s="11">
        <f t="shared" si="22"/>
        <v>8.1998026974883231E-4</v>
      </c>
    </row>
    <row r="1458" spans="1:11" x14ac:dyDescent="0.2">
      <c r="A1458" s="2">
        <v>44579</v>
      </c>
      <c r="B1458">
        <v>4632.240234375</v>
      </c>
      <c r="C1458">
        <v>4632.240234375</v>
      </c>
      <c r="D1458">
        <v>4568.7001953125</v>
      </c>
      <c r="E1458">
        <v>4577.10986328125</v>
      </c>
      <c r="F1458">
        <v>4577.10986328125</v>
      </c>
      <c r="G1458">
        <v>4748700000</v>
      </c>
      <c r="H1458">
        <v>0</v>
      </c>
      <c r="I1458">
        <v>0</v>
      </c>
      <c r="K1458" s="11">
        <f t="shared" si="22"/>
        <v>-1.8387945694007368E-2</v>
      </c>
    </row>
    <row r="1459" spans="1:11" x14ac:dyDescent="0.2">
      <c r="A1459" s="2">
        <v>44580</v>
      </c>
      <c r="B1459">
        <v>4588.02978515625</v>
      </c>
      <c r="C1459">
        <v>4611.5498046875</v>
      </c>
      <c r="D1459">
        <v>4530.2001953125</v>
      </c>
      <c r="E1459">
        <v>4532.759765625</v>
      </c>
      <c r="F1459">
        <v>4532.759765625</v>
      </c>
      <c r="G1459">
        <v>4465740000</v>
      </c>
      <c r="H1459">
        <v>0</v>
      </c>
      <c r="I1459">
        <v>0</v>
      </c>
      <c r="K1459" s="11">
        <f t="shared" si="22"/>
        <v>-9.6895418683388135E-3</v>
      </c>
    </row>
    <row r="1460" spans="1:11" x14ac:dyDescent="0.2">
      <c r="A1460" s="2">
        <v>44581</v>
      </c>
      <c r="B1460">
        <v>4547.35009765625</v>
      </c>
      <c r="C1460">
        <v>4602.10986328125</v>
      </c>
      <c r="D1460">
        <v>4477.9501953125</v>
      </c>
      <c r="E1460">
        <v>4482.72998046875</v>
      </c>
      <c r="F1460">
        <v>4482.72998046875</v>
      </c>
      <c r="G1460">
        <v>4640870000</v>
      </c>
      <c r="H1460">
        <v>0</v>
      </c>
      <c r="I1460">
        <v>0</v>
      </c>
      <c r="K1460" s="11">
        <f t="shared" si="22"/>
        <v>-1.103737849414832E-2</v>
      </c>
    </row>
    <row r="1461" spans="1:11" x14ac:dyDescent="0.2">
      <c r="A1461" s="2">
        <v>44582</v>
      </c>
      <c r="B1461">
        <v>4471.3798828125</v>
      </c>
      <c r="C1461">
        <v>4494.52001953125</v>
      </c>
      <c r="D1461">
        <v>4395.33984375</v>
      </c>
      <c r="E1461">
        <v>4397.93994140625</v>
      </c>
      <c r="F1461">
        <v>4397.93994140625</v>
      </c>
      <c r="G1461">
        <v>5589100000</v>
      </c>
      <c r="H1461">
        <v>0</v>
      </c>
      <c r="I1461">
        <v>0</v>
      </c>
      <c r="K1461" s="11">
        <f t="shared" si="22"/>
        <v>-1.8914821867908604E-2</v>
      </c>
    </row>
    <row r="1462" spans="1:11" x14ac:dyDescent="0.2">
      <c r="A1462" s="2">
        <v>44585</v>
      </c>
      <c r="B1462">
        <v>4356.31982421875</v>
      </c>
      <c r="C1462">
        <v>4417.35009765625</v>
      </c>
      <c r="D1462">
        <v>4222.6201171875</v>
      </c>
      <c r="E1462">
        <v>4410.1298828125</v>
      </c>
      <c r="F1462">
        <v>4410.1298828125</v>
      </c>
      <c r="G1462">
        <v>6928110000</v>
      </c>
      <c r="H1462">
        <v>0</v>
      </c>
      <c r="I1462">
        <v>0</v>
      </c>
      <c r="K1462" s="11">
        <f t="shared" si="22"/>
        <v>2.7717389433818962E-3</v>
      </c>
    </row>
    <row r="1463" spans="1:11" x14ac:dyDescent="0.2">
      <c r="A1463" s="2">
        <v>44586</v>
      </c>
      <c r="B1463">
        <v>4366.64013671875</v>
      </c>
      <c r="C1463">
        <v>4411.009765625</v>
      </c>
      <c r="D1463">
        <v>4287.10986328125</v>
      </c>
      <c r="E1463">
        <v>4356.4501953125</v>
      </c>
      <c r="F1463">
        <v>4356.4501953125</v>
      </c>
      <c r="G1463">
        <v>5145050000</v>
      </c>
      <c r="H1463">
        <v>0</v>
      </c>
      <c r="I1463">
        <v>0</v>
      </c>
      <c r="K1463" s="11">
        <f t="shared" si="22"/>
        <v>-1.2171906253646725E-2</v>
      </c>
    </row>
    <row r="1464" spans="1:11" x14ac:dyDescent="0.2">
      <c r="A1464" s="2">
        <v>44587</v>
      </c>
      <c r="B1464">
        <v>4408.43017578125</v>
      </c>
      <c r="C1464">
        <v>4453.22998046875</v>
      </c>
      <c r="D1464">
        <v>4304.7998046875</v>
      </c>
      <c r="E1464">
        <v>4349.93017578125</v>
      </c>
      <c r="F1464">
        <v>4349.93017578125</v>
      </c>
      <c r="G1464">
        <v>5570640000</v>
      </c>
      <c r="H1464">
        <v>0</v>
      </c>
      <c r="I1464">
        <v>0</v>
      </c>
      <c r="K1464" s="11">
        <f t="shared" si="22"/>
        <v>-1.4966358477518371E-3</v>
      </c>
    </row>
    <row r="1465" spans="1:11" x14ac:dyDescent="0.2">
      <c r="A1465" s="2">
        <v>44588</v>
      </c>
      <c r="B1465">
        <v>4380.580078125</v>
      </c>
      <c r="C1465">
        <v>4428.740234375</v>
      </c>
      <c r="D1465">
        <v>4309.5</v>
      </c>
      <c r="E1465">
        <v>4326.509765625</v>
      </c>
      <c r="F1465">
        <v>4326.509765625</v>
      </c>
      <c r="G1465">
        <v>5214200000</v>
      </c>
      <c r="H1465">
        <v>0</v>
      </c>
      <c r="I1465">
        <v>0</v>
      </c>
      <c r="K1465" s="11">
        <f t="shared" si="22"/>
        <v>-5.3840887577105701E-3</v>
      </c>
    </row>
    <row r="1466" spans="1:11" x14ac:dyDescent="0.2">
      <c r="A1466" s="2">
        <v>44589</v>
      </c>
      <c r="B1466">
        <v>4336.18994140625</v>
      </c>
      <c r="C1466">
        <v>4432.72021484375</v>
      </c>
      <c r="D1466">
        <v>4292.4599609375</v>
      </c>
      <c r="E1466">
        <v>4431.85009765625</v>
      </c>
      <c r="F1466">
        <v>4431.85009765625</v>
      </c>
      <c r="G1466">
        <v>5031090000</v>
      </c>
      <c r="H1466">
        <v>0</v>
      </c>
      <c r="I1466">
        <v>0</v>
      </c>
      <c r="K1466" s="11">
        <f t="shared" si="22"/>
        <v>2.4347646888076113E-2</v>
      </c>
    </row>
    <row r="1467" spans="1:11" x14ac:dyDescent="0.2">
      <c r="A1467" s="2">
        <v>44592</v>
      </c>
      <c r="B1467">
        <v>4431.7900390625</v>
      </c>
      <c r="C1467">
        <v>4516.89013671875</v>
      </c>
      <c r="D1467">
        <v>4414.02001953125</v>
      </c>
      <c r="E1467">
        <v>4515.5498046875</v>
      </c>
      <c r="F1467">
        <v>4515.5498046875</v>
      </c>
      <c r="G1467">
        <v>5098610000</v>
      </c>
      <c r="H1467">
        <v>0</v>
      </c>
      <c r="I1467">
        <v>0</v>
      </c>
      <c r="K1467" s="11">
        <f t="shared" si="22"/>
        <v>1.8885951732779516E-2</v>
      </c>
    </row>
    <row r="1468" spans="1:11" x14ac:dyDescent="0.2">
      <c r="A1468" s="2">
        <v>44593</v>
      </c>
      <c r="B1468">
        <v>4519.56982421875</v>
      </c>
      <c r="C1468">
        <v>4550.490234375</v>
      </c>
      <c r="D1468">
        <v>4483.52978515625</v>
      </c>
      <c r="E1468">
        <v>4546.5400390625</v>
      </c>
      <c r="F1468">
        <v>4546.5400390625</v>
      </c>
      <c r="G1468">
        <v>4816830000</v>
      </c>
      <c r="H1468">
        <v>0</v>
      </c>
      <c r="I1468">
        <v>0</v>
      </c>
      <c r="K1468" s="11">
        <f t="shared" si="22"/>
        <v>6.8630035578014503E-3</v>
      </c>
    </row>
    <row r="1469" spans="1:11" x14ac:dyDescent="0.2">
      <c r="A1469" s="2">
        <v>44594</v>
      </c>
      <c r="B1469">
        <v>4566.39013671875</v>
      </c>
      <c r="C1469">
        <v>4595.31005859375</v>
      </c>
      <c r="D1469">
        <v>4544.31982421875</v>
      </c>
      <c r="E1469">
        <v>4589.3798828125</v>
      </c>
      <c r="F1469">
        <v>4589.3798828125</v>
      </c>
      <c r="G1469">
        <v>4481580000</v>
      </c>
      <c r="H1469">
        <v>0</v>
      </c>
      <c r="I1469">
        <v>0</v>
      </c>
      <c r="K1469" s="11">
        <f t="shared" si="22"/>
        <v>9.4225154473364103E-3</v>
      </c>
    </row>
    <row r="1470" spans="1:11" x14ac:dyDescent="0.2">
      <c r="A1470" s="2">
        <v>44595</v>
      </c>
      <c r="B1470">
        <v>4535.41015625</v>
      </c>
      <c r="C1470">
        <v>4542.8798828125</v>
      </c>
      <c r="D1470">
        <v>4470.39013671875</v>
      </c>
      <c r="E1470">
        <v>4477.43994140625</v>
      </c>
      <c r="F1470">
        <v>4477.43994140625</v>
      </c>
      <c r="G1470">
        <v>4401970000</v>
      </c>
      <c r="H1470">
        <v>0</v>
      </c>
      <c r="I1470">
        <v>0</v>
      </c>
      <c r="K1470" s="11">
        <f t="shared" si="22"/>
        <v>-2.4391082077444004E-2</v>
      </c>
    </row>
    <row r="1471" spans="1:11" x14ac:dyDescent="0.2">
      <c r="A1471" s="2">
        <v>44596</v>
      </c>
      <c r="B1471">
        <v>4482.7900390625</v>
      </c>
      <c r="C1471">
        <v>4539.66015625</v>
      </c>
      <c r="D1471">
        <v>4451.5</v>
      </c>
      <c r="E1471">
        <v>4500.52978515625</v>
      </c>
      <c r="F1471">
        <v>4500.52978515625</v>
      </c>
      <c r="G1471">
        <v>4706290000</v>
      </c>
      <c r="H1471">
        <v>0</v>
      </c>
      <c r="I1471">
        <v>0</v>
      </c>
      <c r="K1471" s="11">
        <f t="shared" si="22"/>
        <v>5.1569298644233985E-3</v>
      </c>
    </row>
    <row r="1472" spans="1:11" x14ac:dyDescent="0.2">
      <c r="A1472" s="2">
        <v>44599</v>
      </c>
      <c r="B1472">
        <v>4505.75</v>
      </c>
      <c r="C1472">
        <v>4521.85986328125</v>
      </c>
      <c r="D1472">
        <v>4471.47021484375</v>
      </c>
      <c r="E1472">
        <v>4483.8701171875</v>
      </c>
      <c r="F1472">
        <v>4483.8701171875</v>
      </c>
      <c r="G1472">
        <v>4228480000</v>
      </c>
      <c r="H1472">
        <v>0</v>
      </c>
      <c r="I1472">
        <v>0</v>
      </c>
      <c r="K1472" s="11">
        <f t="shared" si="22"/>
        <v>-3.7017126347429485E-3</v>
      </c>
    </row>
    <row r="1473" spans="1:11" x14ac:dyDescent="0.2">
      <c r="A1473" s="2">
        <v>44600</v>
      </c>
      <c r="B1473">
        <v>4480.02001953125</v>
      </c>
      <c r="C1473">
        <v>4531.31982421875</v>
      </c>
      <c r="D1473">
        <v>4465.39990234375</v>
      </c>
      <c r="E1473">
        <v>4521.5400390625</v>
      </c>
      <c r="F1473">
        <v>4521.5400390625</v>
      </c>
      <c r="G1473">
        <v>4459620000</v>
      </c>
      <c r="H1473">
        <v>0</v>
      </c>
      <c r="I1473">
        <v>0</v>
      </c>
      <c r="K1473" s="11">
        <f t="shared" si="22"/>
        <v>8.4012071916632625E-3</v>
      </c>
    </row>
    <row r="1474" spans="1:11" x14ac:dyDescent="0.2">
      <c r="A1474" s="2">
        <v>44601</v>
      </c>
      <c r="B1474">
        <v>4547</v>
      </c>
      <c r="C1474">
        <v>4590.02978515625</v>
      </c>
      <c r="D1474">
        <v>4547</v>
      </c>
      <c r="E1474">
        <v>4587.18017578125</v>
      </c>
      <c r="F1474">
        <v>4587.18017578125</v>
      </c>
      <c r="G1474">
        <v>4524350000</v>
      </c>
      <c r="H1474">
        <v>0</v>
      </c>
      <c r="I1474">
        <v>0</v>
      </c>
      <c r="K1474" s="11">
        <f t="shared" si="22"/>
        <v>1.4517207887505545E-2</v>
      </c>
    </row>
    <row r="1475" spans="1:11" x14ac:dyDescent="0.2">
      <c r="A1475" s="2">
        <v>44602</v>
      </c>
      <c r="B1475">
        <v>4553.240234375</v>
      </c>
      <c r="C1475">
        <v>4588.919921875</v>
      </c>
      <c r="D1475">
        <v>4484.31005859375</v>
      </c>
      <c r="E1475">
        <v>4504.080078125</v>
      </c>
      <c r="F1475">
        <v>4504.080078125</v>
      </c>
      <c r="G1475">
        <v>5314860000</v>
      </c>
      <c r="H1475">
        <v>0</v>
      </c>
      <c r="I1475">
        <v>0</v>
      </c>
      <c r="K1475" s="11">
        <f t="shared" si="22"/>
        <v>-1.8115725668459759E-2</v>
      </c>
    </row>
    <row r="1476" spans="1:11" x14ac:dyDescent="0.2">
      <c r="A1476" s="2">
        <v>44603</v>
      </c>
      <c r="B1476">
        <v>4506.27001953125</v>
      </c>
      <c r="C1476">
        <v>4526.330078125</v>
      </c>
      <c r="D1476">
        <v>4401.41015625</v>
      </c>
      <c r="E1476">
        <v>4418.64013671875</v>
      </c>
      <c r="F1476">
        <v>4418.64013671875</v>
      </c>
      <c r="G1476">
        <v>5251500000</v>
      </c>
      <c r="H1476">
        <v>0</v>
      </c>
      <c r="I1476">
        <v>0</v>
      </c>
      <c r="K1476" s="11">
        <f t="shared" ref="K1476:K1539" si="23">(E1476/E1475)-1</f>
        <v>-1.896945434456343E-2</v>
      </c>
    </row>
    <row r="1477" spans="1:11" x14ac:dyDescent="0.2">
      <c r="A1477" s="2">
        <v>44606</v>
      </c>
      <c r="B1477">
        <v>4412.60986328125</v>
      </c>
      <c r="C1477">
        <v>4426.22021484375</v>
      </c>
      <c r="D1477">
        <v>4364.83984375</v>
      </c>
      <c r="E1477">
        <v>4401.669921875</v>
      </c>
      <c r="F1477">
        <v>4401.669921875</v>
      </c>
      <c r="G1477">
        <v>4600390000</v>
      </c>
      <c r="H1477">
        <v>0</v>
      </c>
      <c r="I1477">
        <v>0</v>
      </c>
      <c r="K1477" s="11">
        <f t="shared" si="23"/>
        <v>-3.8405967262932217E-3</v>
      </c>
    </row>
    <row r="1478" spans="1:11" x14ac:dyDescent="0.2">
      <c r="A1478" s="2">
        <v>44607</v>
      </c>
      <c r="B1478">
        <v>4429.27978515625</v>
      </c>
      <c r="C1478">
        <v>4472.77001953125</v>
      </c>
      <c r="D1478">
        <v>4429.27978515625</v>
      </c>
      <c r="E1478">
        <v>4471.06982421875</v>
      </c>
      <c r="F1478">
        <v>4471.06982421875</v>
      </c>
      <c r="G1478">
        <v>4430830000</v>
      </c>
      <c r="H1478">
        <v>0</v>
      </c>
      <c r="I1478">
        <v>0</v>
      </c>
      <c r="K1478" s="11">
        <f t="shared" si="23"/>
        <v>1.5766721170720421E-2</v>
      </c>
    </row>
    <row r="1479" spans="1:11" x14ac:dyDescent="0.2">
      <c r="A1479" s="2">
        <v>44608</v>
      </c>
      <c r="B1479">
        <v>4455.75</v>
      </c>
      <c r="C1479">
        <v>4489.5498046875</v>
      </c>
      <c r="D1479">
        <v>4429.68017578125</v>
      </c>
      <c r="E1479">
        <v>4475.009765625</v>
      </c>
      <c r="F1479">
        <v>4475.009765625</v>
      </c>
      <c r="G1479">
        <v>4283640000</v>
      </c>
      <c r="H1479">
        <v>0</v>
      </c>
      <c r="I1479">
        <v>0</v>
      </c>
      <c r="K1479" s="11">
        <f t="shared" si="23"/>
        <v>8.8120775589506373E-4</v>
      </c>
    </row>
    <row r="1480" spans="1:11" x14ac:dyDescent="0.2">
      <c r="A1480" s="2">
        <v>44609</v>
      </c>
      <c r="B1480">
        <v>4456.06005859375</v>
      </c>
      <c r="C1480">
        <v>4456.06005859375</v>
      </c>
      <c r="D1480">
        <v>4373.81005859375</v>
      </c>
      <c r="E1480">
        <v>4380.259765625</v>
      </c>
      <c r="F1480">
        <v>4380.259765625</v>
      </c>
      <c r="G1480">
        <v>4539420000</v>
      </c>
      <c r="H1480">
        <v>0</v>
      </c>
      <c r="I1480">
        <v>0</v>
      </c>
      <c r="K1480" s="11">
        <f t="shared" si="23"/>
        <v>-2.1173138152195015E-2</v>
      </c>
    </row>
    <row r="1481" spans="1:11" x14ac:dyDescent="0.2">
      <c r="A1481" s="2">
        <v>44610</v>
      </c>
      <c r="B1481">
        <v>4384.56982421875</v>
      </c>
      <c r="C1481">
        <v>4394.60009765625</v>
      </c>
      <c r="D1481">
        <v>4327.22021484375</v>
      </c>
      <c r="E1481">
        <v>4348.8701171875</v>
      </c>
      <c r="F1481">
        <v>4348.8701171875</v>
      </c>
      <c r="G1481">
        <v>4708060000</v>
      </c>
      <c r="H1481">
        <v>0</v>
      </c>
      <c r="I1481">
        <v>0</v>
      </c>
      <c r="K1481" s="11">
        <f t="shared" si="23"/>
        <v>-7.1661613961429005E-3</v>
      </c>
    </row>
    <row r="1482" spans="1:11" x14ac:dyDescent="0.2">
      <c r="A1482" s="2">
        <v>44614</v>
      </c>
      <c r="B1482">
        <v>4332.740234375</v>
      </c>
      <c r="C1482">
        <v>4362.1201171875</v>
      </c>
      <c r="D1482">
        <v>4267.10986328125</v>
      </c>
      <c r="E1482">
        <v>4304.759765625</v>
      </c>
      <c r="F1482">
        <v>4304.759765625</v>
      </c>
      <c r="G1482">
        <v>5121900000</v>
      </c>
      <c r="H1482">
        <v>0</v>
      </c>
      <c r="I1482">
        <v>0</v>
      </c>
      <c r="K1482" s="11">
        <f t="shared" si="23"/>
        <v>-1.0142945264832837E-2</v>
      </c>
    </row>
    <row r="1483" spans="1:11" x14ac:dyDescent="0.2">
      <c r="A1483" s="2">
        <v>44615</v>
      </c>
      <c r="B1483">
        <v>4324.93017578125</v>
      </c>
      <c r="C1483">
        <v>4341.509765625</v>
      </c>
      <c r="D1483">
        <v>4221.509765625</v>
      </c>
      <c r="E1483">
        <v>4225.5</v>
      </c>
      <c r="F1483">
        <v>4225.5</v>
      </c>
      <c r="G1483">
        <v>4797430000</v>
      </c>
      <c r="H1483">
        <v>0</v>
      </c>
      <c r="I1483">
        <v>0</v>
      </c>
      <c r="K1483" s="11">
        <f t="shared" si="23"/>
        <v>-1.8412122845487655E-2</v>
      </c>
    </row>
    <row r="1484" spans="1:11" x14ac:dyDescent="0.2">
      <c r="A1484" s="2">
        <v>44616</v>
      </c>
      <c r="B1484">
        <v>4155.77001953125</v>
      </c>
      <c r="C1484">
        <v>4294.72998046875</v>
      </c>
      <c r="D1484">
        <v>4114.64990234375</v>
      </c>
      <c r="E1484">
        <v>4288.7001953125</v>
      </c>
      <c r="F1484">
        <v>4288.7001953125</v>
      </c>
      <c r="G1484">
        <v>6752130000</v>
      </c>
      <c r="H1484">
        <v>0</v>
      </c>
      <c r="I1484">
        <v>0</v>
      </c>
      <c r="K1484" s="11">
        <f t="shared" si="23"/>
        <v>1.4956856067329216E-2</v>
      </c>
    </row>
    <row r="1485" spans="1:11" x14ac:dyDescent="0.2">
      <c r="A1485" s="2">
        <v>44617</v>
      </c>
      <c r="B1485">
        <v>4298.3798828125</v>
      </c>
      <c r="C1485">
        <v>4385.33984375</v>
      </c>
      <c r="D1485">
        <v>4286.830078125</v>
      </c>
      <c r="E1485">
        <v>4384.64990234375</v>
      </c>
      <c r="F1485">
        <v>4384.64990234375</v>
      </c>
      <c r="G1485">
        <v>5177060000</v>
      </c>
      <c r="H1485">
        <v>0</v>
      </c>
      <c r="I1485">
        <v>0</v>
      </c>
      <c r="K1485" s="11">
        <f t="shared" si="23"/>
        <v>2.2372677655603468E-2</v>
      </c>
    </row>
    <row r="1486" spans="1:11" x14ac:dyDescent="0.2">
      <c r="A1486" s="2">
        <v>44620</v>
      </c>
      <c r="B1486">
        <v>4354.169921875</v>
      </c>
      <c r="C1486">
        <v>4388.83984375</v>
      </c>
      <c r="D1486">
        <v>4315.1201171875</v>
      </c>
      <c r="E1486">
        <v>4373.93994140625</v>
      </c>
      <c r="F1486">
        <v>4373.93994140625</v>
      </c>
      <c r="G1486">
        <v>6071370000</v>
      </c>
      <c r="H1486">
        <v>0</v>
      </c>
      <c r="I1486">
        <v>0</v>
      </c>
      <c r="K1486" s="11">
        <f t="shared" si="23"/>
        <v>-2.4426034406476171E-3</v>
      </c>
    </row>
    <row r="1487" spans="1:11" x14ac:dyDescent="0.2">
      <c r="A1487" s="2">
        <v>44621</v>
      </c>
      <c r="B1487">
        <v>4363.14013671875</v>
      </c>
      <c r="C1487">
        <v>4378.4501953125</v>
      </c>
      <c r="D1487">
        <v>4279.5400390625</v>
      </c>
      <c r="E1487">
        <v>4306.259765625</v>
      </c>
      <c r="F1487">
        <v>4306.259765625</v>
      </c>
      <c r="G1487">
        <v>5846230000</v>
      </c>
      <c r="H1487">
        <v>0</v>
      </c>
      <c r="I1487">
        <v>0</v>
      </c>
      <c r="K1487" s="11">
        <f t="shared" si="23"/>
        <v>-1.5473503680411893E-2</v>
      </c>
    </row>
    <row r="1488" spans="1:11" x14ac:dyDescent="0.2">
      <c r="A1488" s="2">
        <v>44622</v>
      </c>
      <c r="B1488">
        <v>4322.56005859375</v>
      </c>
      <c r="C1488">
        <v>4401.47998046875</v>
      </c>
      <c r="D1488">
        <v>4322.56005859375</v>
      </c>
      <c r="E1488">
        <v>4386.5400390625</v>
      </c>
      <c r="F1488">
        <v>4386.5400390625</v>
      </c>
      <c r="G1488">
        <v>5337870000</v>
      </c>
      <c r="H1488">
        <v>0</v>
      </c>
      <c r="I1488">
        <v>0</v>
      </c>
      <c r="K1488" s="11">
        <f t="shared" si="23"/>
        <v>1.8642691757321028E-2</v>
      </c>
    </row>
    <row r="1489" spans="1:11" x14ac:dyDescent="0.2">
      <c r="A1489" s="2">
        <v>44623</v>
      </c>
      <c r="B1489">
        <v>4401.31005859375</v>
      </c>
      <c r="C1489">
        <v>4416.77978515625</v>
      </c>
      <c r="D1489">
        <v>4345.56005859375</v>
      </c>
      <c r="E1489">
        <v>4363.490234375</v>
      </c>
      <c r="F1489">
        <v>4363.490234375</v>
      </c>
      <c r="G1489">
        <v>5039890000</v>
      </c>
      <c r="H1489">
        <v>0</v>
      </c>
      <c r="I1489">
        <v>0</v>
      </c>
      <c r="K1489" s="11">
        <f t="shared" si="23"/>
        <v>-5.2546664300883172E-3</v>
      </c>
    </row>
    <row r="1490" spans="1:11" x14ac:dyDescent="0.2">
      <c r="A1490" s="2">
        <v>44624</v>
      </c>
      <c r="B1490">
        <v>4342.1201171875</v>
      </c>
      <c r="C1490">
        <v>4342.1201171875</v>
      </c>
      <c r="D1490">
        <v>4284.97998046875</v>
      </c>
      <c r="E1490">
        <v>4328.8701171875</v>
      </c>
      <c r="F1490">
        <v>4328.8701171875</v>
      </c>
      <c r="G1490">
        <v>5797380000</v>
      </c>
      <c r="H1490">
        <v>0</v>
      </c>
      <c r="I1490">
        <v>0</v>
      </c>
      <c r="K1490" s="11">
        <f t="shared" si="23"/>
        <v>-7.9340425503344747E-3</v>
      </c>
    </row>
    <row r="1491" spans="1:11" x14ac:dyDescent="0.2">
      <c r="A1491" s="2">
        <v>44627</v>
      </c>
      <c r="B1491">
        <v>4327.009765625</v>
      </c>
      <c r="C1491">
        <v>4327.009765625</v>
      </c>
      <c r="D1491">
        <v>4199.85009765625</v>
      </c>
      <c r="E1491">
        <v>4201.08984375</v>
      </c>
      <c r="F1491">
        <v>4201.08984375</v>
      </c>
      <c r="G1491">
        <v>6940470000</v>
      </c>
      <c r="H1491">
        <v>0</v>
      </c>
      <c r="I1491">
        <v>0</v>
      </c>
      <c r="K1491" s="11">
        <f t="shared" si="23"/>
        <v>-2.9518158313449172E-2</v>
      </c>
    </row>
    <row r="1492" spans="1:11" x14ac:dyDescent="0.2">
      <c r="A1492" s="2">
        <v>44628</v>
      </c>
      <c r="B1492">
        <v>4202.66015625</v>
      </c>
      <c r="C1492">
        <v>4276.93994140625</v>
      </c>
      <c r="D1492">
        <v>4157.8701171875</v>
      </c>
      <c r="E1492">
        <v>4170.7001953125</v>
      </c>
      <c r="F1492">
        <v>4170.7001953125</v>
      </c>
      <c r="G1492">
        <v>7243120000</v>
      </c>
      <c r="H1492">
        <v>0</v>
      </c>
      <c r="I1492">
        <v>0</v>
      </c>
      <c r="K1492" s="11">
        <f t="shared" si="23"/>
        <v>-7.2337535181997703E-3</v>
      </c>
    </row>
    <row r="1493" spans="1:11" x14ac:dyDescent="0.2">
      <c r="A1493" s="2">
        <v>44629</v>
      </c>
      <c r="B1493">
        <v>4223.10009765625</v>
      </c>
      <c r="C1493">
        <v>4299.39990234375</v>
      </c>
      <c r="D1493">
        <v>4223.10009765625</v>
      </c>
      <c r="E1493">
        <v>4277.8798828125</v>
      </c>
      <c r="F1493">
        <v>4277.8798828125</v>
      </c>
      <c r="G1493">
        <v>5662670000</v>
      </c>
      <c r="H1493">
        <v>0</v>
      </c>
      <c r="I1493">
        <v>0</v>
      </c>
      <c r="K1493" s="11">
        <f t="shared" si="23"/>
        <v>2.5698247891435821E-2</v>
      </c>
    </row>
    <row r="1494" spans="1:11" x14ac:dyDescent="0.2">
      <c r="A1494" s="2">
        <v>44630</v>
      </c>
      <c r="B1494">
        <v>4252.5498046875</v>
      </c>
      <c r="C1494">
        <v>4268.27978515625</v>
      </c>
      <c r="D1494">
        <v>4209.7998046875</v>
      </c>
      <c r="E1494">
        <v>4259.52001953125</v>
      </c>
      <c r="F1494">
        <v>4259.52001953125</v>
      </c>
      <c r="G1494">
        <v>4980830000</v>
      </c>
      <c r="H1494">
        <v>0</v>
      </c>
      <c r="I1494">
        <v>0</v>
      </c>
      <c r="K1494" s="11">
        <f t="shared" si="23"/>
        <v>-4.291813651667864E-3</v>
      </c>
    </row>
    <row r="1495" spans="1:11" x14ac:dyDescent="0.2">
      <c r="A1495" s="2">
        <v>44631</v>
      </c>
      <c r="B1495">
        <v>4279.5</v>
      </c>
      <c r="C1495">
        <v>4291.009765625</v>
      </c>
      <c r="D1495">
        <v>4200.490234375</v>
      </c>
      <c r="E1495">
        <v>4204.31005859375</v>
      </c>
      <c r="F1495">
        <v>4204.31005859375</v>
      </c>
      <c r="G1495">
        <v>4938640000</v>
      </c>
      <c r="H1495">
        <v>0</v>
      </c>
      <c r="I1495">
        <v>0</v>
      </c>
      <c r="K1495" s="11">
        <f t="shared" si="23"/>
        <v>-1.2961545123475138E-2</v>
      </c>
    </row>
    <row r="1496" spans="1:11" x14ac:dyDescent="0.2">
      <c r="A1496" s="2">
        <v>44634</v>
      </c>
      <c r="B1496">
        <v>4202.75</v>
      </c>
      <c r="C1496">
        <v>4247.56982421875</v>
      </c>
      <c r="D1496">
        <v>4161.72021484375</v>
      </c>
      <c r="E1496">
        <v>4173.10986328125</v>
      </c>
      <c r="F1496">
        <v>4173.10986328125</v>
      </c>
      <c r="G1496">
        <v>5574920000</v>
      </c>
      <c r="H1496">
        <v>0</v>
      </c>
      <c r="I1496">
        <v>0</v>
      </c>
      <c r="K1496" s="11">
        <f t="shared" si="23"/>
        <v>-7.4210024659636664E-3</v>
      </c>
    </row>
    <row r="1497" spans="1:11" x14ac:dyDescent="0.2">
      <c r="A1497" s="2">
        <v>44635</v>
      </c>
      <c r="B1497">
        <v>4188.81982421875</v>
      </c>
      <c r="C1497">
        <v>4271.0498046875</v>
      </c>
      <c r="D1497">
        <v>4187.89990234375</v>
      </c>
      <c r="E1497">
        <v>4262.4501953125</v>
      </c>
      <c r="F1497">
        <v>4262.4501953125</v>
      </c>
      <c r="G1497">
        <v>5392470000</v>
      </c>
      <c r="H1497">
        <v>0</v>
      </c>
      <c r="I1497">
        <v>0</v>
      </c>
      <c r="K1497" s="11">
        <f t="shared" si="23"/>
        <v>2.1408574170870942E-2</v>
      </c>
    </row>
    <row r="1498" spans="1:11" x14ac:dyDescent="0.2">
      <c r="A1498" s="2">
        <v>44636</v>
      </c>
      <c r="B1498">
        <v>4288.14013671875</v>
      </c>
      <c r="C1498">
        <v>4358.89990234375</v>
      </c>
      <c r="D1498">
        <v>4251.990234375</v>
      </c>
      <c r="E1498">
        <v>4357.85986328125</v>
      </c>
      <c r="F1498">
        <v>4357.85986328125</v>
      </c>
      <c r="G1498">
        <v>6309750000</v>
      </c>
      <c r="H1498">
        <v>0</v>
      </c>
      <c r="I1498">
        <v>0</v>
      </c>
      <c r="K1498" s="11">
        <f t="shared" si="23"/>
        <v>2.238376135718223E-2</v>
      </c>
    </row>
    <row r="1499" spans="1:11" x14ac:dyDescent="0.2">
      <c r="A1499" s="2">
        <v>44637</v>
      </c>
      <c r="B1499">
        <v>4345.10986328125</v>
      </c>
      <c r="C1499">
        <v>4412.669921875</v>
      </c>
      <c r="D1499">
        <v>4335.64990234375</v>
      </c>
      <c r="E1499">
        <v>4411.669921875</v>
      </c>
      <c r="F1499">
        <v>4411.669921875</v>
      </c>
      <c r="G1499">
        <v>4985090000</v>
      </c>
      <c r="H1499">
        <v>0</v>
      </c>
      <c r="I1499">
        <v>0</v>
      </c>
      <c r="K1499" s="11">
        <f t="shared" si="23"/>
        <v>1.234781757145198E-2</v>
      </c>
    </row>
    <row r="1500" spans="1:11" x14ac:dyDescent="0.2">
      <c r="A1500" s="2">
        <v>44638</v>
      </c>
      <c r="B1500">
        <v>4407.33984375</v>
      </c>
      <c r="C1500">
        <v>4465.39990234375</v>
      </c>
      <c r="D1500">
        <v>4390.56982421875</v>
      </c>
      <c r="E1500">
        <v>4463.1201171875</v>
      </c>
      <c r="F1500">
        <v>4463.1201171875</v>
      </c>
      <c r="G1500">
        <v>8278430000</v>
      </c>
      <c r="H1500">
        <v>0</v>
      </c>
      <c r="I1500">
        <v>0</v>
      </c>
      <c r="K1500" s="11">
        <f t="shared" si="23"/>
        <v>1.1662294827948783E-2</v>
      </c>
    </row>
    <row r="1501" spans="1:11" x14ac:dyDescent="0.2">
      <c r="A1501" s="2">
        <v>44641</v>
      </c>
      <c r="B1501">
        <v>4462.39990234375</v>
      </c>
      <c r="C1501">
        <v>4481.75</v>
      </c>
      <c r="D1501">
        <v>4424.2998046875</v>
      </c>
      <c r="E1501">
        <v>4461.18017578125</v>
      </c>
      <c r="F1501">
        <v>4461.18017578125</v>
      </c>
      <c r="G1501">
        <v>4869820000</v>
      </c>
      <c r="H1501">
        <v>0</v>
      </c>
      <c r="I1501">
        <v>0</v>
      </c>
      <c r="K1501" s="11">
        <f t="shared" si="23"/>
        <v>-4.3466036210393355E-4</v>
      </c>
    </row>
    <row r="1502" spans="1:11" x14ac:dyDescent="0.2">
      <c r="A1502" s="2">
        <v>44642</v>
      </c>
      <c r="B1502">
        <v>4469.10009765625</v>
      </c>
      <c r="C1502">
        <v>4522</v>
      </c>
      <c r="D1502">
        <v>4469.10009765625</v>
      </c>
      <c r="E1502">
        <v>4511.60986328125</v>
      </c>
      <c r="F1502">
        <v>4511.60986328125</v>
      </c>
      <c r="G1502">
        <v>4754840000</v>
      </c>
      <c r="H1502">
        <v>0</v>
      </c>
      <c r="I1502">
        <v>0</v>
      </c>
      <c r="K1502" s="11">
        <f t="shared" si="23"/>
        <v>1.1304113600650201E-2</v>
      </c>
    </row>
    <row r="1503" spans="1:11" x14ac:dyDescent="0.2">
      <c r="A1503" s="2">
        <v>44643</v>
      </c>
      <c r="B1503">
        <v>4493.10009765625</v>
      </c>
      <c r="C1503">
        <v>4501.06982421875</v>
      </c>
      <c r="D1503">
        <v>4455.81005859375</v>
      </c>
      <c r="E1503">
        <v>4456.240234375</v>
      </c>
      <c r="F1503">
        <v>4456.240234375</v>
      </c>
      <c r="G1503">
        <v>4550670000</v>
      </c>
      <c r="H1503">
        <v>0</v>
      </c>
      <c r="I1503">
        <v>0</v>
      </c>
      <c r="K1503" s="11">
        <f t="shared" si="23"/>
        <v>-1.2272698789159042E-2</v>
      </c>
    </row>
    <row r="1504" spans="1:11" x14ac:dyDescent="0.2">
      <c r="A1504" s="2">
        <v>44644</v>
      </c>
      <c r="B1504">
        <v>4469.97998046875</v>
      </c>
      <c r="C1504">
        <v>4520.580078125</v>
      </c>
      <c r="D1504">
        <v>4465.169921875</v>
      </c>
      <c r="E1504">
        <v>4520.16015625</v>
      </c>
      <c r="F1504">
        <v>4520.16015625</v>
      </c>
      <c r="G1504">
        <v>4131390000</v>
      </c>
      <c r="H1504">
        <v>0</v>
      </c>
      <c r="I1504">
        <v>0</v>
      </c>
      <c r="K1504" s="11">
        <f t="shared" si="23"/>
        <v>1.4343912920566471E-2</v>
      </c>
    </row>
    <row r="1505" spans="1:11" x14ac:dyDescent="0.2">
      <c r="A1505" s="2">
        <v>44645</v>
      </c>
      <c r="B1505">
        <v>4522.91015625</v>
      </c>
      <c r="C1505">
        <v>4546.02978515625</v>
      </c>
      <c r="D1505">
        <v>4501.06982421875</v>
      </c>
      <c r="E1505">
        <v>4543.06005859375</v>
      </c>
      <c r="F1505">
        <v>4543.06005859375</v>
      </c>
      <c r="G1505">
        <v>4305020000</v>
      </c>
      <c r="H1505">
        <v>0</v>
      </c>
      <c r="I1505">
        <v>0</v>
      </c>
      <c r="K1505" s="11">
        <f t="shared" si="23"/>
        <v>5.0661705674490687E-3</v>
      </c>
    </row>
    <row r="1506" spans="1:11" x14ac:dyDescent="0.2">
      <c r="A1506" s="2">
        <v>44648</v>
      </c>
      <c r="B1506">
        <v>4541.08984375</v>
      </c>
      <c r="C1506">
        <v>4575.64990234375</v>
      </c>
      <c r="D1506">
        <v>4517.68994140625</v>
      </c>
      <c r="E1506">
        <v>4575.52001953125</v>
      </c>
      <c r="F1506">
        <v>4575.52001953125</v>
      </c>
      <c r="G1506">
        <v>4312260000</v>
      </c>
      <c r="H1506">
        <v>0</v>
      </c>
      <c r="I1506">
        <v>0</v>
      </c>
      <c r="K1506" s="11">
        <f t="shared" si="23"/>
        <v>7.1449552765867619E-3</v>
      </c>
    </row>
    <row r="1507" spans="1:11" x14ac:dyDescent="0.2">
      <c r="A1507" s="2">
        <v>44649</v>
      </c>
      <c r="B1507">
        <v>4602.85986328125</v>
      </c>
      <c r="C1507">
        <v>4637.2998046875</v>
      </c>
      <c r="D1507">
        <v>4589.66015625</v>
      </c>
      <c r="E1507">
        <v>4631.60009765625</v>
      </c>
      <c r="F1507">
        <v>4631.60009765625</v>
      </c>
      <c r="G1507">
        <v>5085910000</v>
      </c>
      <c r="H1507">
        <v>0</v>
      </c>
      <c r="I1507">
        <v>0</v>
      </c>
      <c r="K1507" s="11">
        <f t="shared" si="23"/>
        <v>1.2256547427530462E-2</v>
      </c>
    </row>
    <row r="1508" spans="1:11" x14ac:dyDescent="0.2">
      <c r="A1508" s="2">
        <v>44650</v>
      </c>
      <c r="B1508">
        <v>4624.2001953125</v>
      </c>
      <c r="C1508">
        <v>4627.77001953125</v>
      </c>
      <c r="D1508">
        <v>4581.31982421875</v>
      </c>
      <c r="E1508">
        <v>4602.4501953125</v>
      </c>
      <c r="F1508">
        <v>4602.4501953125</v>
      </c>
      <c r="G1508">
        <v>4385570000</v>
      </c>
      <c r="H1508">
        <v>0</v>
      </c>
      <c r="I1508">
        <v>0</v>
      </c>
      <c r="K1508" s="11">
        <f t="shared" si="23"/>
        <v>-6.2937001746978805E-3</v>
      </c>
    </row>
    <row r="1509" spans="1:11" x14ac:dyDescent="0.2">
      <c r="A1509" s="2">
        <v>44651</v>
      </c>
      <c r="B1509">
        <v>4599.02001953125</v>
      </c>
      <c r="C1509">
        <v>4603.06982421875</v>
      </c>
      <c r="D1509">
        <v>4530.41015625</v>
      </c>
      <c r="E1509">
        <v>4530.41015625</v>
      </c>
      <c r="F1509">
        <v>4530.41015625</v>
      </c>
      <c r="G1509">
        <v>4823020000</v>
      </c>
      <c r="H1509">
        <v>0</v>
      </c>
      <c r="I1509">
        <v>0</v>
      </c>
      <c r="K1509" s="11">
        <f t="shared" si="23"/>
        <v>-1.5652540713177343E-2</v>
      </c>
    </row>
    <row r="1510" spans="1:11" x14ac:dyDescent="0.2">
      <c r="A1510" s="2">
        <v>44652</v>
      </c>
      <c r="B1510">
        <v>4540.31982421875</v>
      </c>
      <c r="C1510">
        <v>4548.7001953125</v>
      </c>
      <c r="D1510">
        <v>4507.56982421875</v>
      </c>
      <c r="E1510">
        <v>4545.85986328125</v>
      </c>
      <c r="F1510">
        <v>4545.85986328125</v>
      </c>
      <c r="G1510">
        <v>4562940000</v>
      </c>
      <c r="H1510">
        <v>0</v>
      </c>
      <c r="I1510">
        <v>0</v>
      </c>
      <c r="K1510" s="11">
        <f t="shared" si="23"/>
        <v>3.4102225843584133E-3</v>
      </c>
    </row>
    <row r="1511" spans="1:11" x14ac:dyDescent="0.2">
      <c r="A1511" s="2">
        <v>44655</v>
      </c>
      <c r="B1511">
        <v>4547.97021484375</v>
      </c>
      <c r="C1511">
        <v>4583.5</v>
      </c>
      <c r="D1511">
        <v>4539.2099609375</v>
      </c>
      <c r="E1511">
        <v>4582.64013671875</v>
      </c>
      <c r="F1511">
        <v>4582.64013671875</v>
      </c>
      <c r="G1511">
        <v>4547350000</v>
      </c>
      <c r="H1511">
        <v>0</v>
      </c>
      <c r="I1511">
        <v>0</v>
      </c>
      <c r="K1511" s="11">
        <f t="shared" si="23"/>
        <v>8.0909386878793566E-3</v>
      </c>
    </row>
    <row r="1512" spans="1:11" x14ac:dyDescent="0.2">
      <c r="A1512" s="2">
        <v>44656</v>
      </c>
      <c r="B1512">
        <v>4572.4501953125</v>
      </c>
      <c r="C1512">
        <v>4593.4501953125</v>
      </c>
      <c r="D1512">
        <v>4514.169921875</v>
      </c>
      <c r="E1512">
        <v>4525.1201171875</v>
      </c>
      <c r="F1512">
        <v>4525.1201171875</v>
      </c>
      <c r="G1512">
        <v>4800620000</v>
      </c>
      <c r="H1512">
        <v>0</v>
      </c>
      <c r="I1512">
        <v>0</v>
      </c>
      <c r="K1512" s="11">
        <f t="shared" si="23"/>
        <v>-1.2551720801807331E-2</v>
      </c>
    </row>
    <row r="1513" spans="1:11" x14ac:dyDescent="0.2">
      <c r="A1513" s="2">
        <v>44657</v>
      </c>
      <c r="B1513">
        <v>4494.169921875</v>
      </c>
      <c r="C1513">
        <v>4503.93994140625</v>
      </c>
      <c r="D1513">
        <v>4450.0400390625</v>
      </c>
      <c r="E1513">
        <v>4481.14990234375</v>
      </c>
      <c r="F1513">
        <v>4481.14990234375</v>
      </c>
      <c r="G1513">
        <v>4986830000</v>
      </c>
      <c r="H1513">
        <v>0</v>
      </c>
      <c r="I1513">
        <v>0</v>
      </c>
      <c r="K1513" s="11">
        <f t="shared" si="23"/>
        <v>-9.7169166132718976E-3</v>
      </c>
    </row>
    <row r="1514" spans="1:11" x14ac:dyDescent="0.2">
      <c r="A1514" s="2">
        <v>44658</v>
      </c>
      <c r="B1514">
        <v>4474.64990234375</v>
      </c>
      <c r="C1514">
        <v>4521.16015625</v>
      </c>
      <c r="D1514">
        <v>4450.2998046875</v>
      </c>
      <c r="E1514">
        <v>4500.2099609375</v>
      </c>
      <c r="F1514">
        <v>4500.2099609375</v>
      </c>
      <c r="G1514">
        <v>4821490000</v>
      </c>
      <c r="H1514">
        <v>0</v>
      </c>
      <c r="I1514">
        <v>0</v>
      </c>
      <c r="K1514" s="11">
        <f t="shared" si="23"/>
        <v>4.2533856284925342E-3</v>
      </c>
    </row>
    <row r="1515" spans="1:11" x14ac:dyDescent="0.2">
      <c r="A1515" s="2">
        <v>44659</v>
      </c>
      <c r="B1515">
        <v>4494.14990234375</v>
      </c>
      <c r="C1515">
        <v>4520.41015625</v>
      </c>
      <c r="D1515">
        <v>4474.60009765625</v>
      </c>
      <c r="E1515">
        <v>4488.27978515625</v>
      </c>
      <c r="F1515">
        <v>4488.27978515625</v>
      </c>
      <c r="G1515">
        <v>4083200000</v>
      </c>
      <c r="H1515">
        <v>0</v>
      </c>
      <c r="I1515">
        <v>0</v>
      </c>
      <c r="K1515" s="11">
        <f t="shared" si="23"/>
        <v>-2.6510264820542861E-3</v>
      </c>
    </row>
    <row r="1516" spans="1:11" x14ac:dyDescent="0.2">
      <c r="A1516" s="2">
        <v>44662</v>
      </c>
      <c r="B1516">
        <v>4462.64013671875</v>
      </c>
      <c r="C1516">
        <v>4464.35009765625</v>
      </c>
      <c r="D1516">
        <v>4408.3798828125</v>
      </c>
      <c r="E1516">
        <v>4412.52978515625</v>
      </c>
      <c r="F1516">
        <v>4412.52978515625</v>
      </c>
      <c r="G1516">
        <v>4266290000</v>
      </c>
      <c r="H1516">
        <v>0</v>
      </c>
      <c r="I1516">
        <v>0</v>
      </c>
      <c r="K1516" s="11">
        <f t="shared" si="23"/>
        <v>-1.687729010355421E-2</v>
      </c>
    </row>
    <row r="1517" spans="1:11" x14ac:dyDescent="0.2">
      <c r="A1517" s="2">
        <v>44663</v>
      </c>
      <c r="B1517">
        <v>4437.58984375</v>
      </c>
      <c r="C1517">
        <v>4471</v>
      </c>
      <c r="D1517">
        <v>4381.33984375</v>
      </c>
      <c r="E1517">
        <v>4397.4501953125</v>
      </c>
      <c r="F1517">
        <v>4397.4501953125</v>
      </c>
      <c r="G1517">
        <v>4152090000</v>
      </c>
      <c r="H1517">
        <v>0</v>
      </c>
      <c r="I1517">
        <v>0</v>
      </c>
      <c r="K1517" s="11">
        <f t="shared" si="23"/>
        <v>-3.4174477177417728E-3</v>
      </c>
    </row>
    <row r="1518" spans="1:11" x14ac:dyDescent="0.2">
      <c r="A1518" s="2">
        <v>44664</v>
      </c>
      <c r="B1518">
        <v>4394.2998046875</v>
      </c>
      <c r="C1518">
        <v>4453.919921875</v>
      </c>
      <c r="D1518">
        <v>4392.7001953125</v>
      </c>
      <c r="E1518">
        <v>4446.58984375</v>
      </c>
      <c r="F1518">
        <v>4446.58984375</v>
      </c>
      <c r="G1518">
        <v>3828150000</v>
      </c>
      <c r="H1518">
        <v>0</v>
      </c>
      <c r="I1518">
        <v>0</v>
      </c>
      <c r="K1518" s="11">
        <f t="shared" si="23"/>
        <v>1.1174577597236057E-2</v>
      </c>
    </row>
    <row r="1519" spans="1:11" x14ac:dyDescent="0.2">
      <c r="A1519" s="2">
        <v>44665</v>
      </c>
      <c r="B1519">
        <v>4449.1201171875</v>
      </c>
      <c r="C1519">
        <v>4460.4599609375</v>
      </c>
      <c r="D1519">
        <v>4390.77001953125</v>
      </c>
      <c r="E1519">
        <v>4392.58984375</v>
      </c>
      <c r="F1519">
        <v>4392.58984375</v>
      </c>
      <c r="G1519">
        <v>4083090000</v>
      </c>
      <c r="H1519">
        <v>0</v>
      </c>
      <c r="I1519">
        <v>0</v>
      </c>
      <c r="K1519" s="11">
        <f t="shared" si="23"/>
        <v>-1.214413784439794E-2</v>
      </c>
    </row>
    <row r="1520" spans="1:11" x14ac:dyDescent="0.2">
      <c r="A1520" s="2">
        <v>44669</v>
      </c>
      <c r="B1520">
        <v>4385.6298828125</v>
      </c>
      <c r="C1520">
        <v>4410.31005859375</v>
      </c>
      <c r="D1520">
        <v>4370.2998046875</v>
      </c>
      <c r="E1520">
        <v>4391.68994140625</v>
      </c>
      <c r="F1520">
        <v>4391.68994140625</v>
      </c>
      <c r="G1520">
        <v>3910490000</v>
      </c>
      <c r="H1520">
        <v>0</v>
      </c>
      <c r="I1520">
        <v>0</v>
      </c>
      <c r="K1520" s="11">
        <f t="shared" si="23"/>
        <v>-2.0486828403298851E-4</v>
      </c>
    </row>
    <row r="1521" spans="1:11" x14ac:dyDescent="0.2">
      <c r="A1521" s="2">
        <v>44670</v>
      </c>
      <c r="B1521">
        <v>4390.6298828125</v>
      </c>
      <c r="C1521">
        <v>4471.02978515625</v>
      </c>
      <c r="D1521">
        <v>4390.6298828125</v>
      </c>
      <c r="E1521">
        <v>4462.2099609375</v>
      </c>
      <c r="F1521">
        <v>4462.2099609375</v>
      </c>
      <c r="G1521">
        <v>4108120000</v>
      </c>
      <c r="H1521">
        <v>0</v>
      </c>
      <c r="I1521">
        <v>0</v>
      </c>
      <c r="K1521" s="11">
        <f t="shared" si="23"/>
        <v>1.6057604355527166E-2</v>
      </c>
    </row>
    <row r="1522" spans="1:11" x14ac:dyDescent="0.2">
      <c r="A1522" s="2">
        <v>44671</v>
      </c>
      <c r="B1522">
        <v>4472.259765625</v>
      </c>
      <c r="C1522">
        <v>4488.2900390625</v>
      </c>
      <c r="D1522">
        <v>4448.759765625</v>
      </c>
      <c r="E1522">
        <v>4459.4501953125</v>
      </c>
      <c r="F1522">
        <v>4459.4501953125</v>
      </c>
      <c r="G1522">
        <v>4290450000</v>
      </c>
      <c r="H1522">
        <v>0</v>
      </c>
      <c r="I1522">
        <v>0</v>
      </c>
      <c r="K1522" s="11">
        <f t="shared" si="23"/>
        <v>-6.1847507158097059E-4</v>
      </c>
    </row>
    <row r="1523" spans="1:11" x14ac:dyDescent="0.2">
      <c r="A1523" s="2">
        <v>44672</v>
      </c>
      <c r="B1523">
        <v>4489.169921875</v>
      </c>
      <c r="C1523">
        <v>4512.93994140625</v>
      </c>
      <c r="D1523">
        <v>4384.47021484375</v>
      </c>
      <c r="E1523">
        <v>4393.66015625</v>
      </c>
      <c r="F1523">
        <v>4393.66015625</v>
      </c>
      <c r="G1523">
        <v>4636890000</v>
      </c>
      <c r="H1523">
        <v>0</v>
      </c>
      <c r="I1523">
        <v>0</v>
      </c>
      <c r="K1523" s="11">
        <f t="shared" si="23"/>
        <v>-1.4752948498371943E-2</v>
      </c>
    </row>
    <row r="1524" spans="1:11" x14ac:dyDescent="0.2">
      <c r="A1524" s="2">
        <v>44673</v>
      </c>
      <c r="B1524">
        <v>4385.830078125</v>
      </c>
      <c r="C1524">
        <v>4385.830078125</v>
      </c>
      <c r="D1524">
        <v>4267.6201171875</v>
      </c>
      <c r="E1524">
        <v>4271.77978515625</v>
      </c>
      <c r="F1524">
        <v>4271.77978515625</v>
      </c>
      <c r="G1524">
        <v>4651940000</v>
      </c>
      <c r="H1524">
        <v>0</v>
      </c>
      <c r="I1524">
        <v>0</v>
      </c>
      <c r="K1524" s="11">
        <f t="shared" si="23"/>
        <v>-2.7740054250753654E-2</v>
      </c>
    </row>
    <row r="1525" spans="1:11" x14ac:dyDescent="0.2">
      <c r="A1525" s="2">
        <v>44676</v>
      </c>
      <c r="B1525">
        <v>4255.33984375</v>
      </c>
      <c r="C1525">
        <v>4299.02001953125</v>
      </c>
      <c r="D1525">
        <v>4200.81982421875</v>
      </c>
      <c r="E1525">
        <v>4296.1201171875</v>
      </c>
      <c r="F1525">
        <v>4296.1201171875</v>
      </c>
      <c r="G1525">
        <v>5240040000</v>
      </c>
      <c r="H1525">
        <v>0</v>
      </c>
      <c r="I1525">
        <v>0</v>
      </c>
      <c r="K1525" s="11">
        <f t="shared" si="23"/>
        <v>5.6979369853822348E-3</v>
      </c>
    </row>
    <row r="1526" spans="1:11" x14ac:dyDescent="0.2">
      <c r="A1526" s="2">
        <v>44677</v>
      </c>
      <c r="B1526">
        <v>4278.14013671875</v>
      </c>
      <c r="C1526">
        <v>4278.14013671875</v>
      </c>
      <c r="D1526">
        <v>4175.0400390625</v>
      </c>
      <c r="E1526">
        <v>4175.2001953125</v>
      </c>
      <c r="F1526">
        <v>4175.2001953125</v>
      </c>
      <c r="G1526">
        <v>4689970000</v>
      </c>
      <c r="H1526">
        <v>0</v>
      </c>
      <c r="I1526">
        <v>0</v>
      </c>
      <c r="K1526" s="11">
        <f t="shared" si="23"/>
        <v>-2.8146308431003852E-2</v>
      </c>
    </row>
    <row r="1527" spans="1:11" x14ac:dyDescent="0.2">
      <c r="A1527" s="2">
        <v>44678</v>
      </c>
      <c r="B1527">
        <v>4186.52001953125</v>
      </c>
      <c r="C1527">
        <v>4240.7099609375</v>
      </c>
      <c r="D1527">
        <v>4162.89990234375</v>
      </c>
      <c r="E1527">
        <v>4183.9599609375</v>
      </c>
      <c r="F1527">
        <v>4183.9599609375</v>
      </c>
      <c r="G1527">
        <v>4769680000</v>
      </c>
      <c r="H1527">
        <v>0</v>
      </c>
      <c r="I1527">
        <v>0</v>
      </c>
      <c r="K1527" s="11">
        <f t="shared" si="23"/>
        <v>2.0980468517017847E-3</v>
      </c>
    </row>
    <row r="1528" spans="1:11" x14ac:dyDescent="0.2">
      <c r="A1528" s="2">
        <v>44679</v>
      </c>
      <c r="B1528">
        <v>4222.580078125</v>
      </c>
      <c r="C1528">
        <v>4308.4501953125</v>
      </c>
      <c r="D1528">
        <v>4188.6298828125</v>
      </c>
      <c r="E1528">
        <v>4287.5</v>
      </c>
      <c r="F1528">
        <v>4287.5</v>
      </c>
      <c r="G1528">
        <v>4854180000</v>
      </c>
      <c r="H1528">
        <v>0</v>
      </c>
      <c r="I1528">
        <v>0</v>
      </c>
      <c r="K1528" s="11">
        <f t="shared" si="23"/>
        <v>2.4746900072939448E-2</v>
      </c>
    </row>
    <row r="1529" spans="1:11" x14ac:dyDescent="0.2">
      <c r="A1529" s="2">
        <v>44680</v>
      </c>
      <c r="B1529">
        <v>4253.75</v>
      </c>
      <c r="C1529">
        <v>4269.68017578125</v>
      </c>
      <c r="D1529">
        <v>4124.27978515625</v>
      </c>
      <c r="E1529">
        <v>4131.93017578125</v>
      </c>
      <c r="F1529">
        <v>4131.93017578125</v>
      </c>
      <c r="G1529">
        <v>5084030000</v>
      </c>
      <c r="H1529">
        <v>0</v>
      </c>
      <c r="I1529">
        <v>0</v>
      </c>
      <c r="K1529" s="11">
        <f t="shared" si="23"/>
        <v>-3.6284507106413955E-2</v>
      </c>
    </row>
    <row r="1530" spans="1:11" x14ac:dyDescent="0.2">
      <c r="A1530" s="2">
        <v>44683</v>
      </c>
      <c r="B1530">
        <v>4130.60986328125</v>
      </c>
      <c r="C1530">
        <v>4169.81005859375</v>
      </c>
      <c r="D1530">
        <v>4062.510009765625</v>
      </c>
      <c r="E1530">
        <v>4155.3798828125</v>
      </c>
      <c r="F1530">
        <v>4155.3798828125</v>
      </c>
      <c r="G1530">
        <v>5163790000</v>
      </c>
      <c r="H1530">
        <v>0</v>
      </c>
      <c r="I1530">
        <v>0</v>
      </c>
      <c r="K1530" s="11">
        <f t="shared" si="23"/>
        <v>5.6752428123536536E-3</v>
      </c>
    </row>
    <row r="1531" spans="1:11" x14ac:dyDescent="0.2">
      <c r="A1531" s="2">
        <v>44684</v>
      </c>
      <c r="B1531">
        <v>4159.77978515625</v>
      </c>
      <c r="C1531">
        <v>4200.10009765625</v>
      </c>
      <c r="D1531">
        <v>4147.080078125</v>
      </c>
      <c r="E1531">
        <v>4175.47998046875</v>
      </c>
      <c r="F1531">
        <v>4175.47998046875</v>
      </c>
      <c r="G1531">
        <v>4582050000</v>
      </c>
      <c r="H1531">
        <v>0</v>
      </c>
      <c r="I1531">
        <v>0</v>
      </c>
      <c r="K1531" s="11">
        <f t="shared" si="23"/>
        <v>4.8371263814863674E-3</v>
      </c>
    </row>
    <row r="1532" spans="1:11" x14ac:dyDescent="0.2">
      <c r="A1532" s="2">
        <v>44685</v>
      </c>
      <c r="B1532">
        <v>4181.18017578125</v>
      </c>
      <c r="C1532">
        <v>4307.66015625</v>
      </c>
      <c r="D1532">
        <v>4148.91015625</v>
      </c>
      <c r="E1532">
        <v>4300.169921875</v>
      </c>
      <c r="F1532">
        <v>4300.169921875</v>
      </c>
      <c r="G1532">
        <v>5136360000</v>
      </c>
      <c r="H1532">
        <v>0</v>
      </c>
      <c r="I1532">
        <v>0</v>
      </c>
      <c r="K1532" s="11">
        <f t="shared" si="23"/>
        <v>2.9862421084402291E-2</v>
      </c>
    </row>
    <row r="1533" spans="1:11" x14ac:dyDescent="0.2">
      <c r="A1533" s="2">
        <v>44686</v>
      </c>
      <c r="B1533">
        <v>4270.43017578125</v>
      </c>
      <c r="C1533">
        <v>4270.43017578125</v>
      </c>
      <c r="D1533">
        <v>4106.009765625</v>
      </c>
      <c r="E1533">
        <v>4146.8701171875</v>
      </c>
      <c r="F1533">
        <v>4146.8701171875</v>
      </c>
      <c r="G1533">
        <v>5077030000</v>
      </c>
      <c r="H1533">
        <v>0</v>
      </c>
      <c r="I1533">
        <v>0</v>
      </c>
      <c r="K1533" s="11">
        <f t="shared" si="23"/>
        <v>-3.5649708609806985E-2</v>
      </c>
    </row>
    <row r="1534" spans="1:11" x14ac:dyDescent="0.2">
      <c r="A1534" s="2">
        <v>44687</v>
      </c>
      <c r="B1534">
        <v>4128.169921875</v>
      </c>
      <c r="C1534">
        <v>4157.68994140625</v>
      </c>
      <c r="D1534">
        <v>4067.909912109375</v>
      </c>
      <c r="E1534">
        <v>4123.33984375</v>
      </c>
      <c r="F1534">
        <v>4123.33984375</v>
      </c>
      <c r="G1534">
        <v>5116940000</v>
      </c>
      <c r="H1534">
        <v>0</v>
      </c>
      <c r="I1534">
        <v>0</v>
      </c>
      <c r="K1534" s="11">
        <f t="shared" si="23"/>
        <v>-5.6742248424840325E-3</v>
      </c>
    </row>
    <row r="1535" spans="1:11" x14ac:dyDescent="0.2">
      <c r="A1535" s="2">
        <v>44690</v>
      </c>
      <c r="B1535">
        <v>4081.27001953125</v>
      </c>
      <c r="C1535">
        <v>4081.27001953125</v>
      </c>
      <c r="D1535">
        <v>3975.47998046875</v>
      </c>
      <c r="E1535">
        <v>3991.239990234375</v>
      </c>
      <c r="F1535">
        <v>3991.239990234375</v>
      </c>
      <c r="G1535">
        <v>5954520000</v>
      </c>
      <c r="H1535">
        <v>0</v>
      </c>
      <c r="I1535">
        <v>0</v>
      </c>
      <c r="K1535" s="11">
        <f t="shared" si="23"/>
        <v>-3.2037100632356763E-2</v>
      </c>
    </row>
    <row r="1536" spans="1:11" x14ac:dyDescent="0.2">
      <c r="A1536" s="2">
        <v>44691</v>
      </c>
      <c r="B1536">
        <v>4035.179931640625</v>
      </c>
      <c r="C1536">
        <v>4068.820068359375</v>
      </c>
      <c r="D1536">
        <v>3958.169921875</v>
      </c>
      <c r="E1536">
        <v>4001.050048828125</v>
      </c>
      <c r="F1536">
        <v>4001.050048828125</v>
      </c>
      <c r="G1536">
        <v>5885820000</v>
      </c>
      <c r="H1536">
        <v>0</v>
      </c>
      <c r="I1536">
        <v>0</v>
      </c>
      <c r="K1536" s="11">
        <f t="shared" si="23"/>
        <v>2.4578974498534745E-3</v>
      </c>
    </row>
    <row r="1537" spans="1:11" x14ac:dyDescent="0.2">
      <c r="A1537" s="2">
        <v>44692</v>
      </c>
      <c r="B1537">
        <v>3990.080078125</v>
      </c>
      <c r="C1537">
        <v>4049.090087890625</v>
      </c>
      <c r="D1537">
        <v>3928.820068359375</v>
      </c>
      <c r="E1537">
        <v>3935.179931640625</v>
      </c>
      <c r="F1537">
        <v>3935.179931640625</v>
      </c>
      <c r="G1537">
        <v>5816140000</v>
      </c>
      <c r="H1537">
        <v>0</v>
      </c>
      <c r="I1537">
        <v>0</v>
      </c>
      <c r="K1537" s="11">
        <f t="shared" si="23"/>
        <v>-1.6463207503938371E-2</v>
      </c>
    </row>
    <row r="1538" spans="1:11" x14ac:dyDescent="0.2">
      <c r="A1538" s="2">
        <v>44693</v>
      </c>
      <c r="B1538">
        <v>3903.949951171875</v>
      </c>
      <c r="C1538">
        <v>3964.800048828125</v>
      </c>
      <c r="D1538">
        <v>3858.8701171875</v>
      </c>
      <c r="E1538">
        <v>3930.080078125</v>
      </c>
      <c r="F1538">
        <v>3930.080078125</v>
      </c>
      <c r="G1538">
        <v>6286450000</v>
      </c>
      <c r="H1538">
        <v>0</v>
      </c>
      <c r="I1538">
        <v>0</v>
      </c>
      <c r="K1538" s="11">
        <f t="shared" si="23"/>
        <v>-1.2959645058717717E-3</v>
      </c>
    </row>
    <row r="1539" spans="1:11" x14ac:dyDescent="0.2">
      <c r="A1539" s="2">
        <v>44694</v>
      </c>
      <c r="B1539">
        <v>3963.89990234375</v>
      </c>
      <c r="C1539">
        <v>4038.8798828125</v>
      </c>
      <c r="D1539">
        <v>3963.89990234375</v>
      </c>
      <c r="E1539">
        <v>4023.889892578125</v>
      </c>
      <c r="F1539">
        <v>4023.889892578125</v>
      </c>
      <c r="G1539">
        <v>5183340000</v>
      </c>
      <c r="H1539">
        <v>0</v>
      </c>
      <c r="I1539">
        <v>0</v>
      </c>
      <c r="K1539" s="11">
        <f t="shared" si="23"/>
        <v>2.3869695423071491E-2</v>
      </c>
    </row>
    <row r="1540" spans="1:11" x14ac:dyDescent="0.2">
      <c r="A1540" s="2">
        <v>44697</v>
      </c>
      <c r="B1540">
        <v>4013.02001953125</v>
      </c>
      <c r="C1540">
        <v>4046.4599609375</v>
      </c>
      <c r="D1540">
        <v>3983.989990234375</v>
      </c>
      <c r="E1540">
        <v>4008.010009765625</v>
      </c>
      <c r="F1540">
        <v>4008.010009765625</v>
      </c>
      <c r="G1540">
        <v>4415030000</v>
      </c>
      <c r="H1540">
        <v>0</v>
      </c>
      <c r="I1540">
        <v>0</v>
      </c>
      <c r="K1540" s="11">
        <f t="shared" ref="K1540:K1603" si="24">(E1540/E1539)-1</f>
        <v>-3.9464009295556712E-3</v>
      </c>
    </row>
    <row r="1541" spans="1:11" x14ac:dyDescent="0.2">
      <c r="A1541" s="2">
        <v>44698</v>
      </c>
      <c r="B1541">
        <v>4052</v>
      </c>
      <c r="C1541">
        <v>4090.719970703125</v>
      </c>
      <c r="D1541">
        <v>4033.929931640625</v>
      </c>
      <c r="E1541">
        <v>4088.85009765625</v>
      </c>
      <c r="F1541">
        <v>4088.85009765625</v>
      </c>
      <c r="G1541">
        <v>4841410000</v>
      </c>
      <c r="H1541">
        <v>0</v>
      </c>
      <c r="I1541">
        <v>0</v>
      </c>
      <c r="K1541" s="11">
        <f t="shared" si="24"/>
        <v>2.0169632234863677E-2</v>
      </c>
    </row>
    <row r="1542" spans="1:11" x14ac:dyDescent="0.2">
      <c r="A1542" s="2">
        <v>44699</v>
      </c>
      <c r="B1542">
        <v>4051.97998046875</v>
      </c>
      <c r="C1542">
        <v>4051.97998046875</v>
      </c>
      <c r="D1542">
        <v>3911.909912109375</v>
      </c>
      <c r="E1542">
        <v>3923.679931640625</v>
      </c>
      <c r="F1542">
        <v>3923.679931640625</v>
      </c>
      <c r="G1542">
        <v>5103220000</v>
      </c>
      <c r="H1542">
        <v>0</v>
      </c>
      <c r="I1542">
        <v>0</v>
      </c>
      <c r="K1542" s="11">
        <f t="shared" si="24"/>
        <v>-4.0395260787452592E-2</v>
      </c>
    </row>
    <row r="1543" spans="1:11" x14ac:dyDescent="0.2">
      <c r="A1543" s="2">
        <v>44700</v>
      </c>
      <c r="B1543">
        <v>3899</v>
      </c>
      <c r="C1543">
        <v>3945.9599609375</v>
      </c>
      <c r="D1543">
        <v>3876.580078125</v>
      </c>
      <c r="E1543">
        <v>3900.7900390625</v>
      </c>
      <c r="F1543">
        <v>3900.7900390625</v>
      </c>
      <c r="G1543">
        <v>5113550000</v>
      </c>
      <c r="H1543">
        <v>0</v>
      </c>
      <c r="I1543">
        <v>0</v>
      </c>
      <c r="K1543" s="11">
        <f t="shared" si="24"/>
        <v>-5.8337818009925879E-3</v>
      </c>
    </row>
    <row r="1544" spans="1:11" x14ac:dyDescent="0.2">
      <c r="A1544" s="2">
        <v>44701</v>
      </c>
      <c r="B1544">
        <v>3927.760009765625</v>
      </c>
      <c r="C1544">
        <v>3943.419921875</v>
      </c>
      <c r="D1544">
        <v>3810.320068359375</v>
      </c>
      <c r="E1544">
        <v>3901.360107421875</v>
      </c>
      <c r="F1544">
        <v>3901.360107421875</v>
      </c>
      <c r="G1544">
        <v>5130730000</v>
      </c>
      <c r="H1544">
        <v>0</v>
      </c>
      <c r="I1544">
        <v>0</v>
      </c>
      <c r="K1544" s="11">
        <f t="shared" si="24"/>
        <v>1.4614176965843662E-4</v>
      </c>
    </row>
    <row r="1545" spans="1:11" x14ac:dyDescent="0.2">
      <c r="A1545" s="2">
        <v>44704</v>
      </c>
      <c r="B1545">
        <v>3919.419921875</v>
      </c>
      <c r="C1545">
        <v>3981.8798828125</v>
      </c>
      <c r="D1545">
        <v>3909.0400390625</v>
      </c>
      <c r="E1545">
        <v>3973.75</v>
      </c>
      <c r="F1545">
        <v>3973.75</v>
      </c>
      <c r="G1545">
        <v>4420030000</v>
      </c>
      <c r="H1545">
        <v>0</v>
      </c>
      <c r="I1545">
        <v>0</v>
      </c>
      <c r="K1545" s="11">
        <f t="shared" si="24"/>
        <v>1.8555039930923556E-2</v>
      </c>
    </row>
    <row r="1546" spans="1:11" x14ac:dyDescent="0.2">
      <c r="A1546" s="2">
        <v>44705</v>
      </c>
      <c r="B1546">
        <v>3942.93994140625</v>
      </c>
      <c r="C1546">
        <v>3955.679931640625</v>
      </c>
      <c r="D1546">
        <v>3875.1298828125</v>
      </c>
      <c r="E1546">
        <v>3941.47998046875</v>
      </c>
      <c r="F1546">
        <v>3941.47998046875</v>
      </c>
      <c r="G1546">
        <v>4923190000</v>
      </c>
      <c r="H1546">
        <v>0</v>
      </c>
      <c r="I1546">
        <v>0</v>
      </c>
      <c r="K1546" s="11">
        <f t="shared" si="24"/>
        <v>-8.1207976171752128E-3</v>
      </c>
    </row>
    <row r="1547" spans="1:11" x14ac:dyDescent="0.2">
      <c r="A1547" s="2">
        <v>44706</v>
      </c>
      <c r="B1547">
        <v>3929.590087890625</v>
      </c>
      <c r="C1547">
        <v>3999.330078125</v>
      </c>
      <c r="D1547">
        <v>3925.030029296875</v>
      </c>
      <c r="E1547">
        <v>3978.72998046875</v>
      </c>
      <c r="F1547">
        <v>3978.72998046875</v>
      </c>
      <c r="G1547">
        <v>4802560000</v>
      </c>
      <c r="H1547">
        <v>0</v>
      </c>
      <c r="I1547">
        <v>0</v>
      </c>
      <c r="K1547" s="11">
        <f t="shared" si="24"/>
        <v>9.450764734207695E-3</v>
      </c>
    </row>
    <row r="1548" spans="1:11" x14ac:dyDescent="0.2">
      <c r="A1548" s="2">
        <v>44707</v>
      </c>
      <c r="B1548">
        <v>3984.60009765625</v>
      </c>
      <c r="C1548">
        <v>4075.139892578125</v>
      </c>
      <c r="D1548">
        <v>3984.60009765625</v>
      </c>
      <c r="E1548">
        <v>4057.840087890625</v>
      </c>
      <c r="F1548">
        <v>4057.840087890625</v>
      </c>
      <c r="G1548">
        <v>4709970000</v>
      </c>
      <c r="H1548">
        <v>0</v>
      </c>
      <c r="I1548">
        <v>0</v>
      </c>
      <c r="K1548" s="11">
        <f t="shared" si="24"/>
        <v>1.9883256167224195E-2</v>
      </c>
    </row>
    <row r="1549" spans="1:11" x14ac:dyDescent="0.2">
      <c r="A1549" s="2">
        <v>44708</v>
      </c>
      <c r="B1549">
        <v>4077.429931640625</v>
      </c>
      <c r="C1549">
        <v>4158.490234375</v>
      </c>
      <c r="D1549">
        <v>4077.429931640625</v>
      </c>
      <c r="E1549">
        <v>4158.240234375</v>
      </c>
      <c r="F1549">
        <v>4158.240234375</v>
      </c>
      <c r="G1549">
        <v>4375620000</v>
      </c>
      <c r="H1549">
        <v>0</v>
      </c>
      <c r="I1549">
        <v>0</v>
      </c>
      <c r="K1549" s="11">
        <f t="shared" si="24"/>
        <v>2.4742262955109728E-2</v>
      </c>
    </row>
    <row r="1550" spans="1:11" x14ac:dyDescent="0.2">
      <c r="A1550" s="2">
        <v>44712</v>
      </c>
      <c r="B1550">
        <v>4151.08984375</v>
      </c>
      <c r="C1550">
        <v>4168.33984375</v>
      </c>
      <c r="D1550">
        <v>4104.8798828125</v>
      </c>
      <c r="E1550">
        <v>4132.14990234375</v>
      </c>
      <c r="F1550">
        <v>4132.14990234375</v>
      </c>
      <c r="G1550">
        <v>6822640000</v>
      </c>
      <c r="H1550">
        <v>0</v>
      </c>
      <c r="I1550">
        <v>0</v>
      </c>
      <c r="K1550" s="11">
        <f t="shared" si="24"/>
        <v>-6.2743686176590652E-3</v>
      </c>
    </row>
    <row r="1551" spans="1:11" x14ac:dyDescent="0.2">
      <c r="A1551" s="2">
        <v>44713</v>
      </c>
      <c r="B1551">
        <v>4149.77978515625</v>
      </c>
      <c r="C1551">
        <v>4166.5400390625</v>
      </c>
      <c r="D1551">
        <v>4073.85009765625</v>
      </c>
      <c r="E1551">
        <v>4101.22998046875</v>
      </c>
      <c r="F1551">
        <v>4101.22998046875</v>
      </c>
      <c r="G1551">
        <v>4531800000</v>
      </c>
      <c r="H1551">
        <v>0</v>
      </c>
      <c r="I1551">
        <v>0</v>
      </c>
      <c r="K1551" s="11">
        <f t="shared" si="24"/>
        <v>-7.4827686811318461E-3</v>
      </c>
    </row>
    <row r="1552" spans="1:11" x14ac:dyDescent="0.2">
      <c r="A1552" s="2">
        <v>44714</v>
      </c>
      <c r="B1552">
        <v>4095.409912109375</v>
      </c>
      <c r="C1552">
        <v>4177.509765625</v>
      </c>
      <c r="D1552">
        <v>4074.3701171875</v>
      </c>
      <c r="E1552">
        <v>4176.81982421875</v>
      </c>
      <c r="F1552">
        <v>4176.81982421875</v>
      </c>
      <c r="G1552">
        <v>4405790000</v>
      </c>
      <c r="H1552">
        <v>0</v>
      </c>
      <c r="I1552">
        <v>0</v>
      </c>
      <c r="K1552" s="11">
        <f t="shared" si="24"/>
        <v>1.8431018038486124E-2</v>
      </c>
    </row>
    <row r="1553" spans="1:11" x14ac:dyDescent="0.2">
      <c r="A1553" s="2">
        <v>44715</v>
      </c>
      <c r="B1553">
        <v>4137.56982421875</v>
      </c>
      <c r="C1553">
        <v>4142.669921875</v>
      </c>
      <c r="D1553">
        <v>4098.669921875</v>
      </c>
      <c r="E1553">
        <v>4108.5400390625</v>
      </c>
      <c r="F1553">
        <v>4108.5400390625</v>
      </c>
      <c r="G1553">
        <v>3711110000</v>
      </c>
      <c r="H1553">
        <v>0</v>
      </c>
      <c r="I1553">
        <v>0</v>
      </c>
      <c r="K1553" s="11">
        <f t="shared" si="24"/>
        <v>-1.6347313992415624E-2</v>
      </c>
    </row>
    <row r="1554" spans="1:11" x14ac:dyDescent="0.2">
      <c r="A1554" s="2">
        <v>44718</v>
      </c>
      <c r="B1554">
        <v>4134.72021484375</v>
      </c>
      <c r="C1554">
        <v>4168.77978515625</v>
      </c>
      <c r="D1554">
        <v>4109.18017578125</v>
      </c>
      <c r="E1554">
        <v>4121.43017578125</v>
      </c>
      <c r="F1554">
        <v>4121.43017578125</v>
      </c>
      <c r="G1554">
        <v>4332700000</v>
      </c>
      <c r="H1554">
        <v>0</v>
      </c>
      <c r="I1554">
        <v>0</v>
      </c>
      <c r="K1554" s="11">
        <f t="shared" si="24"/>
        <v>3.1374007789131131E-3</v>
      </c>
    </row>
    <row r="1555" spans="1:11" x14ac:dyDescent="0.2">
      <c r="A1555" s="2">
        <v>44719</v>
      </c>
      <c r="B1555">
        <v>4096.47021484375</v>
      </c>
      <c r="C1555">
        <v>4164.85986328125</v>
      </c>
      <c r="D1555">
        <v>4080.18994140625</v>
      </c>
      <c r="E1555">
        <v>4160.68017578125</v>
      </c>
      <c r="F1555">
        <v>4160.68017578125</v>
      </c>
      <c r="G1555">
        <v>4248210000</v>
      </c>
      <c r="H1555">
        <v>0</v>
      </c>
      <c r="I1555">
        <v>0</v>
      </c>
      <c r="K1555" s="11">
        <f t="shared" si="24"/>
        <v>9.5233931732350285E-3</v>
      </c>
    </row>
    <row r="1556" spans="1:11" x14ac:dyDescent="0.2">
      <c r="A1556" s="2">
        <v>44720</v>
      </c>
      <c r="B1556">
        <v>4147.1201171875</v>
      </c>
      <c r="C1556">
        <v>4160.14013671875</v>
      </c>
      <c r="D1556">
        <v>4107.2001953125</v>
      </c>
      <c r="E1556">
        <v>4115.77001953125</v>
      </c>
      <c r="F1556">
        <v>4115.77001953125</v>
      </c>
      <c r="G1556">
        <v>4159470000</v>
      </c>
      <c r="H1556">
        <v>0</v>
      </c>
      <c r="I1556">
        <v>0</v>
      </c>
      <c r="K1556" s="11">
        <f t="shared" si="24"/>
        <v>-1.0793945785935621E-2</v>
      </c>
    </row>
    <row r="1557" spans="1:11" x14ac:dyDescent="0.2">
      <c r="A1557" s="2">
        <v>44721</v>
      </c>
      <c r="B1557">
        <v>4101.64990234375</v>
      </c>
      <c r="C1557">
        <v>4119.10009765625</v>
      </c>
      <c r="D1557">
        <v>4017.169921875</v>
      </c>
      <c r="E1557">
        <v>4017.820068359375</v>
      </c>
      <c r="F1557">
        <v>4017.820068359375</v>
      </c>
      <c r="G1557">
        <v>4134170000</v>
      </c>
      <c r="H1557">
        <v>0</v>
      </c>
      <c r="I1557">
        <v>0</v>
      </c>
      <c r="K1557" s="11">
        <f t="shared" si="24"/>
        <v>-2.3798693976353591E-2</v>
      </c>
    </row>
    <row r="1558" spans="1:11" x14ac:dyDescent="0.2">
      <c r="A1558" s="2">
        <v>44722</v>
      </c>
      <c r="B1558">
        <v>3974.389892578125</v>
      </c>
      <c r="C1558">
        <v>3974.389892578125</v>
      </c>
      <c r="D1558">
        <v>3900.159912109375</v>
      </c>
      <c r="E1558">
        <v>3900.860107421875</v>
      </c>
      <c r="F1558">
        <v>3900.860107421875</v>
      </c>
      <c r="G1558">
        <v>4889640000</v>
      </c>
      <c r="H1558">
        <v>0</v>
      </c>
      <c r="I1558">
        <v>0</v>
      </c>
      <c r="K1558" s="11">
        <f t="shared" si="24"/>
        <v>-2.9110303335524668E-2</v>
      </c>
    </row>
    <row r="1559" spans="1:11" x14ac:dyDescent="0.2">
      <c r="A1559" s="2">
        <v>44725</v>
      </c>
      <c r="B1559">
        <v>3838.14990234375</v>
      </c>
      <c r="C1559">
        <v>3838.14990234375</v>
      </c>
      <c r="D1559">
        <v>3734.300048828125</v>
      </c>
      <c r="E1559">
        <v>3749.6298828125</v>
      </c>
      <c r="F1559">
        <v>3749.6298828125</v>
      </c>
      <c r="G1559">
        <v>5636890000</v>
      </c>
      <c r="H1559">
        <v>0</v>
      </c>
      <c r="I1559">
        <v>0</v>
      </c>
      <c r="K1559" s="11">
        <f t="shared" si="24"/>
        <v>-3.8768430665237275E-2</v>
      </c>
    </row>
    <row r="1560" spans="1:11" x14ac:dyDescent="0.2">
      <c r="A1560" s="2">
        <v>44726</v>
      </c>
      <c r="B1560">
        <v>3763.52001953125</v>
      </c>
      <c r="C1560">
        <v>3778.179931640625</v>
      </c>
      <c r="D1560">
        <v>3705.679931640625</v>
      </c>
      <c r="E1560">
        <v>3735.47998046875</v>
      </c>
      <c r="F1560">
        <v>3735.47998046875</v>
      </c>
      <c r="G1560">
        <v>5153890000</v>
      </c>
      <c r="H1560">
        <v>0</v>
      </c>
      <c r="I1560">
        <v>0</v>
      </c>
      <c r="K1560" s="11">
        <f t="shared" si="24"/>
        <v>-3.7736797459957394E-3</v>
      </c>
    </row>
    <row r="1561" spans="1:11" x14ac:dyDescent="0.2">
      <c r="A1561" s="2">
        <v>44727</v>
      </c>
      <c r="B1561">
        <v>3764.050048828125</v>
      </c>
      <c r="C1561">
        <v>3837.56005859375</v>
      </c>
      <c r="D1561">
        <v>3722.300048828125</v>
      </c>
      <c r="E1561">
        <v>3789.989990234375</v>
      </c>
      <c r="F1561">
        <v>3789.989990234375</v>
      </c>
      <c r="G1561">
        <v>5530480000</v>
      </c>
      <c r="H1561">
        <v>0</v>
      </c>
      <c r="I1561">
        <v>0</v>
      </c>
      <c r="K1561" s="11">
        <f t="shared" si="24"/>
        <v>1.4592504858983224E-2</v>
      </c>
    </row>
    <row r="1562" spans="1:11" x14ac:dyDescent="0.2">
      <c r="A1562" s="2">
        <v>44728</v>
      </c>
      <c r="B1562">
        <v>3728.179931640625</v>
      </c>
      <c r="C1562">
        <v>3728.179931640625</v>
      </c>
      <c r="D1562">
        <v>3639.77001953125</v>
      </c>
      <c r="E1562">
        <v>3666.77001953125</v>
      </c>
      <c r="F1562">
        <v>3666.77001953125</v>
      </c>
      <c r="G1562">
        <v>5644930000</v>
      </c>
      <c r="H1562">
        <v>0</v>
      </c>
      <c r="I1562">
        <v>0</v>
      </c>
      <c r="K1562" s="11">
        <f t="shared" si="24"/>
        <v>-3.2511951488163437E-2</v>
      </c>
    </row>
    <row r="1563" spans="1:11" x14ac:dyDescent="0.2">
      <c r="A1563" s="2">
        <v>44729</v>
      </c>
      <c r="B1563">
        <v>3665.89990234375</v>
      </c>
      <c r="C1563">
        <v>3707.7099609375</v>
      </c>
      <c r="D1563">
        <v>3636.8701171875</v>
      </c>
      <c r="E1563">
        <v>3674.840087890625</v>
      </c>
      <c r="F1563">
        <v>3674.840087890625</v>
      </c>
      <c r="G1563">
        <v>8520740000</v>
      </c>
      <c r="H1563">
        <v>0</v>
      </c>
      <c r="I1563">
        <v>0</v>
      </c>
      <c r="K1563" s="11">
        <f t="shared" si="24"/>
        <v>2.2008656982546171E-3</v>
      </c>
    </row>
    <row r="1564" spans="1:11" x14ac:dyDescent="0.2">
      <c r="A1564" s="2">
        <v>44733</v>
      </c>
      <c r="B1564">
        <v>3715.31005859375</v>
      </c>
      <c r="C1564">
        <v>3779.64990234375</v>
      </c>
      <c r="D1564">
        <v>3715.31005859375</v>
      </c>
      <c r="E1564">
        <v>3764.7900390625</v>
      </c>
      <c r="F1564">
        <v>3764.7900390625</v>
      </c>
      <c r="G1564">
        <v>5292260000</v>
      </c>
      <c r="H1564">
        <v>0</v>
      </c>
      <c r="I1564">
        <v>0</v>
      </c>
      <c r="K1564" s="11">
        <f t="shared" si="24"/>
        <v>2.4477242280086964E-2</v>
      </c>
    </row>
    <row r="1565" spans="1:11" x14ac:dyDescent="0.2">
      <c r="A1565" s="2">
        <v>44734</v>
      </c>
      <c r="B1565">
        <v>3733.889892578125</v>
      </c>
      <c r="C1565">
        <v>3801.7900390625</v>
      </c>
      <c r="D1565">
        <v>3717.68994140625</v>
      </c>
      <c r="E1565">
        <v>3759.889892578125</v>
      </c>
      <c r="F1565">
        <v>3759.889892578125</v>
      </c>
      <c r="G1565">
        <v>5058990000</v>
      </c>
      <c r="H1565">
        <v>0</v>
      </c>
      <c r="I1565">
        <v>0</v>
      </c>
      <c r="K1565" s="11">
        <f t="shared" si="24"/>
        <v>-1.3015723144006452E-3</v>
      </c>
    </row>
    <row r="1566" spans="1:11" x14ac:dyDescent="0.2">
      <c r="A1566" s="2">
        <v>44735</v>
      </c>
      <c r="B1566">
        <v>3774.7099609375</v>
      </c>
      <c r="C1566">
        <v>3802.580078125</v>
      </c>
      <c r="D1566">
        <v>3743.52001953125</v>
      </c>
      <c r="E1566">
        <v>3795.72998046875</v>
      </c>
      <c r="F1566">
        <v>3795.72998046875</v>
      </c>
      <c r="G1566">
        <v>5098640000</v>
      </c>
      <c r="H1566">
        <v>0</v>
      </c>
      <c r="I1566">
        <v>0</v>
      </c>
      <c r="K1566" s="11">
        <f t="shared" si="24"/>
        <v>9.5322174091778678E-3</v>
      </c>
    </row>
    <row r="1567" spans="1:11" x14ac:dyDescent="0.2">
      <c r="A1567" s="2">
        <v>44736</v>
      </c>
      <c r="B1567">
        <v>3821.75</v>
      </c>
      <c r="C1567">
        <v>3913.64990234375</v>
      </c>
      <c r="D1567">
        <v>3821.75</v>
      </c>
      <c r="E1567">
        <v>3911.739990234375</v>
      </c>
      <c r="F1567">
        <v>3911.739990234375</v>
      </c>
      <c r="G1567">
        <v>8120260000</v>
      </c>
      <c r="H1567">
        <v>0</v>
      </c>
      <c r="I1567">
        <v>0</v>
      </c>
      <c r="K1567" s="11">
        <f t="shared" si="24"/>
        <v>3.056329358583576E-2</v>
      </c>
    </row>
    <row r="1568" spans="1:11" x14ac:dyDescent="0.2">
      <c r="A1568" s="2">
        <v>44739</v>
      </c>
      <c r="B1568">
        <v>3920.760009765625</v>
      </c>
      <c r="C1568">
        <v>3927.719970703125</v>
      </c>
      <c r="D1568">
        <v>3889.659912109375</v>
      </c>
      <c r="E1568">
        <v>3900.110107421875</v>
      </c>
      <c r="F1568">
        <v>3900.110107421875</v>
      </c>
      <c r="G1568">
        <v>4325310000</v>
      </c>
      <c r="H1568">
        <v>0</v>
      </c>
      <c r="I1568">
        <v>0</v>
      </c>
      <c r="K1568" s="11">
        <f t="shared" si="24"/>
        <v>-2.9730715337762392E-3</v>
      </c>
    </row>
    <row r="1569" spans="1:11" x14ac:dyDescent="0.2">
      <c r="A1569" s="2">
        <v>44740</v>
      </c>
      <c r="B1569">
        <v>3913</v>
      </c>
      <c r="C1569">
        <v>3945.860107421875</v>
      </c>
      <c r="D1569">
        <v>3820.139892578125</v>
      </c>
      <c r="E1569">
        <v>3821.550048828125</v>
      </c>
      <c r="F1569">
        <v>3821.550048828125</v>
      </c>
      <c r="G1569">
        <v>4270120000</v>
      </c>
      <c r="H1569">
        <v>0</v>
      </c>
      <c r="I1569">
        <v>0</v>
      </c>
      <c r="K1569" s="11">
        <f t="shared" si="24"/>
        <v>-2.0143036075892073E-2</v>
      </c>
    </row>
    <row r="1570" spans="1:11" x14ac:dyDescent="0.2">
      <c r="A1570" s="2">
        <v>44741</v>
      </c>
      <c r="B1570">
        <v>3825.090087890625</v>
      </c>
      <c r="C1570">
        <v>3836.5</v>
      </c>
      <c r="D1570">
        <v>3799.02001953125</v>
      </c>
      <c r="E1570">
        <v>3818.830078125</v>
      </c>
      <c r="F1570">
        <v>3818.830078125</v>
      </c>
      <c r="G1570">
        <v>4211240000</v>
      </c>
      <c r="H1570">
        <v>0</v>
      </c>
      <c r="I1570">
        <v>0</v>
      </c>
      <c r="K1570" s="11">
        <f t="shared" si="24"/>
        <v>-7.1174540915908135E-4</v>
      </c>
    </row>
    <row r="1571" spans="1:11" x14ac:dyDescent="0.2">
      <c r="A1571" s="2">
        <v>44742</v>
      </c>
      <c r="B1571">
        <v>3785.989990234375</v>
      </c>
      <c r="C1571">
        <v>3818.989990234375</v>
      </c>
      <c r="D1571">
        <v>3738.669921875</v>
      </c>
      <c r="E1571">
        <v>3785.3798828125</v>
      </c>
      <c r="F1571">
        <v>3785.3798828125</v>
      </c>
      <c r="G1571">
        <v>4840070000</v>
      </c>
      <c r="H1571">
        <v>0</v>
      </c>
      <c r="I1571">
        <v>0</v>
      </c>
      <c r="K1571" s="11">
        <f t="shared" si="24"/>
        <v>-8.7592782679987158E-3</v>
      </c>
    </row>
    <row r="1572" spans="1:11" x14ac:dyDescent="0.2">
      <c r="A1572" s="2">
        <v>44743</v>
      </c>
      <c r="B1572">
        <v>3781</v>
      </c>
      <c r="C1572">
        <v>3829.820068359375</v>
      </c>
      <c r="D1572">
        <v>3752.10009765625</v>
      </c>
      <c r="E1572">
        <v>3825.330078125</v>
      </c>
      <c r="F1572">
        <v>3825.330078125</v>
      </c>
      <c r="G1572">
        <v>4046950000</v>
      </c>
      <c r="H1572">
        <v>0</v>
      </c>
      <c r="I1572">
        <v>0</v>
      </c>
      <c r="K1572" s="11">
        <f t="shared" si="24"/>
        <v>1.0553814029047315E-2</v>
      </c>
    </row>
    <row r="1573" spans="1:11" x14ac:dyDescent="0.2">
      <c r="A1573" s="2">
        <v>44747</v>
      </c>
      <c r="B1573">
        <v>3792.610107421875</v>
      </c>
      <c r="C1573">
        <v>3832.18994140625</v>
      </c>
      <c r="D1573">
        <v>3742.06005859375</v>
      </c>
      <c r="E1573">
        <v>3831.389892578125</v>
      </c>
      <c r="F1573">
        <v>3831.389892578125</v>
      </c>
      <c r="G1573">
        <v>5076590000</v>
      </c>
      <c r="H1573">
        <v>0</v>
      </c>
      <c r="I1573">
        <v>0</v>
      </c>
      <c r="K1573" s="11">
        <f t="shared" si="24"/>
        <v>1.5841285142366157E-3</v>
      </c>
    </row>
    <row r="1574" spans="1:11" x14ac:dyDescent="0.2">
      <c r="A1574" s="2">
        <v>44748</v>
      </c>
      <c r="B1574">
        <v>3831.97998046875</v>
      </c>
      <c r="C1574">
        <v>3870.909912109375</v>
      </c>
      <c r="D1574">
        <v>3809.3701171875</v>
      </c>
      <c r="E1574">
        <v>3845.080078125</v>
      </c>
      <c r="F1574">
        <v>3845.080078125</v>
      </c>
      <c r="G1574">
        <v>4417720000</v>
      </c>
      <c r="H1574">
        <v>0</v>
      </c>
      <c r="I1574">
        <v>0</v>
      </c>
      <c r="K1574" s="11">
        <f t="shared" si="24"/>
        <v>3.5731642904301975E-3</v>
      </c>
    </row>
    <row r="1575" spans="1:11" x14ac:dyDescent="0.2">
      <c r="A1575" s="2">
        <v>44749</v>
      </c>
      <c r="B1575">
        <v>3858.85009765625</v>
      </c>
      <c r="C1575">
        <v>3910.6298828125</v>
      </c>
      <c r="D1575">
        <v>3858.85009765625</v>
      </c>
      <c r="E1575">
        <v>3902.6201171875</v>
      </c>
      <c r="F1575">
        <v>3902.6201171875</v>
      </c>
      <c r="G1575">
        <v>4057770000</v>
      </c>
      <c r="H1575">
        <v>0</v>
      </c>
      <c r="I1575">
        <v>0</v>
      </c>
      <c r="K1575" s="11">
        <f t="shared" si="24"/>
        <v>1.4964587965241805E-2</v>
      </c>
    </row>
    <row r="1576" spans="1:11" x14ac:dyDescent="0.2">
      <c r="A1576" s="2">
        <v>44750</v>
      </c>
      <c r="B1576">
        <v>3888.260009765625</v>
      </c>
      <c r="C1576">
        <v>3918.5</v>
      </c>
      <c r="D1576">
        <v>3869.340087890625</v>
      </c>
      <c r="E1576">
        <v>3899.3798828125</v>
      </c>
      <c r="F1576">
        <v>3899.3798828125</v>
      </c>
      <c r="G1576">
        <v>3521620000</v>
      </c>
      <c r="H1576">
        <v>0</v>
      </c>
      <c r="I1576">
        <v>0</v>
      </c>
      <c r="K1576" s="11">
        <f t="shared" si="24"/>
        <v>-8.3027152981907104E-4</v>
      </c>
    </row>
    <row r="1577" spans="1:11" x14ac:dyDescent="0.2">
      <c r="A1577" s="2">
        <v>44753</v>
      </c>
      <c r="B1577">
        <v>3880.93994140625</v>
      </c>
      <c r="C1577">
        <v>3880.93994140625</v>
      </c>
      <c r="D1577">
        <v>3847.219970703125</v>
      </c>
      <c r="E1577">
        <v>3854.429931640625</v>
      </c>
      <c r="F1577">
        <v>3854.429931640625</v>
      </c>
      <c r="G1577">
        <v>3423480000</v>
      </c>
      <c r="H1577">
        <v>0</v>
      </c>
      <c r="I1577">
        <v>0</v>
      </c>
      <c r="K1577" s="11">
        <f t="shared" si="24"/>
        <v>-1.1527461422777274E-2</v>
      </c>
    </row>
    <row r="1578" spans="1:11" x14ac:dyDescent="0.2">
      <c r="A1578" s="2">
        <v>44754</v>
      </c>
      <c r="B1578">
        <v>3851.949951171875</v>
      </c>
      <c r="C1578">
        <v>3873.409912109375</v>
      </c>
      <c r="D1578">
        <v>3802.360107421875</v>
      </c>
      <c r="E1578">
        <v>3818.800048828125</v>
      </c>
      <c r="F1578">
        <v>3818.800048828125</v>
      </c>
      <c r="G1578">
        <v>3817210000</v>
      </c>
      <c r="H1578">
        <v>0</v>
      </c>
      <c r="I1578">
        <v>0</v>
      </c>
      <c r="K1578" s="11">
        <f t="shared" si="24"/>
        <v>-9.2438787173215742E-3</v>
      </c>
    </row>
    <row r="1579" spans="1:11" x14ac:dyDescent="0.2">
      <c r="A1579" s="2">
        <v>44755</v>
      </c>
      <c r="B1579">
        <v>3779.669921875</v>
      </c>
      <c r="C1579">
        <v>3829.43994140625</v>
      </c>
      <c r="D1579">
        <v>3759.070068359375</v>
      </c>
      <c r="E1579">
        <v>3801.780029296875</v>
      </c>
      <c r="F1579">
        <v>3801.780029296875</v>
      </c>
      <c r="G1579">
        <v>4109390000</v>
      </c>
      <c r="H1579">
        <v>0</v>
      </c>
      <c r="I1579">
        <v>0</v>
      </c>
      <c r="K1579" s="11">
        <f t="shared" si="24"/>
        <v>-4.4569025122100925E-3</v>
      </c>
    </row>
    <row r="1580" spans="1:11" x14ac:dyDescent="0.2">
      <c r="A1580" s="2">
        <v>44756</v>
      </c>
      <c r="B1580">
        <v>3763.989990234375</v>
      </c>
      <c r="C1580">
        <v>3796.409912109375</v>
      </c>
      <c r="D1580">
        <v>3721.56005859375</v>
      </c>
      <c r="E1580">
        <v>3790.3798828125</v>
      </c>
      <c r="F1580">
        <v>3790.3798828125</v>
      </c>
      <c r="G1580">
        <v>4199690000</v>
      </c>
      <c r="H1580">
        <v>0</v>
      </c>
      <c r="I1580">
        <v>0</v>
      </c>
      <c r="K1580" s="11">
        <f t="shared" si="24"/>
        <v>-2.9986339021522701E-3</v>
      </c>
    </row>
    <row r="1581" spans="1:11" x14ac:dyDescent="0.2">
      <c r="A1581" s="2">
        <v>44757</v>
      </c>
      <c r="B1581">
        <v>3818</v>
      </c>
      <c r="C1581">
        <v>3863.6201171875</v>
      </c>
      <c r="D1581">
        <v>3817.179931640625</v>
      </c>
      <c r="E1581">
        <v>3863.159912109375</v>
      </c>
      <c r="F1581">
        <v>3863.159912109375</v>
      </c>
      <c r="G1581">
        <v>4143800000</v>
      </c>
      <c r="H1581">
        <v>0</v>
      </c>
      <c r="I1581">
        <v>0</v>
      </c>
      <c r="K1581" s="11">
        <f t="shared" si="24"/>
        <v>1.9201249359436678E-2</v>
      </c>
    </row>
    <row r="1582" spans="1:11" x14ac:dyDescent="0.2">
      <c r="A1582" s="2">
        <v>44760</v>
      </c>
      <c r="B1582">
        <v>3883.7900390625</v>
      </c>
      <c r="C1582">
        <v>3902.43994140625</v>
      </c>
      <c r="D1582">
        <v>3818.6298828125</v>
      </c>
      <c r="E1582">
        <v>3830.85009765625</v>
      </c>
      <c r="F1582">
        <v>3830.85009765625</v>
      </c>
      <c r="G1582">
        <v>4046870000</v>
      </c>
      <c r="H1582">
        <v>0</v>
      </c>
      <c r="I1582">
        <v>0</v>
      </c>
      <c r="K1582" s="11">
        <f t="shared" si="24"/>
        <v>-8.3635715808313416E-3</v>
      </c>
    </row>
    <row r="1583" spans="1:11" x14ac:dyDescent="0.2">
      <c r="A1583" s="2">
        <v>44761</v>
      </c>
      <c r="B1583">
        <v>3860.72998046875</v>
      </c>
      <c r="C1583">
        <v>3939.81005859375</v>
      </c>
      <c r="D1583">
        <v>3860.72998046875</v>
      </c>
      <c r="E1583">
        <v>3936.68994140625</v>
      </c>
      <c r="F1583">
        <v>3936.68994140625</v>
      </c>
      <c r="G1583">
        <v>4041070000</v>
      </c>
      <c r="H1583">
        <v>0</v>
      </c>
      <c r="I1583">
        <v>0</v>
      </c>
      <c r="K1583" s="11">
        <f t="shared" si="24"/>
        <v>2.7628291645959591E-2</v>
      </c>
    </row>
    <row r="1584" spans="1:11" x14ac:dyDescent="0.2">
      <c r="A1584" s="2">
        <v>44762</v>
      </c>
      <c r="B1584">
        <v>3935.320068359375</v>
      </c>
      <c r="C1584">
        <v>3974.1298828125</v>
      </c>
      <c r="D1584">
        <v>3922.030029296875</v>
      </c>
      <c r="E1584">
        <v>3959.89990234375</v>
      </c>
      <c r="F1584">
        <v>3959.89990234375</v>
      </c>
      <c r="G1584">
        <v>4185300000</v>
      </c>
      <c r="H1584">
        <v>0</v>
      </c>
      <c r="I1584">
        <v>0</v>
      </c>
      <c r="K1584" s="11">
        <f t="shared" si="24"/>
        <v>5.8958061932632422E-3</v>
      </c>
    </row>
    <row r="1585" spans="1:11" x14ac:dyDescent="0.2">
      <c r="A1585" s="2">
        <v>44763</v>
      </c>
      <c r="B1585">
        <v>3955.469970703125</v>
      </c>
      <c r="C1585">
        <v>3999.2900390625</v>
      </c>
      <c r="D1585">
        <v>3927.639892578125</v>
      </c>
      <c r="E1585">
        <v>3998.949951171875</v>
      </c>
      <c r="F1585">
        <v>3998.949951171875</v>
      </c>
      <c r="G1585">
        <v>4132790000</v>
      </c>
      <c r="H1585">
        <v>0</v>
      </c>
      <c r="I1585">
        <v>0</v>
      </c>
      <c r="K1585" s="11">
        <f t="shared" si="24"/>
        <v>9.8613727091971803E-3</v>
      </c>
    </row>
    <row r="1586" spans="1:11" x14ac:dyDescent="0.2">
      <c r="A1586" s="2">
        <v>44764</v>
      </c>
      <c r="B1586">
        <v>3998.429931640625</v>
      </c>
      <c r="C1586">
        <v>4012.43994140625</v>
      </c>
      <c r="D1586">
        <v>3938.860107421875</v>
      </c>
      <c r="E1586">
        <v>3961.6298828125</v>
      </c>
      <c r="F1586">
        <v>3961.6298828125</v>
      </c>
      <c r="G1586">
        <v>3979240000</v>
      </c>
      <c r="H1586">
        <v>0</v>
      </c>
      <c r="I1586">
        <v>0</v>
      </c>
      <c r="K1586" s="11">
        <f t="shared" si="24"/>
        <v>-9.3324669763467094E-3</v>
      </c>
    </row>
    <row r="1587" spans="1:11" x14ac:dyDescent="0.2">
      <c r="A1587" s="2">
        <v>44767</v>
      </c>
      <c r="B1587">
        <v>3965.719970703125</v>
      </c>
      <c r="C1587">
        <v>3975.300048828125</v>
      </c>
      <c r="D1587">
        <v>3943.4599609375</v>
      </c>
      <c r="E1587">
        <v>3966.840087890625</v>
      </c>
      <c r="F1587">
        <v>3966.840087890625</v>
      </c>
      <c r="G1587">
        <v>3568340000</v>
      </c>
      <c r="H1587">
        <v>0</v>
      </c>
      <c r="I1587">
        <v>0</v>
      </c>
      <c r="K1587" s="11">
        <f t="shared" si="24"/>
        <v>1.3151670479691902E-3</v>
      </c>
    </row>
    <row r="1588" spans="1:11" x14ac:dyDescent="0.2">
      <c r="A1588" s="2">
        <v>44768</v>
      </c>
      <c r="B1588">
        <v>3953.219970703125</v>
      </c>
      <c r="C1588">
        <v>3953.219970703125</v>
      </c>
      <c r="D1588">
        <v>3910.739990234375</v>
      </c>
      <c r="E1588">
        <v>3921.050048828125</v>
      </c>
      <c r="F1588">
        <v>3921.050048828125</v>
      </c>
      <c r="G1588">
        <v>3778950000</v>
      </c>
      <c r="H1588">
        <v>0</v>
      </c>
      <c r="I1588">
        <v>0</v>
      </c>
      <c r="K1588" s="11">
        <f t="shared" si="24"/>
        <v>-1.154320266205866E-2</v>
      </c>
    </row>
    <row r="1589" spans="1:11" x14ac:dyDescent="0.2">
      <c r="A1589" s="2">
        <v>44769</v>
      </c>
      <c r="B1589">
        <v>3951.429931640625</v>
      </c>
      <c r="C1589">
        <v>4039.56005859375</v>
      </c>
      <c r="D1589">
        <v>3951.429931640625</v>
      </c>
      <c r="E1589">
        <v>4023.610107421875</v>
      </c>
      <c r="F1589">
        <v>4023.610107421875</v>
      </c>
      <c r="G1589">
        <v>4112180000</v>
      </c>
      <c r="H1589">
        <v>0</v>
      </c>
      <c r="I1589">
        <v>0</v>
      </c>
      <c r="K1589" s="11">
        <f t="shared" si="24"/>
        <v>2.6156273782937722E-2</v>
      </c>
    </row>
    <row r="1590" spans="1:11" x14ac:dyDescent="0.2">
      <c r="A1590" s="2">
        <v>44770</v>
      </c>
      <c r="B1590">
        <v>4026.1298828125</v>
      </c>
      <c r="C1590">
        <v>4078.949951171875</v>
      </c>
      <c r="D1590">
        <v>3992.969970703125</v>
      </c>
      <c r="E1590">
        <v>4072.429931640625</v>
      </c>
      <c r="F1590">
        <v>4072.429931640625</v>
      </c>
      <c r="G1590">
        <v>4413000000</v>
      </c>
      <c r="H1590">
        <v>0</v>
      </c>
      <c r="I1590">
        <v>0</v>
      </c>
      <c r="K1590" s="11">
        <f t="shared" si="24"/>
        <v>1.2133338697180918E-2</v>
      </c>
    </row>
    <row r="1591" spans="1:11" x14ac:dyDescent="0.2">
      <c r="A1591" s="2">
        <v>44771</v>
      </c>
      <c r="B1591">
        <v>4087.330078125</v>
      </c>
      <c r="C1591">
        <v>4140.14990234375</v>
      </c>
      <c r="D1591">
        <v>4079.219970703125</v>
      </c>
      <c r="E1591">
        <v>4130.2900390625</v>
      </c>
      <c r="F1591">
        <v>4130.2900390625</v>
      </c>
      <c r="G1591">
        <v>4616360000</v>
      </c>
      <c r="H1591">
        <v>0</v>
      </c>
      <c r="I1591">
        <v>0</v>
      </c>
      <c r="K1591" s="11">
        <f t="shared" si="24"/>
        <v>1.4207760082581844E-2</v>
      </c>
    </row>
    <row r="1592" spans="1:11" x14ac:dyDescent="0.2">
      <c r="A1592" s="2">
        <v>44774</v>
      </c>
      <c r="B1592">
        <v>4112.3798828125</v>
      </c>
      <c r="C1592">
        <v>4144.9501953125</v>
      </c>
      <c r="D1592">
        <v>4096.02001953125</v>
      </c>
      <c r="E1592">
        <v>4118.6298828125</v>
      </c>
      <c r="F1592">
        <v>4118.6298828125</v>
      </c>
      <c r="G1592">
        <v>4202810000</v>
      </c>
      <c r="H1592">
        <v>0</v>
      </c>
      <c r="I1592">
        <v>0</v>
      </c>
      <c r="K1592" s="11">
        <f t="shared" si="24"/>
        <v>-2.8230841271976725E-3</v>
      </c>
    </row>
    <row r="1593" spans="1:11" x14ac:dyDescent="0.2">
      <c r="A1593" s="2">
        <v>44775</v>
      </c>
      <c r="B1593">
        <v>4104.2099609375</v>
      </c>
      <c r="C1593">
        <v>4140.47021484375</v>
      </c>
      <c r="D1593">
        <v>4079.81005859375</v>
      </c>
      <c r="E1593">
        <v>4091.18994140625</v>
      </c>
      <c r="F1593">
        <v>4091.18994140625</v>
      </c>
      <c r="G1593">
        <v>4727710000</v>
      </c>
      <c r="H1593">
        <v>0</v>
      </c>
      <c r="I1593">
        <v>0</v>
      </c>
      <c r="K1593" s="11">
        <f t="shared" si="24"/>
        <v>-6.6623955507048027E-3</v>
      </c>
    </row>
    <row r="1594" spans="1:11" x14ac:dyDescent="0.2">
      <c r="A1594" s="2">
        <v>44776</v>
      </c>
      <c r="B1594">
        <v>4107.9599609375</v>
      </c>
      <c r="C1594">
        <v>4167.66015625</v>
      </c>
      <c r="D1594">
        <v>4107.9599609375</v>
      </c>
      <c r="E1594">
        <v>4155.169921875</v>
      </c>
      <c r="F1594">
        <v>4155.169921875</v>
      </c>
      <c r="G1594">
        <v>4351760000</v>
      </c>
      <c r="H1594">
        <v>0</v>
      </c>
      <c r="I1594">
        <v>0</v>
      </c>
      <c r="K1594" s="11">
        <f t="shared" si="24"/>
        <v>1.5638477163140152E-2</v>
      </c>
    </row>
    <row r="1595" spans="1:11" x14ac:dyDescent="0.2">
      <c r="A1595" s="2">
        <v>44777</v>
      </c>
      <c r="B1595">
        <v>4154.85009765625</v>
      </c>
      <c r="C1595">
        <v>4161.2900390625</v>
      </c>
      <c r="D1595">
        <v>4135.419921875</v>
      </c>
      <c r="E1595">
        <v>4151.93994140625</v>
      </c>
      <c r="F1595">
        <v>4151.93994140625</v>
      </c>
      <c r="G1595">
        <v>4283320000</v>
      </c>
      <c r="H1595">
        <v>0</v>
      </c>
      <c r="I1595">
        <v>0</v>
      </c>
      <c r="K1595" s="11">
        <f t="shared" si="24"/>
        <v>-7.7734016405583972E-4</v>
      </c>
    </row>
    <row r="1596" spans="1:11" x14ac:dyDescent="0.2">
      <c r="A1596" s="2">
        <v>44778</v>
      </c>
      <c r="B1596">
        <v>4115.8701171875</v>
      </c>
      <c r="C1596">
        <v>4151.580078125</v>
      </c>
      <c r="D1596">
        <v>4107.31005859375</v>
      </c>
      <c r="E1596">
        <v>4145.18994140625</v>
      </c>
      <c r="F1596">
        <v>4145.18994140625</v>
      </c>
      <c r="G1596">
        <v>4085940000</v>
      </c>
      <c r="H1596">
        <v>0</v>
      </c>
      <c r="I1596">
        <v>0</v>
      </c>
      <c r="K1596" s="11">
        <f t="shared" si="24"/>
        <v>-1.6257460597355333E-3</v>
      </c>
    </row>
    <row r="1597" spans="1:11" x14ac:dyDescent="0.2">
      <c r="A1597" s="2">
        <v>44781</v>
      </c>
      <c r="B1597">
        <v>4155.93017578125</v>
      </c>
      <c r="C1597">
        <v>4186.6201171875</v>
      </c>
      <c r="D1597">
        <v>4128.97021484375</v>
      </c>
      <c r="E1597">
        <v>4140.06005859375</v>
      </c>
      <c r="F1597">
        <v>4140.06005859375</v>
      </c>
      <c r="G1597">
        <v>4221090000</v>
      </c>
      <c r="H1597">
        <v>0</v>
      </c>
      <c r="I1597">
        <v>0</v>
      </c>
      <c r="K1597" s="11">
        <f t="shared" si="24"/>
        <v>-1.2375507238541195E-3</v>
      </c>
    </row>
    <row r="1598" spans="1:11" x14ac:dyDescent="0.2">
      <c r="A1598" s="2">
        <v>44782</v>
      </c>
      <c r="B1598">
        <v>4133.10986328125</v>
      </c>
      <c r="C1598">
        <v>4137.2998046875</v>
      </c>
      <c r="D1598">
        <v>4112.08984375</v>
      </c>
      <c r="E1598">
        <v>4122.47021484375</v>
      </c>
      <c r="F1598">
        <v>4122.47021484375</v>
      </c>
      <c r="G1598">
        <v>3913090000</v>
      </c>
      <c r="H1598">
        <v>0</v>
      </c>
      <c r="I1598">
        <v>0</v>
      </c>
      <c r="K1598" s="11">
        <f t="shared" si="24"/>
        <v>-4.248692893594086E-3</v>
      </c>
    </row>
    <row r="1599" spans="1:11" x14ac:dyDescent="0.2">
      <c r="A1599" s="2">
        <v>44783</v>
      </c>
      <c r="B1599">
        <v>4181.02001953125</v>
      </c>
      <c r="C1599">
        <v>4211.02978515625</v>
      </c>
      <c r="D1599">
        <v>4177.259765625</v>
      </c>
      <c r="E1599">
        <v>4210.240234375</v>
      </c>
      <c r="F1599">
        <v>4210.240234375</v>
      </c>
      <c r="G1599">
        <v>4546010000</v>
      </c>
      <c r="H1599">
        <v>0</v>
      </c>
      <c r="I1599">
        <v>0</v>
      </c>
      <c r="K1599" s="11">
        <f t="shared" si="24"/>
        <v>2.1290637641290244E-2</v>
      </c>
    </row>
    <row r="1600" spans="1:11" x14ac:dyDescent="0.2">
      <c r="A1600" s="2">
        <v>44784</v>
      </c>
      <c r="B1600">
        <v>4227.39990234375</v>
      </c>
      <c r="C1600">
        <v>4257.91015625</v>
      </c>
      <c r="D1600">
        <v>4201.41015625</v>
      </c>
      <c r="E1600">
        <v>4207.27001953125</v>
      </c>
      <c r="F1600">
        <v>4207.27001953125</v>
      </c>
      <c r="G1600">
        <v>4630200000</v>
      </c>
      <c r="H1600">
        <v>0</v>
      </c>
      <c r="I1600">
        <v>0</v>
      </c>
      <c r="K1600" s="11">
        <f t="shared" si="24"/>
        <v>-7.0547395835030002E-4</v>
      </c>
    </row>
    <row r="1601" spans="1:11" x14ac:dyDescent="0.2">
      <c r="A1601" s="2">
        <v>44785</v>
      </c>
      <c r="B1601">
        <v>4225.02001953125</v>
      </c>
      <c r="C1601">
        <v>4280.47021484375</v>
      </c>
      <c r="D1601">
        <v>4219.77978515625</v>
      </c>
      <c r="E1601">
        <v>4280.14990234375</v>
      </c>
      <c r="F1601">
        <v>4280.14990234375</v>
      </c>
      <c r="G1601">
        <v>3788010000</v>
      </c>
      <c r="H1601">
        <v>0</v>
      </c>
      <c r="I1601">
        <v>0</v>
      </c>
      <c r="K1601" s="11">
        <f t="shared" si="24"/>
        <v>1.7322368774566943E-2</v>
      </c>
    </row>
    <row r="1602" spans="1:11" x14ac:dyDescent="0.2">
      <c r="A1602" s="2">
        <v>44788</v>
      </c>
      <c r="B1602">
        <v>4269.3701171875</v>
      </c>
      <c r="C1602">
        <v>4301.7900390625</v>
      </c>
      <c r="D1602">
        <v>4256.89990234375</v>
      </c>
      <c r="E1602">
        <v>4297.14013671875</v>
      </c>
      <c r="F1602">
        <v>4297.14013671875</v>
      </c>
      <c r="G1602">
        <v>3696830000</v>
      </c>
      <c r="H1602">
        <v>0</v>
      </c>
      <c r="I1602">
        <v>0</v>
      </c>
      <c r="K1602" s="11">
        <f t="shared" si="24"/>
        <v>3.9695418998517695E-3</v>
      </c>
    </row>
    <row r="1603" spans="1:11" x14ac:dyDescent="0.2">
      <c r="A1603" s="2">
        <v>44789</v>
      </c>
      <c r="B1603">
        <v>4290.4599609375</v>
      </c>
      <c r="C1603">
        <v>4325.27978515625</v>
      </c>
      <c r="D1603">
        <v>4277.77001953125</v>
      </c>
      <c r="E1603">
        <v>4305.2001953125</v>
      </c>
      <c r="F1603">
        <v>4305.2001953125</v>
      </c>
      <c r="G1603">
        <v>4329820000</v>
      </c>
      <c r="H1603">
        <v>0</v>
      </c>
      <c r="I1603">
        <v>0</v>
      </c>
      <c r="K1603" s="11">
        <f t="shared" si="24"/>
        <v>1.8756797165810912E-3</v>
      </c>
    </row>
    <row r="1604" spans="1:11" x14ac:dyDescent="0.2">
      <c r="A1604" s="2">
        <v>44790</v>
      </c>
      <c r="B1604">
        <v>4280.39990234375</v>
      </c>
      <c r="C1604">
        <v>4302.18017578125</v>
      </c>
      <c r="D1604">
        <v>4253.080078125</v>
      </c>
      <c r="E1604">
        <v>4274.0400390625</v>
      </c>
      <c r="F1604">
        <v>4274.0400390625</v>
      </c>
      <c r="G1604">
        <v>3885030000</v>
      </c>
      <c r="H1604">
        <v>0</v>
      </c>
      <c r="I1604">
        <v>0</v>
      </c>
      <c r="K1604" s="11">
        <f t="shared" ref="K1604:K1667" si="25">(E1604/E1603)-1</f>
        <v>-7.2377949540946007E-3</v>
      </c>
    </row>
    <row r="1605" spans="1:11" x14ac:dyDescent="0.2">
      <c r="A1605" s="2">
        <v>44791</v>
      </c>
      <c r="B1605">
        <v>4273.1298828125</v>
      </c>
      <c r="C1605">
        <v>4292.52978515625</v>
      </c>
      <c r="D1605">
        <v>4261.97998046875</v>
      </c>
      <c r="E1605">
        <v>4283.740234375</v>
      </c>
      <c r="F1605">
        <v>4283.740234375</v>
      </c>
      <c r="G1605">
        <v>3340330000</v>
      </c>
      <c r="H1605">
        <v>0</v>
      </c>
      <c r="I1605">
        <v>0</v>
      </c>
      <c r="K1605" s="11">
        <f t="shared" si="25"/>
        <v>2.2695611701915031E-3</v>
      </c>
    </row>
    <row r="1606" spans="1:11" x14ac:dyDescent="0.2">
      <c r="A1606" s="2">
        <v>44792</v>
      </c>
      <c r="B1606">
        <v>4266.31005859375</v>
      </c>
      <c r="C1606">
        <v>4266.31005859375</v>
      </c>
      <c r="D1606">
        <v>4218.7001953125</v>
      </c>
      <c r="E1606">
        <v>4228.47998046875</v>
      </c>
      <c r="F1606">
        <v>4228.47998046875</v>
      </c>
      <c r="G1606">
        <v>3761340000</v>
      </c>
      <c r="H1606">
        <v>0</v>
      </c>
      <c r="I1606">
        <v>0</v>
      </c>
      <c r="K1606" s="11">
        <f t="shared" si="25"/>
        <v>-1.2900001139847905E-2</v>
      </c>
    </row>
    <row r="1607" spans="1:11" x14ac:dyDescent="0.2">
      <c r="A1607" s="2">
        <v>44795</v>
      </c>
      <c r="B1607">
        <v>4195.080078125</v>
      </c>
      <c r="C1607">
        <v>4195.080078125</v>
      </c>
      <c r="D1607">
        <v>4129.85986328125</v>
      </c>
      <c r="E1607">
        <v>4137.990234375</v>
      </c>
      <c r="F1607">
        <v>4137.990234375</v>
      </c>
      <c r="G1607">
        <v>3907430000</v>
      </c>
      <c r="H1607">
        <v>0</v>
      </c>
      <c r="I1607">
        <v>0</v>
      </c>
      <c r="K1607" s="11">
        <f t="shared" si="25"/>
        <v>-2.14000649197158E-2</v>
      </c>
    </row>
    <row r="1608" spans="1:11" x14ac:dyDescent="0.2">
      <c r="A1608" s="2">
        <v>44796</v>
      </c>
      <c r="B1608">
        <v>4133.08984375</v>
      </c>
      <c r="C1608">
        <v>4159.77001953125</v>
      </c>
      <c r="D1608">
        <v>4124.02978515625</v>
      </c>
      <c r="E1608">
        <v>4128.72998046875</v>
      </c>
      <c r="F1608">
        <v>4128.72998046875</v>
      </c>
      <c r="G1608">
        <v>3823520000</v>
      </c>
      <c r="H1608">
        <v>0</v>
      </c>
      <c r="I1608">
        <v>0</v>
      </c>
      <c r="K1608" s="11">
        <f t="shared" si="25"/>
        <v>-2.2378626777133093E-3</v>
      </c>
    </row>
    <row r="1609" spans="1:11" x14ac:dyDescent="0.2">
      <c r="A1609" s="2">
        <v>44797</v>
      </c>
      <c r="B1609">
        <v>4126.5498046875</v>
      </c>
      <c r="C1609">
        <v>4156.56005859375</v>
      </c>
      <c r="D1609">
        <v>4119.97021484375</v>
      </c>
      <c r="E1609">
        <v>4140.77001953125</v>
      </c>
      <c r="F1609">
        <v>4140.77001953125</v>
      </c>
      <c r="G1609">
        <v>3583630000</v>
      </c>
      <c r="H1609">
        <v>0</v>
      </c>
      <c r="I1609">
        <v>0</v>
      </c>
      <c r="K1609" s="11">
        <f t="shared" si="25"/>
        <v>2.9161604463010526E-3</v>
      </c>
    </row>
    <row r="1610" spans="1:11" x14ac:dyDescent="0.2">
      <c r="A1610" s="2">
        <v>44798</v>
      </c>
      <c r="B1610">
        <v>4153.259765625</v>
      </c>
      <c r="C1610">
        <v>4200.5400390625</v>
      </c>
      <c r="D1610">
        <v>4147.58984375</v>
      </c>
      <c r="E1610">
        <v>4199.1201171875</v>
      </c>
      <c r="F1610">
        <v>4199.1201171875</v>
      </c>
      <c r="G1610">
        <v>3566870000</v>
      </c>
      <c r="H1610">
        <v>0</v>
      </c>
      <c r="I1610">
        <v>0</v>
      </c>
      <c r="K1610" s="11">
        <f t="shared" si="25"/>
        <v>1.4091605518061545E-2</v>
      </c>
    </row>
    <row r="1611" spans="1:11" x14ac:dyDescent="0.2">
      <c r="A1611" s="2">
        <v>44799</v>
      </c>
      <c r="B1611">
        <v>4198.740234375</v>
      </c>
      <c r="C1611">
        <v>4203.0400390625</v>
      </c>
      <c r="D1611">
        <v>4057.659912109375</v>
      </c>
      <c r="E1611">
        <v>4057.659912109375</v>
      </c>
      <c r="F1611">
        <v>4057.659912109375</v>
      </c>
      <c r="G1611">
        <v>3832750000</v>
      </c>
      <c r="H1611">
        <v>0</v>
      </c>
      <c r="I1611">
        <v>0</v>
      </c>
      <c r="K1611" s="11">
        <f t="shared" si="25"/>
        <v>-3.3688058719518743E-2</v>
      </c>
    </row>
    <row r="1612" spans="1:11" x14ac:dyDescent="0.2">
      <c r="A1612" s="2">
        <v>44802</v>
      </c>
      <c r="B1612">
        <v>4034.580078125</v>
      </c>
      <c r="C1612">
        <v>4062.989990234375</v>
      </c>
      <c r="D1612">
        <v>4017.419921875</v>
      </c>
      <c r="E1612">
        <v>4030.610107421875</v>
      </c>
      <c r="F1612">
        <v>4030.610107421875</v>
      </c>
      <c r="G1612">
        <v>3396510000</v>
      </c>
      <c r="H1612">
        <v>0</v>
      </c>
      <c r="I1612">
        <v>0</v>
      </c>
      <c r="K1612" s="11">
        <f t="shared" si="25"/>
        <v>-6.666355799502699E-3</v>
      </c>
    </row>
    <row r="1613" spans="1:11" x14ac:dyDescent="0.2">
      <c r="A1613" s="2">
        <v>44803</v>
      </c>
      <c r="B1613">
        <v>4041.25</v>
      </c>
      <c r="C1613">
        <v>4044.97998046875</v>
      </c>
      <c r="D1613">
        <v>3965.2099609375</v>
      </c>
      <c r="E1613">
        <v>3986.159912109375</v>
      </c>
      <c r="F1613">
        <v>3986.159912109375</v>
      </c>
      <c r="G1613">
        <v>3835860000</v>
      </c>
      <c r="H1613">
        <v>0</v>
      </c>
      <c r="I1613">
        <v>0</v>
      </c>
      <c r="K1613" s="11">
        <f t="shared" si="25"/>
        <v>-1.1028155571448206E-2</v>
      </c>
    </row>
    <row r="1614" spans="1:11" x14ac:dyDescent="0.2">
      <c r="A1614" s="2">
        <v>44804</v>
      </c>
      <c r="B1614">
        <v>4000.669921875</v>
      </c>
      <c r="C1614">
        <v>4015.3701171875</v>
      </c>
      <c r="D1614">
        <v>3954.530029296875</v>
      </c>
      <c r="E1614">
        <v>3955</v>
      </c>
      <c r="F1614">
        <v>3955</v>
      </c>
      <c r="G1614">
        <v>4542490000</v>
      </c>
      <c r="H1614">
        <v>0</v>
      </c>
      <c r="I1614">
        <v>0</v>
      </c>
      <c r="K1614" s="11">
        <f t="shared" si="25"/>
        <v>-7.8170251059712648E-3</v>
      </c>
    </row>
    <row r="1615" spans="1:11" x14ac:dyDescent="0.2">
      <c r="A1615" s="2">
        <v>44805</v>
      </c>
      <c r="B1615">
        <v>3936.72998046875</v>
      </c>
      <c r="C1615">
        <v>3970.22998046875</v>
      </c>
      <c r="D1615">
        <v>3903.64990234375</v>
      </c>
      <c r="E1615">
        <v>3966.85009765625</v>
      </c>
      <c r="F1615">
        <v>3966.85009765625</v>
      </c>
      <c r="G1615">
        <v>4152250000</v>
      </c>
      <c r="H1615">
        <v>0</v>
      </c>
      <c r="I1615">
        <v>0</v>
      </c>
      <c r="K1615" s="11">
        <f t="shared" si="25"/>
        <v>2.9962320243361873E-3</v>
      </c>
    </row>
    <row r="1616" spans="1:11" x14ac:dyDescent="0.2">
      <c r="A1616" s="2">
        <v>44806</v>
      </c>
      <c r="B1616">
        <v>3994.659912109375</v>
      </c>
      <c r="C1616">
        <v>4018.429931640625</v>
      </c>
      <c r="D1616">
        <v>3906.2099609375</v>
      </c>
      <c r="E1616">
        <v>3924.260009765625</v>
      </c>
      <c r="F1616">
        <v>3924.260009765625</v>
      </c>
      <c r="G1616">
        <v>3665850000</v>
      </c>
      <c r="H1616">
        <v>0</v>
      </c>
      <c r="I1616">
        <v>0</v>
      </c>
      <c r="K1616" s="11">
        <f t="shared" si="25"/>
        <v>-1.0736500458081055E-2</v>
      </c>
    </row>
    <row r="1617" spans="1:11" x14ac:dyDescent="0.2">
      <c r="A1617" s="2">
        <v>44810</v>
      </c>
      <c r="B1617">
        <v>3930.889892578125</v>
      </c>
      <c r="C1617">
        <v>3942.550048828125</v>
      </c>
      <c r="D1617">
        <v>3886.75</v>
      </c>
      <c r="E1617">
        <v>3908.18994140625</v>
      </c>
      <c r="F1617">
        <v>3908.18994140625</v>
      </c>
      <c r="G1617">
        <v>4127340000</v>
      </c>
      <c r="H1617">
        <v>0</v>
      </c>
      <c r="I1617">
        <v>0</v>
      </c>
      <c r="K1617" s="11">
        <f t="shared" si="25"/>
        <v>-4.0950569838349438E-3</v>
      </c>
    </row>
    <row r="1618" spans="1:11" x14ac:dyDescent="0.2">
      <c r="A1618" s="2">
        <v>44811</v>
      </c>
      <c r="B1618">
        <v>3909.429931640625</v>
      </c>
      <c r="C1618">
        <v>3987.889892578125</v>
      </c>
      <c r="D1618">
        <v>3906.030029296875</v>
      </c>
      <c r="E1618">
        <v>3979.8701171875</v>
      </c>
      <c r="F1618">
        <v>3979.8701171875</v>
      </c>
      <c r="G1618">
        <v>3890320000</v>
      </c>
      <c r="H1618">
        <v>0</v>
      </c>
      <c r="I1618">
        <v>0</v>
      </c>
      <c r="K1618" s="11">
        <f t="shared" si="25"/>
        <v>1.8341016392734E-2</v>
      </c>
    </row>
    <row r="1619" spans="1:11" x14ac:dyDescent="0.2">
      <c r="A1619" s="2">
        <v>44812</v>
      </c>
      <c r="B1619">
        <v>3959.93994140625</v>
      </c>
      <c r="C1619">
        <v>4010.5</v>
      </c>
      <c r="D1619">
        <v>3944.81005859375</v>
      </c>
      <c r="E1619">
        <v>4006.179931640625</v>
      </c>
      <c r="F1619">
        <v>4006.179931640625</v>
      </c>
      <c r="G1619">
        <v>3966850000</v>
      </c>
      <c r="H1619">
        <v>0</v>
      </c>
      <c r="I1619">
        <v>0</v>
      </c>
      <c r="K1619" s="11">
        <f t="shared" si="25"/>
        <v>6.6107218774560383E-3</v>
      </c>
    </row>
    <row r="1620" spans="1:11" x14ac:dyDescent="0.2">
      <c r="A1620" s="2">
        <v>44813</v>
      </c>
      <c r="B1620">
        <v>4022.93994140625</v>
      </c>
      <c r="C1620">
        <v>4076.81005859375</v>
      </c>
      <c r="D1620">
        <v>4022.93994140625</v>
      </c>
      <c r="E1620">
        <v>4067.360107421875</v>
      </c>
      <c r="F1620">
        <v>4067.360107421875</v>
      </c>
      <c r="G1620">
        <v>3901940000</v>
      </c>
      <c r="H1620">
        <v>0</v>
      </c>
      <c r="I1620">
        <v>0</v>
      </c>
      <c r="K1620" s="11">
        <f t="shared" si="25"/>
        <v>1.5271449816332883E-2</v>
      </c>
    </row>
    <row r="1621" spans="1:11" x14ac:dyDescent="0.2">
      <c r="A1621" s="2">
        <v>44816</v>
      </c>
      <c r="B1621">
        <v>4083.669921875</v>
      </c>
      <c r="C1621">
        <v>4119.27978515625</v>
      </c>
      <c r="D1621">
        <v>4083.669921875</v>
      </c>
      <c r="E1621">
        <v>4110.41015625</v>
      </c>
      <c r="F1621">
        <v>4110.41015625</v>
      </c>
      <c r="G1621">
        <v>3814200000</v>
      </c>
      <c r="H1621">
        <v>0</v>
      </c>
      <c r="I1621">
        <v>0</v>
      </c>
      <c r="K1621" s="11">
        <f t="shared" si="25"/>
        <v>1.0584272769349701E-2</v>
      </c>
    </row>
    <row r="1622" spans="1:11" x14ac:dyDescent="0.2">
      <c r="A1622" s="2">
        <v>44817</v>
      </c>
      <c r="B1622">
        <v>4037.1201171875</v>
      </c>
      <c r="C1622">
        <v>4037.1201171875</v>
      </c>
      <c r="D1622">
        <v>3921.280029296875</v>
      </c>
      <c r="E1622">
        <v>3932.68994140625</v>
      </c>
      <c r="F1622">
        <v>3932.68994140625</v>
      </c>
      <c r="G1622">
        <v>4224550000</v>
      </c>
      <c r="H1622">
        <v>0</v>
      </c>
      <c r="I1622">
        <v>0</v>
      </c>
      <c r="K1622" s="11">
        <f t="shared" si="25"/>
        <v>-4.3236613400616797E-2</v>
      </c>
    </row>
    <row r="1623" spans="1:11" x14ac:dyDescent="0.2">
      <c r="A1623" s="2">
        <v>44818</v>
      </c>
      <c r="B1623">
        <v>3940.72998046875</v>
      </c>
      <c r="C1623">
        <v>3961.93994140625</v>
      </c>
      <c r="D1623">
        <v>3912.179931640625</v>
      </c>
      <c r="E1623">
        <v>3946.010009765625</v>
      </c>
      <c r="F1623">
        <v>3946.010009765625</v>
      </c>
      <c r="G1623">
        <v>4293240000</v>
      </c>
      <c r="H1623">
        <v>0</v>
      </c>
      <c r="I1623">
        <v>0</v>
      </c>
      <c r="K1623" s="11">
        <f t="shared" si="25"/>
        <v>3.3870120853238816E-3</v>
      </c>
    </row>
    <row r="1624" spans="1:11" x14ac:dyDescent="0.2">
      <c r="A1624" s="2">
        <v>44819</v>
      </c>
      <c r="B1624">
        <v>3932.409912109375</v>
      </c>
      <c r="C1624">
        <v>3959.139892578125</v>
      </c>
      <c r="D1624">
        <v>3888.280029296875</v>
      </c>
      <c r="E1624">
        <v>3901.35009765625</v>
      </c>
      <c r="F1624">
        <v>3901.35009765625</v>
      </c>
      <c r="G1624">
        <v>4441830000</v>
      </c>
      <c r="H1624">
        <v>0</v>
      </c>
      <c r="I1624">
        <v>0</v>
      </c>
      <c r="K1624" s="11">
        <f t="shared" si="25"/>
        <v>-1.1317739184353415E-2</v>
      </c>
    </row>
    <row r="1625" spans="1:11" x14ac:dyDescent="0.2">
      <c r="A1625" s="2">
        <v>44820</v>
      </c>
      <c r="B1625">
        <v>3880.949951171875</v>
      </c>
      <c r="C1625">
        <v>3880.949951171875</v>
      </c>
      <c r="D1625">
        <v>3837.080078125</v>
      </c>
      <c r="E1625">
        <v>3873.330078125</v>
      </c>
      <c r="F1625">
        <v>3873.330078125</v>
      </c>
      <c r="G1625">
        <v>7954650000</v>
      </c>
      <c r="H1625">
        <v>0</v>
      </c>
      <c r="I1625">
        <v>0</v>
      </c>
      <c r="K1625" s="11">
        <f t="shared" si="25"/>
        <v>-7.1821340894484553E-3</v>
      </c>
    </row>
    <row r="1626" spans="1:11" x14ac:dyDescent="0.2">
      <c r="A1626" s="2">
        <v>44823</v>
      </c>
      <c r="B1626">
        <v>3849.909912109375</v>
      </c>
      <c r="C1626">
        <v>3900.449951171875</v>
      </c>
      <c r="D1626">
        <v>3838.5</v>
      </c>
      <c r="E1626">
        <v>3899.889892578125</v>
      </c>
      <c r="F1626">
        <v>3899.889892578125</v>
      </c>
      <c r="G1626">
        <v>3766850000</v>
      </c>
      <c r="H1626">
        <v>0</v>
      </c>
      <c r="I1626">
        <v>0</v>
      </c>
      <c r="K1626" s="11">
        <f t="shared" si="25"/>
        <v>6.8571007162865349E-3</v>
      </c>
    </row>
    <row r="1627" spans="1:11" x14ac:dyDescent="0.2">
      <c r="A1627" s="2">
        <v>44824</v>
      </c>
      <c r="B1627">
        <v>3875.22998046875</v>
      </c>
      <c r="C1627">
        <v>3876.010009765625</v>
      </c>
      <c r="D1627">
        <v>3827.5400390625</v>
      </c>
      <c r="E1627">
        <v>3855.929931640625</v>
      </c>
      <c r="F1627">
        <v>3855.929931640625</v>
      </c>
      <c r="G1627">
        <v>4058050000</v>
      </c>
      <c r="H1627">
        <v>0</v>
      </c>
      <c r="I1627">
        <v>0</v>
      </c>
      <c r="K1627" s="11">
        <f t="shared" si="25"/>
        <v>-1.1272103097361819E-2</v>
      </c>
    </row>
    <row r="1628" spans="1:11" x14ac:dyDescent="0.2">
      <c r="A1628" s="2">
        <v>44825</v>
      </c>
      <c r="B1628">
        <v>3871.39990234375</v>
      </c>
      <c r="C1628">
        <v>3907.070068359375</v>
      </c>
      <c r="D1628">
        <v>3789.489990234375</v>
      </c>
      <c r="E1628">
        <v>3789.929931640625</v>
      </c>
      <c r="F1628">
        <v>3789.929931640625</v>
      </c>
      <c r="G1628">
        <v>4078330000</v>
      </c>
      <c r="H1628">
        <v>0</v>
      </c>
      <c r="I1628">
        <v>0</v>
      </c>
      <c r="K1628" s="11">
        <f t="shared" si="25"/>
        <v>-1.7116493600784488E-2</v>
      </c>
    </row>
    <row r="1629" spans="1:11" x14ac:dyDescent="0.2">
      <c r="A1629" s="2">
        <v>44826</v>
      </c>
      <c r="B1629">
        <v>3782.360107421875</v>
      </c>
      <c r="C1629">
        <v>3790.89990234375</v>
      </c>
      <c r="D1629">
        <v>3749.449951171875</v>
      </c>
      <c r="E1629">
        <v>3757.989990234375</v>
      </c>
      <c r="F1629">
        <v>3757.989990234375</v>
      </c>
      <c r="G1629">
        <v>4284600000</v>
      </c>
      <c r="H1629">
        <v>0</v>
      </c>
      <c r="I1629">
        <v>0</v>
      </c>
      <c r="K1629" s="11">
        <f t="shared" si="25"/>
        <v>-8.4275809796894308E-3</v>
      </c>
    </row>
    <row r="1630" spans="1:11" x14ac:dyDescent="0.2">
      <c r="A1630" s="2">
        <v>44827</v>
      </c>
      <c r="B1630">
        <v>3727.139892578125</v>
      </c>
      <c r="C1630">
        <v>3727.139892578125</v>
      </c>
      <c r="D1630">
        <v>3647.469970703125</v>
      </c>
      <c r="E1630">
        <v>3693.22998046875</v>
      </c>
      <c r="F1630">
        <v>3693.22998046875</v>
      </c>
      <c r="G1630">
        <v>5144270000</v>
      </c>
      <c r="H1630">
        <v>0</v>
      </c>
      <c r="I1630">
        <v>0</v>
      </c>
      <c r="K1630" s="11">
        <f t="shared" si="25"/>
        <v>-1.7232619015461026E-2</v>
      </c>
    </row>
    <row r="1631" spans="1:11" x14ac:dyDescent="0.2">
      <c r="A1631" s="2">
        <v>44830</v>
      </c>
      <c r="B1631">
        <v>3682.719970703125</v>
      </c>
      <c r="C1631">
        <v>3715.669921875</v>
      </c>
      <c r="D1631">
        <v>3644.760009765625</v>
      </c>
      <c r="E1631">
        <v>3655.0400390625</v>
      </c>
      <c r="F1631">
        <v>3655.0400390625</v>
      </c>
      <c r="G1631">
        <v>4886140000</v>
      </c>
      <c r="H1631">
        <v>0</v>
      </c>
      <c r="I1631">
        <v>0</v>
      </c>
      <c r="K1631" s="11">
        <f t="shared" si="25"/>
        <v>-1.0340526208282075E-2</v>
      </c>
    </row>
    <row r="1632" spans="1:11" x14ac:dyDescent="0.2">
      <c r="A1632" s="2">
        <v>44831</v>
      </c>
      <c r="B1632">
        <v>3686.43994140625</v>
      </c>
      <c r="C1632">
        <v>3717.530029296875</v>
      </c>
      <c r="D1632">
        <v>3623.2900390625</v>
      </c>
      <c r="E1632">
        <v>3647.2900390625</v>
      </c>
      <c r="F1632">
        <v>3647.2900390625</v>
      </c>
      <c r="G1632">
        <v>4577740000</v>
      </c>
      <c r="H1632">
        <v>0</v>
      </c>
      <c r="I1632">
        <v>0</v>
      </c>
      <c r="K1632" s="11">
        <f t="shared" si="25"/>
        <v>-2.1203598092424114E-3</v>
      </c>
    </row>
    <row r="1633" spans="1:11" x14ac:dyDescent="0.2">
      <c r="A1633" s="2">
        <v>44832</v>
      </c>
      <c r="B1633">
        <v>3651.93994140625</v>
      </c>
      <c r="C1633">
        <v>3736.739990234375</v>
      </c>
      <c r="D1633">
        <v>3640.610107421875</v>
      </c>
      <c r="E1633">
        <v>3719.0400390625</v>
      </c>
      <c r="F1633">
        <v>3719.0400390625</v>
      </c>
      <c r="G1633">
        <v>4684850000</v>
      </c>
      <c r="H1633">
        <v>0</v>
      </c>
      <c r="I1633">
        <v>0</v>
      </c>
      <c r="K1633" s="11">
        <f t="shared" si="25"/>
        <v>1.9672139926234733E-2</v>
      </c>
    </row>
    <row r="1634" spans="1:11" x14ac:dyDescent="0.2">
      <c r="A1634" s="2">
        <v>44833</v>
      </c>
      <c r="B1634">
        <v>3687.010009765625</v>
      </c>
      <c r="C1634">
        <v>3687.010009765625</v>
      </c>
      <c r="D1634">
        <v>3610.39990234375</v>
      </c>
      <c r="E1634">
        <v>3640.469970703125</v>
      </c>
      <c r="F1634">
        <v>3640.469970703125</v>
      </c>
      <c r="G1634">
        <v>4681810000</v>
      </c>
      <c r="H1634">
        <v>0</v>
      </c>
      <c r="I1634">
        <v>0</v>
      </c>
      <c r="K1634" s="11">
        <f t="shared" si="25"/>
        <v>-2.1126437880238824E-2</v>
      </c>
    </row>
    <row r="1635" spans="1:11" x14ac:dyDescent="0.2">
      <c r="A1635" s="2">
        <v>44834</v>
      </c>
      <c r="B1635">
        <v>3633.47998046875</v>
      </c>
      <c r="C1635">
        <v>3671.43994140625</v>
      </c>
      <c r="D1635">
        <v>3584.1298828125</v>
      </c>
      <c r="E1635">
        <v>3585.6201171875</v>
      </c>
      <c r="F1635">
        <v>3585.6201171875</v>
      </c>
      <c r="G1635">
        <v>5645360000</v>
      </c>
      <c r="H1635">
        <v>0</v>
      </c>
      <c r="I1635">
        <v>0</v>
      </c>
      <c r="K1635" s="11">
        <f t="shared" si="25"/>
        <v>-1.5066695771983274E-2</v>
      </c>
    </row>
    <row r="1636" spans="1:11" x14ac:dyDescent="0.2">
      <c r="A1636" s="2">
        <v>44837</v>
      </c>
      <c r="B1636">
        <v>3609.780029296875</v>
      </c>
      <c r="C1636">
        <v>3698.35009765625</v>
      </c>
      <c r="D1636">
        <v>3604.929931640625</v>
      </c>
      <c r="E1636">
        <v>3678.429931640625</v>
      </c>
      <c r="F1636">
        <v>3678.429931640625</v>
      </c>
      <c r="G1636">
        <v>4806680000</v>
      </c>
      <c r="H1636">
        <v>0</v>
      </c>
      <c r="I1636">
        <v>0</v>
      </c>
      <c r="K1636" s="11">
        <f t="shared" si="25"/>
        <v>2.5883894952576147E-2</v>
      </c>
    </row>
    <row r="1637" spans="1:11" x14ac:dyDescent="0.2">
      <c r="A1637" s="2">
        <v>44838</v>
      </c>
      <c r="B1637">
        <v>3726.4599609375</v>
      </c>
      <c r="C1637">
        <v>3791.919921875</v>
      </c>
      <c r="D1637">
        <v>3726.4599609375</v>
      </c>
      <c r="E1637">
        <v>3790.929931640625</v>
      </c>
      <c r="F1637">
        <v>3790.929931640625</v>
      </c>
      <c r="G1637">
        <v>5146580000</v>
      </c>
      <c r="H1637">
        <v>0</v>
      </c>
      <c r="I1637">
        <v>0</v>
      </c>
      <c r="K1637" s="11">
        <f t="shared" si="25"/>
        <v>3.0583700679551518E-2</v>
      </c>
    </row>
    <row r="1638" spans="1:11" x14ac:dyDescent="0.2">
      <c r="A1638" s="2">
        <v>44839</v>
      </c>
      <c r="B1638">
        <v>3753.25</v>
      </c>
      <c r="C1638">
        <v>3806.909912109375</v>
      </c>
      <c r="D1638">
        <v>3722.659912109375</v>
      </c>
      <c r="E1638">
        <v>3783.280029296875</v>
      </c>
      <c r="F1638">
        <v>3783.280029296875</v>
      </c>
      <c r="G1638">
        <v>4293180000</v>
      </c>
      <c r="H1638">
        <v>0</v>
      </c>
      <c r="I1638">
        <v>0</v>
      </c>
      <c r="K1638" s="11">
        <f t="shared" si="25"/>
        <v>-2.0179487570848309E-3</v>
      </c>
    </row>
    <row r="1639" spans="1:11" x14ac:dyDescent="0.2">
      <c r="A1639" s="2">
        <v>44840</v>
      </c>
      <c r="B1639">
        <v>3771.969970703125</v>
      </c>
      <c r="C1639">
        <v>3797.929931640625</v>
      </c>
      <c r="D1639">
        <v>3739.219970703125</v>
      </c>
      <c r="E1639">
        <v>3744.52001953125</v>
      </c>
      <c r="F1639">
        <v>3744.52001953125</v>
      </c>
      <c r="G1639">
        <v>4252100000</v>
      </c>
      <c r="H1639">
        <v>0</v>
      </c>
      <c r="I1639">
        <v>0</v>
      </c>
      <c r="K1639" s="11">
        <f t="shared" si="25"/>
        <v>-1.0245080846639998E-2</v>
      </c>
    </row>
    <row r="1640" spans="1:11" x14ac:dyDescent="0.2">
      <c r="A1640" s="2">
        <v>44841</v>
      </c>
      <c r="B1640">
        <v>3706.739990234375</v>
      </c>
      <c r="C1640">
        <v>3706.739990234375</v>
      </c>
      <c r="D1640">
        <v>3620.72998046875</v>
      </c>
      <c r="E1640">
        <v>3639.659912109375</v>
      </c>
      <c r="F1640">
        <v>3639.659912109375</v>
      </c>
      <c r="G1640">
        <v>4449660000</v>
      </c>
      <c r="H1640">
        <v>0</v>
      </c>
      <c r="I1640">
        <v>0</v>
      </c>
      <c r="K1640" s="11">
        <f t="shared" si="25"/>
        <v>-2.8003617786773516E-2</v>
      </c>
    </row>
    <row r="1641" spans="1:11" x14ac:dyDescent="0.2">
      <c r="A1641" s="2">
        <v>44844</v>
      </c>
      <c r="B1641">
        <v>3647.510009765625</v>
      </c>
      <c r="C1641">
        <v>3652.169921875</v>
      </c>
      <c r="D1641">
        <v>3588.10009765625</v>
      </c>
      <c r="E1641">
        <v>3612.389892578125</v>
      </c>
      <c r="F1641">
        <v>3612.389892578125</v>
      </c>
      <c r="G1641">
        <v>3834320000</v>
      </c>
      <c r="H1641">
        <v>0</v>
      </c>
      <c r="I1641">
        <v>0</v>
      </c>
      <c r="K1641" s="11">
        <f t="shared" si="25"/>
        <v>-7.4924636339018802E-3</v>
      </c>
    </row>
    <row r="1642" spans="1:11" x14ac:dyDescent="0.2">
      <c r="A1642" s="2">
        <v>44845</v>
      </c>
      <c r="B1642">
        <v>3595.860107421875</v>
      </c>
      <c r="C1642">
        <v>3640.659912109375</v>
      </c>
      <c r="D1642">
        <v>3568.449951171875</v>
      </c>
      <c r="E1642">
        <v>3588.840087890625</v>
      </c>
      <c r="F1642">
        <v>3588.840087890625</v>
      </c>
      <c r="G1642">
        <v>4759030000</v>
      </c>
      <c r="H1642">
        <v>0</v>
      </c>
      <c r="I1642">
        <v>0</v>
      </c>
      <c r="K1642" s="11">
        <f t="shared" si="25"/>
        <v>-6.5191757777544046E-3</v>
      </c>
    </row>
    <row r="1643" spans="1:11" x14ac:dyDescent="0.2">
      <c r="A1643" s="2">
        <v>44846</v>
      </c>
      <c r="B1643">
        <v>3590.830078125</v>
      </c>
      <c r="C1643">
        <v>3608.340087890625</v>
      </c>
      <c r="D1643">
        <v>3573.860107421875</v>
      </c>
      <c r="E1643">
        <v>3577.030029296875</v>
      </c>
      <c r="F1643">
        <v>3577.030029296875</v>
      </c>
      <c r="G1643">
        <v>4006830000</v>
      </c>
      <c r="H1643">
        <v>0</v>
      </c>
      <c r="I1643">
        <v>0</v>
      </c>
      <c r="K1643" s="11">
        <f t="shared" si="25"/>
        <v>-3.2907731480149582E-3</v>
      </c>
    </row>
    <row r="1644" spans="1:11" x14ac:dyDescent="0.2">
      <c r="A1644" s="2">
        <v>44847</v>
      </c>
      <c r="B1644">
        <v>3520.3701171875</v>
      </c>
      <c r="C1644">
        <v>3685.409912109375</v>
      </c>
      <c r="D1644">
        <v>3491.580078125</v>
      </c>
      <c r="E1644">
        <v>3669.909912109375</v>
      </c>
      <c r="F1644">
        <v>3669.909912109375</v>
      </c>
      <c r="G1644">
        <v>5021680000</v>
      </c>
      <c r="H1644">
        <v>0</v>
      </c>
      <c r="I1644">
        <v>0</v>
      </c>
      <c r="K1644" s="11">
        <f t="shared" si="25"/>
        <v>2.5965642460864968E-2</v>
      </c>
    </row>
    <row r="1645" spans="1:11" x14ac:dyDescent="0.2">
      <c r="A1645" s="2">
        <v>44848</v>
      </c>
      <c r="B1645">
        <v>3690.409912109375</v>
      </c>
      <c r="C1645">
        <v>3712</v>
      </c>
      <c r="D1645">
        <v>3579.679931640625</v>
      </c>
      <c r="E1645">
        <v>3583.070068359375</v>
      </c>
      <c r="F1645">
        <v>3583.070068359375</v>
      </c>
      <c r="G1645">
        <v>4243030000</v>
      </c>
      <c r="H1645">
        <v>0</v>
      </c>
      <c r="I1645">
        <v>0</v>
      </c>
      <c r="K1645" s="11">
        <f t="shared" si="25"/>
        <v>-2.3662663615654389E-2</v>
      </c>
    </row>
    <row r="1646" spans="1:11" x14ac:dyDescent="0.2">
      <c r="A1646" s="2">
        <v>44851</v>
      </c>
      <c r="B1646">
        <v>3638.64990234375</v>
      </c>
      <c r="C1646">
        <v>3689.72998046875</v>
      </c>
      <c r="D1646">
        <v>3638.64990234375</v>
      </c>
      <c r="E1646">
        <v>3677.949951171875</v>
      </c>
      <c r="F1646">
        <v>3677.949951171875</v>
      </c>
      <c r="G1646">
        <v>4352780000</v>
      </c>
      <c r="H1646">
        <v>0</v>
      </c>
      <c r="I1646">
        <v>0</v>
      </c>
      <c r="K1646" s="11">
        <f t="shared" si="25"/>
        <v>2.6480052302171098E-2</v>
      </c>
    </row>
    <row r="1647" spans="1:11" x14ac:dyDescent="0.2">
      <c r="A1647" s="2">
        <v>44852</v>
      </c>
      <c r="B1647">
        <v>3746.260009765625</v>
      </c>
      <c r="C1647">
        <v>3762.7900390625</v>
      </c>
      <c r="D1647">
        <v>3686.530029296875</v>
      </c>
      <c r="E1647">
        <v>3719.97998046875</v>
      </c>
      <c r="F1647">
        <v>3719.97998046875</v>
      </c>
      <c r="G1647">
        <v>4483740000</v>
      </c>
      <c r="H1647">
        <v>0</v>
      </c>
      <c r="I1647">
        <v>0</v>
      </c>
      <c r="K1647" s="11">
        <f t="shared" si="25"/>
        <v>1.1427569666488724E-2</v>
      </c>
    </row>
    <row r="1648" spans="1:11" x14ac:dyDescent="0.2">
      <c r="A1648" s="2">
        <v>44853</v>
      </c>
      <c r="B1648">
        <v>3703.110107421875</v>
      </c>
      <c r="C1648">
        <v>3728.580078125</v>
      </c>
      <c r="D1648">
        <v>3666.510009765625</v>
      </c>
      <c r="E1648">
        <v>3695.159912109375</v>
      </c>
      <c r="F1648">
        <v>3695.159912109375</v>
      </c>
      <c r="G1648">
        <v>4223800000</v>
      </c>
      <c r="H1648">
        <v>0</v>
      </c>
      <c r="I1648">
        <v>0</v>
      </c>
      <c r="K1648" s="11">
        <f t="shared" si="25"/>
        <v>-6.6720972934503076E-3</v>
      </c>
    </row>
    <row r="1649" spans="1:11" x14ac:dyDescent="0.2">
      <c r="A1649" s="2">
        <v>44854</v>
      </c>
      <c r="B1649">
        <v>3689.050048828125</v>
      </c>
      <c r="C1649">
        <v>3736</v>
      </c>
      <c r="D1649">
        <v>3656.43994140625</v>
      </c>
      <c r="E1649">
        <v>3665.780029296875</v>
      </c>
      <c r="F1649">
        <v>3665.780029296875</v>
      </c>
      <c r="G1649">
        <v>4496620000</v>
      </c>
      <c r="H1649">
        <v>0</v>
      </c>
      <c r="I1649">
        <v>0</v>
      </c>
      <c r="K1649" s="11">
        <f t="shared" si="25"/>
        <v>-7.9509097065648682E-3</v>
      </c>
    </row>
    <row r="1650" spans="1:11" x14ac:dyDescent="0.2">
      <c r="A1650" s="2">
        <v>44855</v>
      </c>
      <c r="B1650">
        <v>3657.10009765625</v>
      </c>
      <c r="C1650">
        <v>3757.889892578125</v>
      </c>
      <c r="D1650">
        <v>3647.419921875</v>
      </c>
      <c r="E1650">
        <v>3752.75</v>
      </c>
      <c r="F1650">
        <v>3752.75</v>
      </c>
      <c r="G1650">
        <v>5078020000</v>
      </c>
      <c r="H1650">
        <v>0</v>
      </c>
      <c r="I1650">
        <v>0</v>
      </c>
      <c r="K1650" s="11">
        <f t="shared" si="25"/>
        <v>2.372481982226482E-2</v>
      </c>
    </row>
    <row r="1651" spans="1:11" x14ac:dyDescent="0.2">
      <c r="A1651" s="2">
        <v>44858</v>
      </c>
      <c r="B1651">
        <v>3762.010009765625</v>
      </c>
      <c r="C1651">
        <v>3810.739990234375</v>
      </c>
      <c r="D1651">
        <v>3741.64990234375</v>
      </c>
      <c r="E1651">
        <v>3797.340087890625</v>
      </c>
      <c r="F1651">
        <v>3797.340087890625</v>
      </c>
      <c r="G1651">
        <v>4747930000</v>
      </c>
      <c r="H1651">
        <v>0</v>
      </c>
      <c r="I1651">
        <v>0</v>
      </c>
      <c r="K1651" s="11">
        <f t="shared" si="25"/>
        <v>1.1881976654619875E-2</v>
      </c>
    </row>
    <row r="1652" spans="1:11" x14ac:dyDescent="0.2">
      <c r="A1652" s="2">
        <v>44859</v>
      </c>
      <c r="B1652">
        <v>3799.43994140625</v>
      </c>
      <c r="C1652">
        <v>3862.85009765625</v>
      </c>
      <c r="D1652">
        <v>3799.43994140625</v>
      </c>
      <c r="E1652">
        <v>3859.110107421875</v>
      </c>
      <c r="F1652">
        <v>3859.110107421875</v>
      </c>
      <c r="G1652">
        <v>4843120000</v>
      </c>
      <c r="H1652">
        <v>0</v>
      </c>
      <c r="I1652">
        <v>0</v>
      </c>
      <c r="K1652" s="11">
        <f t="shared" si="25"/>
        <v>1.6266654579669915E-2</v>
      </c>
    </row>
    <row r="1653" spans="1:11" x14ac:dyDescent="0.2">
      <c r="A1653" s="2">
        <v>44860</v>
      </c>
      <c r="B1653">
        <v>3825.969970703125</v>
      </c>
      <c r="C1653">
        <v>3886.14990234375</v>
      </c>
      <c r="D1653">
        <v>3824.070068359375</v>
      </c>
      <c r="E1653">
        <v>3830.60009765625</v>
      </c>
      <c r="F1653">
        <v>3830.60009765625</v>
      </c>
      <c r="G1653">
        <v>4817310000</v>
      </c>
      <c r="H1653">
        <v>0</v>
      </c>
      <c r="I1653">
        <v>0</v>
      </c>
      <c r="K1653" s="11">
        <f t="shared" si="25"/>
        <v>-7.3877160723645474E-3</v>
      </c>
    </row>
    <row r="1654" spans="1:11" x14ac:dyDescent="0.2">
      <c r="A1654" s="2">
        <v>44861</v>
      </c>
      <c r="B1654">
        <v>3834.68994140625</v>
      </c>
      <c r="C1654">
        <v>3859.949951171875</v>
      </c>
      <c r="D1654">
        <v>3803.7900390625</v>
      </c>
      <c r="E1654">
        <v>3807.300048828125</v>
      </c>
      <c r="F1654">
        <v>3807.300048828125</v>
      </c>
      <c r="G1654">
        <v>4687320000</v>
      </c>
      <c r="H1654">
        <v>0</v>
      </c>
      <c r="I1654">
        <v>0</v>
      </c>
      <c r="K1654" s="11">
        <f t="shared" si="25"/>
        <v>-6.0826106182112483E-3</v>
      </c>
    </row>
    <row r="1655" spans="1:11" x14ac:dyDescent="0.2">
      <c r="A1655" s="2">
        <v>44862</v>
      </c>
      <c r="B1655">
        <v>3808.260009765625</v>
      </c>
      <c r="C1655">
        <v>3905.419921875</v>
      </c>
      <c r="D1655">
        <v>3808.260009765625</v>
      </c>
      <c r="E1655">
        <v>3901.06005859375</v>
      </c>
      <c r="F1655">
        <v>3901.06005859375</v>
      </c>
      <c r="G1655">
        <v>4459410000</v>
      </c>
      <c r="H1655">
        <v>0</v>
      </c>
      <c r="I1655">
        <v>0</v>
      </c>
      <c r="K1655" s="11">
        <f t="shared" si="25"/>
        <v>2.4626377895927698E-2</v>
      </c>
    </row>
    <row r="1656" spans="1:11" x14ac:dyDescent="0.2">
      <c r="A1656" s="2">
        <v>44865</v>
      </c>
      <c r="B1656">
        <v>3881.85009765625</v>
      </c>
      <c r="C1656">
        <v>3893.72998046875</v>
      </c>
      <c r="D1656">
        <v>3863.179931640625</v>
      </c>
      <c r="E1656">
        <v>3871.97998046875</v>
      </c>
      <c r="F1656">
        <v>3871.97998046875</v>
      </c>
      <c r="G1656">
        <v>4820620000</v>
      </c>
      <c r="H1656">
        <v>0</v>
      </c>
      <c r="I1656">
        <v>0</v>
      </c>
      <c r="K1656" s="11">
        <f t="shared" si="25"/>
        <v>-7.4544041076575196E-3</v>
      </c>
    </row>
    <row r="1657" spans="1:11" x14ac:dyDescent="0.2">
      <c r="A1657" s="2">
        <v>44866</v>
      </c>
      <c r="B1657">
        <v>3901.7900390625</v>
      </c>
      <c r="C1657">
        <v>3911.7900390625</v>
      </c>
      <c r="D1657">
        <v>3843.800048828125</v>
      </c>
      <c r="E1657">
        <v>3856.10009765625</v>
      </c>
      <c r="F1657">
        <v>3856.10009765625</v>
      </c>
      <c r="G1657">
        <v>4481210000</v>
      </c>
      <c r="H1657">
        <v>0</v>
      </c>
      <c r="I1657">
        <v>0</v>
      </c>
      <c r="K1657" s="11">
        <f t="shared" si="25"/>
        <v>-4.1012306087846451E-3</v>
      </c>
    </row>
    <row r="1658" spans="1:11" x14ac:dyDescent="0.2">
      <c r="A1658" s="2">
        <v>44867</v>
      </c>
      <c r="B1658">
        <v>3852.89990234375</v>
      </c>
      <c r="C1658">
        <v>3894.43994140625</v>
      </c>
      <c r="D1658">
        <v>3758.679931640625</v>
      </c>
      <c r="E1658">
        <v>3759.68994140625</v>
      </c>
      <c r="F1658">
        <v>3759.68994140625</v>
      </c>
      <c r="G1658">
        <v>4899000000</v>
      </c>
      <c r="H1658">
        <v>0</v>
      </c>
      <c r="I1658">
        <v>0</v>
      </c>
      <c r="K1658" s="11">
        <f t="shared" si="25"/>
        <v>-2.500198485734284E-2</v>
      </c>
    </row>
    <row r="1659" spans="1:11" x14ac:dyDescent="0.2">
      <c r="A1659" s="2">
        <v>44868</v>
      </c>
      <c r="B1659">
        <v>3733.25</v>
      </c>
      <c r="C1659">
        <v>3750.590087890625</v>
      </c>
      <c r="D1659">
        <v>3698.14990234375</v>
      </c>
      <c r="E1659">
        <v>3719.889892578125</v>
      </c>
      <c r="F1659">
        <v>3719.889892578125</v>
      </c>
      <c r="G1659">
        <v>4625290000</v>
      </c>
      <c r="H1659">
        <v>0</v>
      </c>
      <c r="I1659">
        <v>0</v>
      </c>
      <c r="K1659" s="11">
        <f t="shared" si="25"/>
        <v>-1.0585992315429671E-2</v>
      </c>
    </row>
    <row r="1660" spans="1:11" x14ac:dyDescent="0.2">
      <c r="A1660" s="2">
        <v>44869</v>
      </c>
      <c r="B1660">
        <v>3766.97998046875</v>
      </c>
      <c r="C1660">
        <v>3796.340087890625</v>
      </c>
      <c r="D1660">
        <v>3708.840087890625</v>
      </c>
      <c r="E1660">
        <v>3770.550048828125</v>
      </c>
      <c r="F1660">
        <v>3770.550048828125</v>
      </c>
      <c r="G1660">
        <v>5400180000</v>
      </c>
      <c r="H1660">
        <v>0</v>
      </c>
      <c r="I1660">
        <v>0</v>
      </c>
      <c r="K1660" s="11">
        <f t="shared" si="25"/>
        <v>1.3618724670070526E-2</v>
      </c>
    </row>
    <row r="1661" spans="1:11" x14ac:dyDescent="0.2">
      <c r="A1661" s="2">
        <v>44872</v>
      </c>
      <c r="B1661">
        <v>3780.7099609375</v>
      </c>
      <c r="C1661">
        <v>3813.949951171875</v>
      </c>
      <c r="D1661">
        <v>3764.699951171875</v>
      </c>
      <c r="E1661">
        <v>3806.800048828125</v>
      </c>
      <c r="F1661">
        <v>3806.800048828125</v>
      </c>
      <c r="G1661">
        <v>4341620000</v>
      </c>
      <c r="H1661">
        <v>0</v>
      </c>
      <c r="I1661">
        <v>0</v>
      </c>
      <c r="K1661" s="11">
        <f t="shared" si="25"/>
        <v>9.6139819205598442E-3</v>
      </c>
    </row>
    <row r="1662" spans="1:11" x14ac:dyDescent="0.2">
      <c r="A1662" s="2">
        <v>44873</v>
      </c>
      <c r="B1662">
        <v>3817.02001953125</v>
      </c>
      <c r="C1662">
        <v>3859.39990234375</v>
      </c>
      <c r="D1662">
        <v>3786.280029296875</v>
      </c>
      <c r="E1662">
        <v>3828.110107421875</v>
      </c>
      <c r="F1662">
        <v>3828.110107421875</v>
      </c>
      <c r="G1662">
        <v>4607640000</v>
      </c>
      <c r="H1662">
        <v>0</v>
      </c>
      <c r="I1662">
        <v>0</v>
      </c>
      <c r="K1662" s="11">
        <f t="shared" si="25"/>
        <v>5.5978928024627006E-3</v>
      </c>
    </row>
    <row r="1663" spans="1:11" x14ac:dyDescent="0.2">
      <c r="A1663" s="2">
        <v>44874</v>
      </c>
      <c r="B1663">
        <v>3810.93994140625</v>
      </c>
      <c r="C1663">
        <v>3818.199951171875</v>
      </c>
      <c r="D1663">
        <v>3744.219970703125</v>
      </c>
      <c r="E1663">
        <v>3748.570068359375</v>
      </c>
      <c r="F1663">
        <v>3748.570068359375</v>
      </c>
      <c r="G1663">
        <v>4645010000</v>
      </c>
      <c r="H1663">
        <v>0</v>
      </c>
      <c r="I1663">
        <v>0</v>
      </c>
      <c r="K1663" s="11">
        <f t="shared" si="25"/>
        <v>-2.077788695478977E-2</v>
      </c>
    </row>
    <row r="1664" spans="1:11" x14ac:dyDescent="0.2">
      <c r="A1664" s="2">
        <v>44875</v>
      </c>
      <c r="B1664">
        <v>3859.889892578125</v>
      </c>
      <c r="C1664">
        <v>3958.330078125</v>
      </c>
      <c r="D1664">
        <v>3859.889892578125</v>
      </c>
      <c r="E1664">
        <v>3956.3701171875</v>
      </c>
      <c r="F1664">
        <v>3956.3701171875</v>
      </c>
      <c r="G1664">
        <v>5781260000</v>
      </c>
      <c r="H1664">
        <v>0</v>
      </c>
      <c r="I1664">
        <v>0</v>
      </c>
      <c r="K1664" s="11">
        <f t="shared" si="25"/>
        <v>5.5434484360344927E-2</v>
      </c>
    </row>
    <row r="1665" spans="1:11" x14ac:dyDescent="0.2">
      <c r="A1665" s="2">
        <v>44876</v>
      </c>
      <c r="B1665">
        <v>3963.719970703125</v>
      </c>
      <c r="C1665">
        <v>4001.47998046875</v>
      </c>
      <c r="D1665">
        <v>3944.820068359375</v>
      </c>
      <c r="E1665">
        <v>3992.929931640625</v>
      </c>
      <c r="F1665">
        <v>3992.929931640625</v>
      </c>
      <c r="G1665">
        <v>5593310000</v>
      </c>
      <c r="H1665">
        <v>0</v>
      </c>
      <c r="I1665">
        <v>0</v>
      </c>
      <c r="K1665" s="11">
        <f t="shared" si="25"/>
        <v>9.2407467881479022E-3</v>
      </c>
    </row>
    <row r="1666" spans="1:11" x14ac:dyDescent="0.2">
      <c r="A1666" s="2">
        <v>44879</v>
      </c>
      <c r="B1666">
        <v>3977.969970703125</v>
      </c>
      <c r="C1666">
        <v>4008.969970703125</v>
      </c>
      <c r="D1666">
        <v>3956.39990234375</v>
      </c>
      <c r="E1666">
        <v>3957.25</v>
      </c>
      <c r="F1666">
        <v>3957.25</v>
      </c>
      <c r="G1666">
        <v>4561930000</v>
      </c>
      <c r="H1666">
        <v>0</v>
      </c>
      <c r="I1666">
        <v>0</v>
      </c>
      <c r="K1666" s="11">
        <f t="shared" si="25"/>
        <v>-8.9357770488009969E-3</v>
      </c>
    </row>
    <row r="1667" spans="1:11" x14ac:dyDescent="0.2">
      <c r="A1667" s="2">
        <v>44880</v>
      </c>
      <c r="B1667">
        <v>4006.409912109375</v>
      </c>
      <c r="C1667">
        <v>4028.840087890625</v>
      </c>
      <c r="D1667">
        <v>3953.169921875</v>
      </c>
      <c r="E1667">
        <v>3991.72998046875</v>
      </c>
      <c r="F1667">
        <v>3991.72998046875</v>
      </c>
      <c r="G1667">
        <v>5015310000</v>
      </c>
      <c r="H1667">
        <v>0</v>
      </c>
      <c r="I1667">
        <v>0</v>
      </c>
      <c r="K1667" s="11">
        <f t="shared" si="25"/>
        <v>8.7131165503191443E-3</v>
      </c>
    </row>
    <row r="1668" spans="1:11" x14ac:dyDescent="0.2">
      <c r="A1668" s="2">
        <v>44881</v>
      </c>
      <c r="B1668">
        <v>3976.820068359375</v>
      </c>
      <c r="C1668">
        <v>3983.090087890625</v>
      </c>
      <c r="D1668">
        <v>3954.340087890625</v>
      </c>
      <c r="E1668">
        <v>3958.7900390625</v>
      </c>
      <c r="F1668">
        <v>3958.7900390625</v>
      </c>
      <c r="G1668">
        <v>4165320000</v>
      </c>
      <c r="H1668">
        <v>0</v>
      </c>
      <c r="I1668">
        <v>0</v>
      </c>
      <c r="K1668" s="11">
        <f t="shared" ref="K1668:K1731" si="26">(E1668/E1667)-1</f>
        <v>-8.252046497990273E-3</v>
      </c>
    </row>
    <row r="1669" spans="1:11" x14ac:dyDescent="0.2">
      <c r="A1669" s="2">
        <v>44882</v>
      </c>
      <c r="B1669">
        <v>3919.260009765625</v>
      </c>
      <c r="C1669">
        <v>3954.330078125</v>
      </c>
      <c r="D1669">
        <v>3906.5400390625</v>
      </c>
      <c r="E1669">
        <v>3946.56005859375</v>
      </c>
      <c r="F1669">
        <v>3946.56005859375</v>
      </c>
      <c r="G1669">
        <v>4051780000</v>
      </c>
      <c r="H1669">
        <v>0</v>
      </c>
      <c r="I1669">
        <v>0</v>
      </c>
      <c r="K1669" s="11">
        <f t="shared" si="26"/>
        <v>-3.0893228355314273E-3</v>
      </c>
    </row>
    <row r="1670" spans="1:11" x14ac:dyDescent="0.2">
      <c r="A1670" s="2">
        <v>44883</v>
      </c>
      <c r="B1670">
        <v>3966.389892578125</v>
      </c>
      <c r="C1670">
        <v>3979.889892578125</v>
      </c>
      <c r="D1670">
        <v>3935.97998046875</v>
      </c>
      <c r="E1670">
        <v>3965.340087890625</v>
      </c>
      <c r="F1670">
        <v>3965.340087890625</v>
      </c>
      <c r="G1670">
        <v>4037360000</v>
      </c>
      <c r="H1670">
        <v>0</v>
      </c>
      <c r="I1670">
        <v>0</v>
      </c>
      <c r="K1670" s="11">
        <f t="shared" si="26"/>
        <v>4.7585819088147296E-3</v>
      </c>
    </row>
    <row r="1671" spans="1:11" x14ac:dyDescent="0.2">
      <c r="A1671" s="2">
        <v>44886</v>
      </c>
      <c r="B1671">
        <v>3956.22998046875</v>
      </c>
      <c r="C1671">
        <v>3962</v>
      </c>
      <c r="D1671">
        <v>3933.340087890625</v>
      </c>
      <c r="E1671">
        <v>3949.93994140625</v>
      </c>
      <c r="F1671">
        <v>3949.93994140625</v>
      </c>
      <c r="G1671">
        <v>3850690000</v>
      </c>
      <c r="H1671">
        <v>0</v>
      </c>
      <c r="I1671">
        <v>0</v>
      </c>
      <c r="K1671" s="11">
        <f t="shared" si="26"/>
        <v>-3.8836886983297791E-3</v>
      </c>
    </row>
    <row r="1672" spans="1:11" x14ac:dyDescent="0.2">
      <c r="A1672" s="2">
        <v>44887</v>
      </c>
      <c r="B1672">
        <v>3965.510009765625</v>
      </c>
      <c r="C1672">
        <v>4005.8798828125</v>
      </c>
      <c r="D1672">
        <v>3956.8798828125</v>
      </c>
      <c r="E1672">
        <v>4003.580078125</v>
      </c>
      <c r="F1672">
        <v>4003.580078125</v>
      </c>
      <c r="G1672">
        <v>3887990000</v>
      </c>
      <c r="H1672">
        <v>0</v>
      </c>
      <c r="I1672">
        <v>0</v>
      </c>
      <c r="K1672" s="11">
        <f t="shared" si="26"/>
        <v>1.3579987927526016E-2</v>
      </c>
    </row>
    <row r="1673" spans="1:11" x14ac:dyDescent="0.2">
      <c r="A1673" s="2">
        <v>44888</v>
      </c>
      <c r="B1673">
        <v>4000.300048828125</v>
      </c>
      <c r="C1673">
        <v>4033.780029296875</v>
      </c>
      <c r="D1673">
        <v>3998.659912109375</v>
      </c>
      <c r="E1673">
        <v>4027.260009765625</v>
      </c>
      <c r="F1673">
        <v>4027.260009765625</v>
      </c>
      <c r="G1673">
        <v>3279720000</v>
      </c>
      <c r="H1673">
        <v>0</v>
      </c>
      <c r="I1673">
        <v>0</v>
      </c>
      <c r="K1673" s="11">
        <f t="shared" si="26"/>
        <v>5.9146891478476515E-3</v>
      </c>
    </row>
    <row r="1674" spans="1:11" x14ac:dyDescent="0.2">
      <c r="A1674" s="2">
        <v>44890</v>
      </c>
      <c r="B1674">
        <v>4023.340087890625</v>
      </c>
      <c r="C1674">
        <v>4034.02001953125</v>
      </c>
      <c r="D1674">
        <v>4020.760009765625</v>
      </c>
      <c r="E1674">
        <v>4026.1201171875</v>
      </c>
      <c r="F1674">
        <v>4026.1201171875</v>
      </c>
      <c r="G1674">
        <v>1706460000</v>
      </c>
      <c r="H1674">
        <v>0</v>
      </c>
      <c r="I1674">
        <v>0</v>
      </c>
      <c r="K1674" s="11">
        <f t="shared" si="26"/>
        <v>-2.8304419763336419E-4</v>
      </c>
    </row>
    <row r="1675" spans="1:11" x14ac:dyDescent="0.2">
      <c r="A1675" s="2">
        <v>44893</v>
      </c>
      <c r="B1675">
        <v>4005.360107421875</v>
      </c>
      <c r="C1675">
        <v>4012.27001953125</v>
      </c>
      <c r="D1675">
        <v>3955.77001953125</v>
      </c>
      <c r="E1675">
        <v>3963.93994140625</v>
      </c>
      <c r="F1675">
        <v>3963.93994140625</v>
      </c>
      <c r="G1675">
        <v>3615430000</v>
      </c>
      <c r="H1675">
        <v>0</v>
      </c>
      <c r="I1675">
        <v>0</v>
      </c>
      <c r="K1675" s="11">
        <f t="shared" si="26"/>
        <v>-1.5444192913123267E-2</v>
      </c>
    </row>
    <row r="1676" spans="1:11" x14ac:dyDescent="0.2">
      <c r="A1676" s="2">
        <v>44894</v>
      </c>
      <c r="B1676">
        <v>3964.18994140625</v>
      </c>
      <c r="C1676">
        <v>3976.77001953125</v>
      </c>
      <c r="D1676">
        <v>3937.64990234375</v>
      </c>
      <c r="E1676">
        <v>3957.6298828125</v>
      </c>
      <c r="F1676">
        <v>3957.6298828125</v>
      </c>
      <c r="G1676">
        <v>3546040000</v>
      </c>
      <c r="H1676">
        <v>0</v>
      </c>
      <c r="I1676">
        <v>0</v>
      </c>
      <c r="K1676" s="11">
        <f t="shared" si="26"/>
        <v>-1.5918653377758885E-3</v>
      </c>
    </row>
    <row r="1677" spans="1:11" x14ac:dyDescent="0.2">
      <c r="A1677" s="2">
        <v>44895</v>
      </c>
      <c r="B1677">
        <v>3957.179931640625</v>
      </c>
      <c r="C1677">
        <v>4080.110107421875</v>
      </c>
      <c r="D1677">
        <v>3938.580078125</v>
      </c>
      <c r="E1677">
        <v>4080.110107421875</v>
      </c>
      <c r="F1677">
        <v>4080.110107421875</v>
      </c>
      <c r="G1677">
        <v>6579360000</v>
      </c>
      <c r="H1677">
        <v>0</v>
      </c>
      <c r="I1677">
        <v>0</v>
      </c>
      <c r="K1677" s="11">
        <f t="shared" si="26"/>
        <v>3.0947872397389053E-2</v>
      </c>
    </row>
    <row r="1678" spans="1:11" x14ac:dyDescent="0.2">
      <c r="A1678" s="2">
        <v>44896</v>
      </c>
      <c r="B1678">
        <v>4087.139892578125</v>
      </c>
      <c r="C1678">
        <v>4100.509765625</v>
      </c>
      <c r="D1678">
        <v>4050.8701171875</v>
      </c>
      <c r="E1678">
        <v>4076.570068359375</v>
      </c>
      <c r="F1678">
        <v>4076.570068359375</v>
      </c>
      <c r="G1678">
        <v>4527130000</v>
      </c>
      <c r="H1678">
        <v>0</v>
      </c>
      <c r="I1678">
        <v>0</v>
      </c>
      <c r="K1678" s="11">
        <f t="shared" si="26"/>
        <v>-8.6763321804983473E-4</v>
      </c>
    </row>
    <row r="1679" spans="1:11" x14ac:dyDescent="0.2">
      <c r="A1679" s="2">
        <v>44897</v>
      </c>
      <c r="B1679">
        <v>4040.169921875</v>
      </c>
      <c r="C1679">
        <v>4080.47998046875</v>
      </c>
      <c r="D1679">
        <v>4026.6298828125</v>
      </c>
      <c r="E1679">
        <v>4071.699951171875</v>
      </c>
      <c r="F1679">
        <v>4071.699951171875</v>
      </c>
      <c r="G1679">
        <v>4012620000</v>
      </c>
      <c r="H1679">
        <v>0</v>
      </c>
      <c r="I1679">
        <v>0</v>
      </c>
      <c r="K1679" s="11">
        <f t="shared" si="26"/>
        <v>-1.194660488065602E-3</v>
      </c>
    </row>
    <row r="1680" spans="1:11" x14ac:dyDescent="0.2">
      <c r="A1680" s="2">
        <v>44900</v>
      </c>
      <c r="B1680">
        <v>4052.02001953125</v>
      </c>
      <c r="C1680">
        <v>4052.449951171875</v>
      </c>
      <c r="D1680">
        <v>3984.489990234375</v>
      </c>
      <c r="E1680">
        <v>3998.840087890625</v>
      </c>
      <c r="F1680">
        <v>3998.840087890625</v>
      </c>
      <c r="G1680">
        <v>4280820000</v>
      </c>
      <c r="H1680">
        <v>0</v>
      </c>
      <c r="I1680">
        <v>0</v>
      </c>
      <c r="K1680" s="11">
        <f t="shared" si="26"/>
        <v>-1.7894212283564803E-2</v>
      </c>
    </row>
    <row r="1681" spans="1:11" x14ac:dyDescent="0.2">
      <c r="A1681" s="2">
        <v>44901</v>
      </c>
      <c r="B1681">
        <v>3996.6298828125</v>
      </c>
      <c r="C1681">
        <v>4001.510009765625</v>
      </c>
      <c r="D1681">
        <v>3918.389892578125</v>
      </c>
      <c r="E1681">
        <v>3941.260009765625</v>
      </c>
      <c r="F1681">
        <v>3941.260009765625</v>
      </c>
      <c r="G1681">
        <v>4368380000</v>
      </c>
      <c r="H1681">
        <v>0</v>
      </c>
      <c r="I1681">
        <v>0</v>
      </c>
      <c r="K1681" s="11">
        <f t="shared" si="26"/>
        <v>-1.4399194981406072E-2</v>
      </c>
    </row>
    <row r="1682" spans="1:11" x14ac:dyDescent="0.2">
      <c r="A1682" s="2">
        <v>44902</v>
      </c>
      <c r="B1682">
        <v>3933.280029296875</v>
      </c>
      <c r="C1682">
        <v>3957.570068359375</v>
      </c>
      <c r="D1682">
        <v>3922.679931640625</v>
      </c>
      <c r="E1682">
        <v>3933.919921875</v>
      </c>
      <c r="F1682">
        <v>3933.919921875</v>
      </c>
      <c r="G1682">
        <v>4118050000</v>
      </c>
      <c r="H1682">
        <v>0</v>
      </c>
      <c r="I1682">
        <v>0</v>
      </c>
      <c r="K1682" s="11">
        <f t="shared" si="26"/>
        <v>-1.8623708845491027E-3</v>
      </c>
    </row>
    <row r="1683" spans="1:11" x14ac:dyDescent="0.2">
      <c r="A1683" s="2">
        <v>44903</v>
      </c>
      <c r="B1683">
        <v>3947.7900390625</v>
      </c>
      <c r="C1683">
        <v>3974.18994140625</v>
      </c>
      <c r="D1683">
        <v>3935.830078125</v>
      </c>
      <c r="E1683">
        <v>3963.510009765625</v>
      </c>
      <c r="F1683">
        <v>3963.510009765625</v>
      </c>
      <c r="G1683">
        <v>4006900000</v>
      </c>
      <c r="H1683">
        <v>0</v>
      </c>
      <c r="I1683">
        <v>0</v>
      </c>
      <c r="K1683" s="11">
        <f t="shared" si="26"/>
        <v>7.5217819575039702E-3</v>
      </c>
    </row>
    <row r="1684" spans="1:11" x14ac:dyDescent="0.2">
      <c r="A1684" s="2">
        <v>44904</v>
      </c>
      <c r="B1684">
        <v>3954.169921875</v>
      </c>
      <c r="C1684">
        <v>3977.02001953125</v>
      </c>
      <c r="D1684">
        <v>3933.0400390625</v>
      </c>
      <c r="E1684">
        <v>3934.3798828125</v>
      </c>
      <c r="F1684">
        <v>3934.3798828125</v>
      </c>
      <c r="G1684">
        <v>3888260000</v>
      </c>
      <c r="H1684">
        <v>0</v>
      </c>
      <c r="I1684">
        <v>0</v>
      </c>
      <c r="K1684" s="11">
        <f t="shared" si="26"/>
        <v>-7.349578247904498E-3</v>
      </c>
    </row>
    <row r="1685" spans="1:11" x14ac:dyDescent="0.2">
      <c r="A1685" s="2">
        <v>44907</v>
      </c>
      <c r="B1685">
        <v>3939.2900390625</v>
      </c>
      <c r="C1685">
        <v>3990.7099609375</v>
      </c>
      <c r="D1685">
        <v>3935.300048828125</v>
      </c>
      <c r="E1685">
        <v>3990.56005859375</v>
      </c>
      <c r="F1685">
        <v>3990.56005859375</v>
      </c>
      <c r="G1685">
        <v>3904130000</v>
      </c>
      <c r="H1685">
        <v>0</v>
      </c>
      <c r="I1685">
        <v>0</v>
      </c>
      <c r="K1685" s="11">
        <f t="shared" si="26"/>
        <v>1.4279296218109305E-2</v>
      </c>
    </row>
    <row r="1686" spans="1:11" x14ac:dyDescent="0.2">
      <c r="A1686" s="2">
        <v>44908</v>
      </c>
      <c r="B1686">
        <v>4069.3798828125</v>
      </c>
      <c r="C1686">
        <v>4100.9599609375</v>
      </c>
      <c r="D1686">
        <v>3993.030029296875</v>
      </c>
      <c r="E1686">
        <v>4019.64990234375</v>
      </c>
      <c r="F1686">
        <v>4019.64990234375</v>
      </c>
      <c r="G1686">
        <v>5079360000</v>
      </c>
      <c r="H1686">
        <v>0</v>
      </c>
      <c r="I1686">
        <v>0</v>
      </c>
      <c r="K1686" s="11">
        <f t="shared" si="26"/>
        <v>7.2896644387934195E-3</v>
      </c>
    </row>
    <row r="1687" spans="1:11" x14ac:dyDescent="0.2">
      <c r="A1687" s="2">
        <v>44909</v>
      </c>
      <c r="B1687">
        <v>4015.5400390625</v>
      </c>
      <c r="C1687">
        <v>4053.760009765625</v>
      </c>
      <c r="D1687">
        <v>3965.64990234375</v>
      </c>
      <c r="E1687">
        <v>3995.320068359375</v>
      </c>
      <c r="F1687">
        <v>3995.320068359375</v>
      </c>
      <c r="G1687">
        <v>4472340000</v>
      </c>
      <c r="H1687">
        <v>0</v>
      </c>
      <c r="I1687">
        <v>0</v>
      </c>
      <c r="K1687" s="11">
        <f t="shared" si="26"/>
        <v>-6.0527246341003371E-3</v>
      </c>
    </row>
    <row r="1688" spans="1:11" x14ac:dyDescent="0.2">
      <c r="A1688" s="2">
        <v>44910</v>
      </c>
      <c r="B1688">
        <v>3958.3701171875</v>
      </c>
      <c r="C1688">
        <v>3958.3701171875</v>
      </c>
      <c r="D1688">
        <v>3879.449951171875</v>
      </c>
      <c r="E1688">
        <v>3895.75</v>
      </c>
      <c r="F1688">
        <v>3895.75</v>
      </c>
      <c r="G1688">
        <v>4493900000</v>
      </c>
      <c r="H1688">
        <v>0</v>
      </c>
      <c r="I1688">
        <v>0</v>
      </c>
      <c r="K1688" s="11">
        <f t="shared" si="26"/>
        <v>-2.4921675023714007E-2</v>
      </c>
    </row>
    <row r="1689" spans="1:11" x14ac:dyDescent="0.2">
      <c r="A1689" s="2">
        <v>44911</v>
      </c>
      <c r="B1689">
        <v>3890.909912109375</v>
      </c>
      <c r="C1689">
        <v>3890.909912109375</v>
      </c>
      <c r="D1689">
        <v>3827.909912109375</v>
      </c>
      <c r="E1689">
        <v>3852.360107421875</v>
      </c>
      <c r="F1689">
        <v>3852.360107421875</v>
      </c>
      <c r="G1689">
        <v>7493660000</v>
      </c>
      <c r="H1689">
        <v>0</v>
      </c>
      <c r="I1689">
        <v>0</v>
      </c>
      <c r="K1689" s="11">
        <f t="shared" si="26"/>
        <v>-1.1137750774080746E-2</v>
      </c>
    </row>
    <row r="1690" spans="1:11" x14ac:dyDescent="0.2">
      <c r="A1690" s="2">
        <v>44914</v>
      </c>
      <c r="B1690">
        <v>3853.7900390625</v>
      </c>
      <c r="C1690">
        <v>3854.860107421875</v>
      </c>
      <c r="D1690">
        <v>3800.0400390625</v>
      </c>
      <c r="E1690">
        <v>3817.659912109375</v>
      </c>
      <c r="F1690">
        <v>3817.659912109375</v>
      </c>
      <c r="G1690">
        <v>3969610000</v>
      </c>
      <c r="H1690">
        <v>0</v>
      </c>
      <c r="I1690">
        <v>0</v>
      </c>
      <c r="K1690" s="11">
        <f t="shared" si="26"/>
        <v>-9.0075160018523448E-3</v>
      </c>
    </row>
    <row r="1691" spans="1:11" x14ac:dyDescent="0.2">
      <c r="A1691" s="2">
        <v>44915</v>
      </c>
      <c r="B1691">
        <v>3810.469970703125</v>
      </c>
      <c r="C1691">
        <v>3838.239990234375</v>
      </c>
      <c r="D1691">
        <v>3795.6201171875</v>
      </c>
      <c r="E1691">
        <v>3821.6201171875</v>
      </c>
      <c r="F1691">
        <v>3821.6201171875</v>
      </c>
      <c r="G1691">
        <v>3985370000</v>
      </c>
      <c r="H1691">
        <v>0</v>
      </c>
      <c r="I1691">
        <v>0</v>
      </c>
      <c r="K1691" s="11">
        <f t="shared" si="26"/>
        <v>1.0373383615349674E-3</v>
      </c>
    </row>
    <row r="1692" spans="1:11" x14ac:dyDescent="0.2">
      <c r="A1692" s="2">
        <v>44916</v>
      </c>
      <c r="B1692">
        <v>3839.489990234375</v>
      </c>
      <c r="C1692">
        <v>3889.820068359375</v>
      </c>
      <c r="D1692">
        <v>3839.489990234375</v>
      </c>
      <c r="E1692">
        <v>3878.43994140625</v>
      </c>
      <c r="F1692">
        <v>3878.43994140625</v>
      </c>
      <c r="G1692">
        <v>3775200000</v>
      </c>
      <c r="H1692">
        <v>0</v>
      </c>
      <c r="I1692">
        <v>0</v>
      </c>
      <c r="K1692" s="11">
        <f t="shared" si="26"/>
        <v>1.4867993802734736E-2</v>
      </c>
    </row>
    <row r="1693" spans="1:11" x14ac:dyDescent="0.2">
      <c r="A1693" s="2">
        <v>44917</v>
      </c>
      <c r="B1693">
        <v>3853.260009765625</v>
      </c>
      <c r="C1693">
        <v>3853.260009765625</v>
      </c>
      <c r="D1693">
        <v>3764.489990234375</v>
      </c>
      <c r="E1693">
        <v>3822.389892578125</v>
      </c>
      <c r="F1693">
        <v>3822.389892578125</v>
      </c>
      <c r="G1693">
        <v>3956950000</v>
      </c>
      <c r="H1693">
        <v>0</v>
      </c>
      <c r="I1693">
        <v>0</v>
      </c>
      <c r="K1693" s="11">
        <f t="shared" si="26"/>
        <v>-1.4451699568616361E-2</v>
      </c>
    </row>
    <row r="1694" spans="1:11" x14ac:dyDescent="0.2">
      <c r="A1694" s="2">
        <v>44918</v>
      </c>
      <c r="B1694">
        <v>3815.110107421875</v>
      </c>
      <c r="C1694">
        <v>3845.800048828125</v>
      </c>
      <c r="D1694">
        <v>3797.010009765625</v>
      </c>
      <c r="E1694">
        <v>3844.820068359375</v>
      </c>
      <c r="F1694">
        <v>3844.820068359375</v>
      </c>
      <c r="G1694">
        <v>2819280000</v>
      </c>
      <c r="H1694">
        <v>0</v>
      </c>
      <c r="I1694">
        <v>0</v>
      </c>
      <c r="K1694" s="11">
        <f t="shared" si="26"/>
        <v>5.8681025252820262E-3</v>
      </c>
    </row>
    <row r="1695" spans="1:11" x14ac:dyDescent="0.2">
      <c r="A1695" s="2">
        <v>44922</v>
      </c>
      <c r="B1695">
        <v>3843.340087890625</v>
      </c>
      <c r="C1695">
        <v>3846.64990234375</v>
      </c>
      <c r="D1695">
        <v>3813.219970703125</v>
      </c>
      <c r="E1695">
        <v>3829.25</v>
      </c>
      <c r="F1695">
        <v>3829.25</v>
      </c>
      <c r="G1695">
        <v>3030300000</v>
      </c>
      <c r="H1695">
        <v>0</v>
      </c>
      <c r="I1695">
        <v>0</v>
      </c>
      <c r="K1695" s="11">
        <f t="shared" si="26"/>
        <v>-4.0496221104097119E-3</v>
      </c>
    </row>
    <row r="1696" spans="1:11" x14ac:dyDescent="0.2">
      <c r="A1696" s="2">
        <v>44923</v>
      </c>
      <c r="B1696">
        <v>3829.56005859375</v>
      </c>
      <c r="C1696">
        <v>3848.320068359375</v>
      </c>
      <c r="D1696">
        <v>3780.780029296875</v>
      </c>
      <c r="E1696">
        <v>3783.219970703125</v>
      </c>
      <c r="F1696">
        <v>3783.219970703125</v>
      </c>
      <c r="G1696">
        <v>3083520000</v>
      </c>
      <c r="H1696">
        <v>0</v>
      </c>
      <c r="I1696">
        <v>0</v>
      </c>
      <c r="K1696" s="11">
        <f t="shared" si="26"/>
        <v>-1.2020638322615351E-2</v>
      </c>
    </row>
    <row r="1697" spans="1:11" x14ac:dyDescent="0.2">
      <c r="A1697" s="2">
        <v>44924</v>
      </c>
      <c r="B1697">
        <v>3805.449951171875</v>
      </c>
      <c r="C1697">
        <v>3858.18994140625</v>
      </c>
      <c r="D1697">
        <v>3805.449951171875</v>
      </c>
      <c r="E1697">
        <v>3849.280029296875</v>
      </c>
      <c r="F1697">
        <v>3849.280029296875</v>
      </c>
      <c r="G1697">
        <v>3003680000</v>
      </c>
      <c r="H1697">
        <v>0</v>
      </c>
      <c r="I1697">
        <v>0</v>
      </c>
      <c r="K1697" s="11">
        <f t="shared" si="26"/>
        <v>1.7461331644819111E-2</v>
      </c>
    </row>
    <row r="1698" spans="1:11" x14ac:dyDescent="0.2">
      <c r="A1698" s="2">
        <v>44925</v>
      </c>
      <c r="B1698">
        <v>3829.06005859375</v>
      </c>
      <c r="C1698">
        <v>3839.85009765625</v>
      </c>
      <c r="D1698">
        <v>3800.340087890625</v>
      </c>
      <c r="E1698">
        <v>3839.5</v>
      </c>
      <c r="F1698">
        <v>3839.5</v>
      </c>
      <c r="G1698">
        <v>2979870000</v>
      </c>
      <c r="H1698">
        <v>0</v>
      </c>
      <c r="I1698">
        <v>0</v>
      </c>
      <c r="K1698" s="11">
        <f t="shared" si="26"/>
        <v>-2.5407424823445934E-3</v>
      </c>
    </row>
    <row r="1699" spans="1:11" x14ac:dyDescent="0.2">
      <c r="A1699" s="2">
        <v>44929</v>
      </c>
      <c r="B1699">
        <v>3853.2900390625</v>
      </c>
      <c r="C1699">
        <v>3878.4599609375</v>
      </c>
      <c r="D1699">
        <v>3794.330078125</v>
      </c>
      <c r="E1699">
        <v>3824.139892578125</v>
      </c>
      <c r="F1699">
        <v>3824.139892578125</v>
      </c>
      <c r="G1699">
        <v>3959140000</v>
      </c>
      <c r="H1699">
        <v>0</v>
      </c>
      <c r="I1699">
        <v>0</v>
      </c>
      <c r="K1699" s="11">
        <f t="shared" si="26"/>
        <v>-4.000548879248611E-3</v>
      </c>
    </row>
    <row r="1700" spans="1:11" x14ac:dyDescent="0.2">
      <c r="A1700" s="2">
        <v>44930</v>
      </c>
      <c r="B1700">
        <v>3840.360107421875</v>
      </c>
      <c r="C1700">
        <v>3873.159912109375</v>
      </c>
      <c r="D1700">
        <v>3815.77001953125</v>
      </c>
      <c r="E1700">
        <v>3852.969970703125</v>
      </c>
      <c r="F1700">
        <v>3852.969970703125</v>
      </c>
      <c r="G1700">
        <v>4414080000</v>
      </c>
      <c r="H1700">
        <v>0</v>
      </c>
      <c r="I1700">
        <v>0</v>
      </c>
      <c r="K1700" s="11">
        <f t="shared" si="26"/>
        <v>7.5389705750443792E-3</v>
      </c>
    </row>
    <row r="1701" spans="1:11" x14ac:dyDescent="0.2">
      <c r="A1701" s="2">
        <v>44931</v>
      </c>
      <c r="B1701">
        <v>3839.739990234375</v>
      </c>
      <c r="C1701">
        <v>3839.739990234375</v>
      </c>
      <c r="D1701">
        <v>3802.419921875</v>
      </c>
      <c r="E1701">
        <v>3808.10009765625</v>
      </c>
      <c r="F1701">
        <v>3808.10009765625</v>
      </c>
      <c r="G1701">
        <v>3893450000</v>
      </c>
      <c r="H1701">
        <v>0</v>
      </c>
      <c r="I1701">
        <v>0</v>
      </c>
      <c r="K1701" s="11">
        <f t="shared" si="26"/>
        <v>-1.1645528874622113E-2</v>
      </c>
    </row>
    <row r="1702" spans="1:11" x14ac:dyDescent="0.2">
      <c r="A1702" s="2">
        <v>44932</v>
      </c>
      <c r="B1702">
        <v>3823.3701171875</v>
      </c>
      <c r="C1702">
        <v>3906.18994140625</v>
      </c>
      <c r="D1702">
        <v>3809.56005859375</v>
      </c>
      <c r="E1702">
        <v>3895.080078125</v>
      </c>
      <c r="F1702">
        <v>3895.080078125</v>
      </c>
      <c r="G1702">
        <v>3923560000</v>
      </c>
      <c r="H1702">
        <v>0</v>
      </c>
      <c r="I1702">
        <v>0</v>
      </c>
      <c r="K1702" s="11">
        <f t="shared" si="26"/>
        <v>2.284078102943865E-2</v>
      </c>
    </row>
    <row r="1703" spans="1:11" x14ac:dyDescent="0.2">
      <c r="A1703" s="2">
        <v>44935</v>
      </c>
      <c r="B1703">
        <v>3910.820068359375</v>
      </c>
      <c r="C1703">
        <v>3950.570068359375</v>
      </c>
      <c r="D1703">
        <v>3890.419921875</v>
      </c>
      <c r="E1703">
        <v>3892.090087890625</v>
      </c>
      <c r="F1703">
        <v>3892.090087890625</v>
      </c>
      <c r="G1703">
        <v>4311770000</v>
      </c>
      <c r="H1703">
        <v>0</v>
      </c>
      <c r="I1703">
        <v>0</v>
      </c>
      <c r="K1703" s="11">
        <f t="shared" si="26"/>
        <v>-7.6763254526313052E-4</v>
      </c>
    </row>
    <row r="1704" spans="1:11" x14ac:dyDescent="0.2">
      <c r="A1704" s="2">
        <v>44936</v>
      </c>
      <c r="B1704">
        <v>3888.570068359375</v>
      </c>
      <c r="C1704">
        <v>3919.830078125</v>
      </c>
      <c r="D1704">
        <v>3877.2900390625</v>
      </c>
      <c r="E1704">
        <v>3919.25</v>
      </c>
      <c r="F1704">
        <v>3919.25</v>
      </c>
      <c r="G1704">
        <v>3851030000</v>
      </c>
      <c r="H1704">
        <v>0</v>
      </c>
      <c r="I1704">
        <v>0</v>
      </c>
      <c r="K1704" s="11">
        <f t="shared" si="26"/>
        <v>6.9782331590619862E-3</v>
      </c>
    </row>
    <row r="1705" spans="1:11" x14ac:dyDescent="0.2">
      <c r="A1705" s="2">
        <v>44937</v>
      </c>
      <c r="B1705">
        <v>3932.35009765625</v>
      </c>
      <c r="C1705">
        <v>3970.070068359375</v>
      </c>
      <c r="D1705">
        <v>3928.5400390625</v>
      </c>
      <c r="E1705">
        <v>3969.610107421875</v>
      </c>
      <c r="F1705">
        <v>3969.610107421875</v>
      </c>
      <c r="G1705">
        <v>4303360000</v>
      </c>
      <c r="H1705">
        <v>0</v>
      </c>
      <c r="I1705">
        <v>0</v>
      </c>
      <c r="K1705" s="11">
        <f t="shared" si="26"/>
        <v>1.2849424614881588E-2</v>
      </c>
    </row>
    <row r="1706" spans="1:11" x14ac:dyDescent="0.2">
      <c r="A1706" s="2">
        <v>44938</v>
      </c>
      <c r="B1706">
        <v>3977.570068359375</v>
      </c>
      <c r="C1706">
        <v>3997.760009765625</v>
      </c>
      <c r="D1706">
        <v>3937.56005859375</v>
      </c>
      <c r="E1706">
        <v>3983.169921875</v>
      </c>
      <c r="F1706">
        <v>3983.169921875</v>
      </c>
      <c r="G1706">
        <v>4440260000</v>
      </c>
      <c r="H1706">
        <v>0</v>
      </c>
      <c r="I1706">
        <v>0</v>
      </c>
      <c r="K1706" s="11">
        <f t="shared" si="26"/>
        <v>3.4159058663651987E-3</v>
      </c>
    </row>
    <row r="1707" spans="1:11" x14ac:dyDescent="0.2">
      <c r="A1707" s="2">
        <v>44939</v>
      </c>
      <c r="B1707">
        <v>3960.60009765625</v>
      </c>
      <c r="C1707">
        <v>4003.949951171875</v>
      </c>
      <c r="D1707">
        <v>3947.669921875</v>
      </c>
      <c r="E1707">
        <v>3999.090087890625</v>
      </c>
      <c r="F1707">
        <v>3999.090087890625</v>
      </c>
      <c r="G1707">
        <v>3939700000</v>
      </c>
      <c r="H1707">
        <v>0</v>
      </c>
      <c r="I1707">
        <v>0</v>
      </c>
      <c r="K1707" s="11">
        <f t="shared" si="26"/>
        <v>3.9968583635343613E-3</v>
      </c>
    </row>
    <row r="1708" spans="1:11" x14ac:dyDescent="0.2">
      <c r="A1708" s="2">
        <v>44943</v>
      </c>
      <c r="B1708">
        <v>3999.280029296875</v>
      </c>
      <c r="C1708">
        <v>4015.389892578125</v>
      </c>
      <c r="D1708">
        <v>3984.570068359375</v>
      </c>
      <c r="E1708">
        <v>3990.969970703125</v>
      </c>
      <c r="F1708">
        <v>3990.969970703125</v>
      </c>
      <c r="G1708">
        <v>4235560000</v>
      </c>
      <c r="H1708">
        <v>0</v>
      </c>
      <c r="I1708">
        <v>0</v>
      </c>
      <c r="K1708" s="11">
        <f t="shared" si="26"/>
        <v>-2.0304911890052235E-3</v>
      </c>
    </row>
    <row r="1709" spans="1:11" x14ac:dyDescent="0.2">
      <c r="A1709" s="2">
        <v>44944</v>
      </c>
      <c r="B1709">
        <v>4002.25</v>
      </c>
      <c r="C1709">
        <v>4014.159912109375</v>
      </c>
      <c r="D1709">
        <v>3926.590087890625</v>
      </c>
      <c r="E1709">
        <v>3928.860107421875</v>
      </c>
      <c r="F1709">
        <v>3928.860107421875</v>
      </c>
      <c r="G1709">
        <v>4298710000</v>
      </c>
      <c r="H1709">
        <v>0</v>
      </c>
      <c r="I1709">
        <v>0</v>
      </c>
      <c r="K1709" s="11">
        <f t="shared" si="26"/>
        <v>-1.5562598500411085E-2</v>
      </c>
    </row>
    <row r="1710" spans="1:11" x14ac:dyDescent="0.2">
      <c r="A1710" s="2">
        <v>44945</v>
      </c>
      <c r="B1710">
        <v>3911.840087890625</v>
      </c>
      <c r="C1710">
        <v>3922.93994140625</v>
      </c>
      <c r="D1710">
        <v>3885.5400390625</v>
      </c>
      <c r="E1710">
        <v>3898.85009765625</v>
      </c>
      <c r="F1710">
        <v>3898.85009765625</v>
      </c>
      <c r="G1710">
        <v>3991500000</v>
      </c>
      <c r="H1710">
        <v>0</v>
      </c>
      <c r="I1710">
        <v>0</v>
      </c>
      <c r="K1710" s="11">
        <f t="shared" si="26"/>
        <v>-7.6383502962943384E-3</v>
      </c>
    </row>
    <row r="1711" spans="1:11" x14ac:dyDescent="0.2">
      <c r="A1711" s="2">
        <v>44946</v>
      </c>
      <c r="B1711">
        <v>3909.0400390625</v>
      </c>
      <c r="C1711">
        <v>3972.9599609375</v>
      </c>
      <c r="D1711">
        <v>3897.860107421875</v>
      </c>
      <c r="E1711">
        <v>3972.610107421875</v>
      </c>
      <c r="F1711">
        <v>3972.610107421875</v>
      </c>
      <c r="G1711">
        <v>4013360000</v>
      </c>
      <c r="H1711">
        <v>0</v>
      </c>
      <c r="I1711">
        <v>0</v>
      </c>
      <c r="K1711" s="11">
        <f t="shared" si="26"/>
        <v>1.8918401045981525E-2</v>
      </c>
    </row>
    <row r="1712" spans="1:11" x14ac:dyDescent="0.2">
      <c r="A1712" s="2">
        <v>44949</v>
      </c>
      <c r="B1712">
        <v>3978.139892578125</v>
      </c>
      <c r="C1712">
        <v>4039.31005859375</v>
      </c>
      <c r="D1712">
        <v>3971.639892578125</v>
      </c>
      <c r="E1712">
        <v>4019.81005859375</v>
      </c>
      <c r="F1712">
        <v>4019.81005859375</v>
      </c>
      <c r="G1712">
        <v>3945210000</v>
      </c>
      <c r="H1712">
        <v>0</v>
      </c>
      <c r="I1712">
        <v>0</v>
      </c>
      <c r="K1712" s="11">
        <f t="shared" si="26"/>
        <v>1.1881344983665221E-2</v>
      </c>
    </row>
    <row r="1713" spans="1:11" x14ac:dyDescent="0.2">
      <c r="A1713" s="2">
        <v>44950</v>
      </c>
      <c r="B1713">
        <v>4001.739990234375</v>
      </c>
      <c r="C1713">
        <v>4023.919921875</v>
      </c>
      <c r="D1713">
        <v>3989.7900390625</v>
      </c>
      <c r="E1713">
        <v>4016.949951171875</v>
      </c>
      <c r="F1713">
        <v>4016.949951171875</v>
      </c>
      <c r="G1713">
        <v>3320430000</v>
      </c>
      <c r="H1713">
        <v>0</v>
      </c>
      <c r="I1713">
        <v>0</v>
      </c>
      <c r="K1713" s="11">
        <f t="shared" si="26"/>
        <v>-7.1150312581569342E-4</v>
      </c>
    </row>
    <row r="1714" spans="1:11" x14ac:dyDescent="0.2">
      <c r="A1714" s="2">
        <v>44951</v>
      </c>
      <c r="B1714">
        <v>3982.7099609375</v>
      </c>
      <c r="C1714">
        <v>4019.550048828125</v>
      </c>
      <c r="D1714">
        <v>3949.06005859375</v>
      </c>
      <c r="E1714">
        <v>4016.219970703125</v>
      </c>
      <c r="F1714">
        <v>4016.219970703125</v>
      </c>
      <c r="G1714">
        <v>3724020000</v>
      </c>
      <c r="H1714">
        <v>0</v>
      </c>
      <c r="I1714">
        <v>0</v>
      </c>
      <c r="K1714" s="11">
        <f t="shared" si="26"/>
        <v>-1.8172505946634221E-4</v>
      </c>
    </row>
    <row r="1715" spans="1:11" x14ac:dyDescent="0.2">
      <c r="A1715" s="2">
        <v>44952</v>
      </c>
      <c r="B1715">
        <v>4036.080078125</v>
      </c>
      <c r="C1715">
        <v>4061.570068359375</v>
      </c>
      <c r="D1715">
        <v>4013.2900390625</v>
      </c>
      <c r="E1715">
        <v>4060.429931640625</v>
      </c>
      <c r="F1715">
        <v>4060.429931640625</v>
      </c>
      <c r="G1715">
        <v>3809590000</v>
      </c>
      <c r="H1715">
        <v>0</v>
      </c>
      <c r="I1715">
        <v>0</v>
      </c>
      <c r="K1715" s="11">
        <f t="shared" si="26"/>
        <v>1.1007853469181317E-2</v>
      </c>
    </row>
    <row r="1716" spans="1:11" x14ac:dyDescent="0.2">
      <c r="A1716" s="2">
        <v>44953</v>
      </c>
      <c r="B1716">
        <v>4053.719970703125</v>
      </c>
      <c r="C1716">
        <v>4094.2099609375</v>
      </c>
      <c r="D1716">
        <v>4048.699951171875</v>
      </c>
      <c r="E1716">
        <v>4070.56005859375</v>
      </c>
      <c r="F1716">
        <v>4070.56005859375</v>
      </c>
      <c r="G1716">
        <v>3907760000</v>
      </c>
      <c r="H1716">
        <v>0</v>
      </c>
      <c r="I1716">
        <v>0</v>
      </c>
      <c r="K1716" s="11">
        <f t="shared" si="26"/>
        <v>2.4948409709490971E-3</v>
      </c>
    </row>
    <row r="1717" spans="1:11" x14ac:dyDescent="0.2">
      <c r="A1717" s="2">
        <v>44956</v>
      </c>
      <c r="B1717">
        <v>4049.27001953125</v>
      </c>
      <c r="C1717">
        <v>4063.85009765625</v>
      </c>
      <c r="D1717">
        <v>4015.550048828125</v>
      </c>
      <c r="E1717">
        <v>4017.77001953125</v>
      </c>
      <c r="F1717">
        <v>4017.77001953125</v>
      </c>
      <c r="G1717">
        <v>3802000000</v>
      </c>
      <c r="H1717">
        <v>0</v>
      </c>
      <c r="I1717">
        <v>0</v>
      </c>
      <c r="K1717" s="11">
        <f t="shared" si="26"/>
        <v>-1.2968740984683369E-2</v>
      </c>
    </row>
    <row r="1718" spans="1:11" x14ac:dyDescent="0.2">
      <c r="A1718" s="2">
        <v>44957</v>
      </c>
      <c r="B1718">
        <v>4020.85009765625</v>
      </c>
      <c r="C1718">
        <v>4077.159912109375</v>
      </c>
      <c r="D1718">
        <v>4020.43994140625</v>
      </c>
      <c r="E1718">
        <v>4076.60009765625</v>
      </c>
      <c r="F1718">
        <v>4076.60009765625</v>
      </c>
      <c r="G1718">
        <v>4679320000</v>
      </c>
      <c r="H1718">
        <v>0</v>
      </c>
      <c r="I1718">
        <v>0</v>
      </c>
      <c r="K1718" s="11">
        <f t="shared" si="26"/>
        <v>1.4642470285510134E-2</v>
      </c>
    </row>
    <row r="1719" spans="1:11" x14ac:dyDescent="0.2">
      <c r="A1719" s="2">
        <v>44958</v>
      </c>
      <c r="B1719">
        <v>4070.070068359375</v>
      </c>
      <c r="C1719">
        <v>4148.9501953125</v>
      </c>
      <c r="D1719">
        <v>4037.199951171875</v>
      </c>
      <c r="E1719">
        <v>4119.2099609375</v>
      </c>
      <c r="F1719">
        <v>4119.2099609375</v>
      </c>
      <c r="G1719">
        <v>4856930000</v>
      </c>
      <c r="H1719">
        <v>0</v>
      </c>
      <c r="I1719">
        <v>0</v>
      </c>
      <c r="K1719" s="11">
        <f t="shared" si="26"/>
        <v>1.0452303944590291E-2</v>
      </c>
    </row>
    <row r="1720" spans="1:11" x14ac:dyDescent="0.2">
      <c r="A1720" s="2">
        <v>44959</v>
      </c>
      <c r="B1720">
        <v>4158.68017578125</v>
      </c>
      <c r="C1720">
        <v>4195.43994140625</v>
      </c>
      <c r="D1720">
        <v>4141.8798828125</v>
      </c>
      <c r="E1720">
        <v>4179.759765625</v>
      </c>
      <c r="F1720">
        <v>4179.759765625</v>
      </c>
      <c r="G1720">
        <v>5624360000</v>
      </c>
      <c r="H1720">
        <v>0</v>
      </c>
      <c r="I1720">
        <v>0</v>
      </c>
      <c r="K1720" s="11">
        <f t="shared" si="26"/>
        <v>1.4699373244309921E-2</v>
      </c>
    </row>
    <row r="1721" spans="1:11" x14ac:dyDescent="0.2">
      <c r="A1721" s="2">
        <v>44960</v>
      </c>
      <c r="B1721">
        <v>4136.68994140625</v>
      </c>
      <c r="C1721">
        <v>4182.35986328125</v>
      </c>
      <c r="D1721">
        <v>4123.35986328125</v>
      </c>
      <c r="E1721">
        <v>4136.47998046875</v>
      </c>
      <c r="F1721">
        <v>4136.47998046875</v>
      </c>
      <c r="G1721">
        <v>4694510000</v>
      </c>
      <c r="H1721">
        <v>0</v>
      </c>
      <c r="I1721">
        <v>0</v>
      </c>
      <c r="K1721" s="11">
        <f t="shared" si="26"/>
        <v>-1.0354610691310495E-2</v>
      </c>
    </row>
    <row r="1722" spans="1:11" x14ac:dyDescent="0.2">
      <c r="A1722" s="2">
        <v>44963</v>
      </c>
      <c r="B1722">
        <v>4119.56982421875</v>
      </c>
      <c r="C1722">
        <v>4124.6298828125</v>
      </c>
      <c r="D1722">
        <v>4093.3798828125</v>
      </c>
      <c r="E1722">
        <v>4111.080078125</v>
      </c>
      <c r="F1722">
        <v>4111.080078125</v>
      </c>
      <c r="G1722">
        <v>4114240000</v>
      </c>
      <c r="H1722">
        <v>0</v>
      </c>
      <c r="I1722">
        <v>0</v>
      </c>
      <c r="K1722" s="11">
        <f t="shared" si="26"/>
        <v>-6.140463017754394E-3</v>
      </c>
    </row>
    <row r="1723" spans="1:11" x14ac:dyDescent="0.2">
      <c r="A1723" s="2">
        <v>44964</v>
      </c>
      <c r="B1723">
        <v>4105.35009765625</v>
      </c>
      <c r="C1723">
        <v>4176.5400390625</v>
      </c>
      <c r="D1723">
        <v>4088.389892578125</v>
      </c>
      <c r="E1723">
        <v>4164</v>
      </c>
      <c r="F1723">
        <v>4164</v>
      </c>
      <c r="G1723">
        <v>4355860000</v>
      </c>
      <c r="H1723">
        <v>0</v>
      </c>
      <c r="I1723">
        <v>0</v>
      </c>
      <c r="K1723" s="11">
        <f t="shared" si="26"/>
        <v>1.2872510598026521E-2</v>
      </c>
    </row>
    <row r="1724" spans="1:11" x14ac:dyDescent="0.2">
      <c r="A1724" s="2">
        <v>44965</v>
      </c>
      <c r="B1724">
        <v>4153.47021484375</v>
      </c>
      <c r="C1724">
        <v>4156.85009765625</v>
      </c>
      <c r="D1724">
        <v>4111.669921875</v>
      </c>
      <c r="E1724">
        <v>4117.85986328125</v>
      </c>
      <c r="F1724">
        <v>4117.85986328125</v>
      </c>
      <c r="G1724">
        <v>4029820000</v>
      </c>
      <c r="H1724">
        <v>0</v>
      </c>
      <c r="I1724">
        <v>0</v>
      </c>
      <c r="K1724" s="11">
        <f t="shared" si="26"/>
        <v>-1.1080724476164705E-2</v>
      </c>
    </row>
    <row r="1725" spans="1:11" x14ac:dyDescent="0.2">
      <c r="A1725" s="2">
        <v>44966</v>
      </c>
      <c r="B1725">
        <v>4144.25</v>
      </c>
      <c r="C1725">
        <v>4156.22998046875</v>
      </c>
      <c r="D1725">
        <v>4069.669921875</v>
      </c>
      <c r="E1725">
        <v>4081.5</v>
      </c>
      <c r="F1725">
        <v>4081.5</v>
      </c>
      <c r="G1725">
        <v>4270200000</v>
      </c>
      <c r="H1725">
        <v>0</v>
      </c>
      <c r="I1725">
        <v>0</v>
      </c>
      <c r="K1725" s="11">
        <f t="shared" si="26"/>
        <v>-8.8297961777351608E-3</v>
      </c>
    </row>
    <row r="1726" spans="1:11" x14ac:dyDescent="0.2">
      <c r="A1726" s="2">
        <v>44967</v>
      </c>
      <c r="B1726">
        <v>4068.919921875</v>
      </c>
      <c r="C1726">
        <v>4094.360107421875</v>
      </c>
      <c r="D1726">
        <v>4060.7900390625</v>
      </c>
      <c r="E1726">
        <v>4090.4599609375</v>
      </c>
      <c r="F1726">
        <v>4090.4599609375</v>
      </c>
      <c r="G1726">
        <v>3891520000</v>
      </c>
      <c r="H1726">
        <v>0</v>
      </c>
      <c r="I1726">
        <v>0</v>
      </c>
      <c r="K1726" s="11">
        <f t="shared" si="26"/>
        <v>2.1952617756952897E-3</v>
      </c>
    </row>
    <row r="1727" spans="1:11" x14ac:dyDescent="0.2">
      <c r="A1727" s="2">
        <v>44970</v>
      </c>
      <c r="B1727">
        <v>4096.6201171875</v>
      </c>
      <c r="C1727">
        <v>4138.89990234375</v>
      </c>
      <c r="D1727">
        <v>4092.669921875</v>
      </c>
      <c r="E1727">
        <v>4137.2900390625</v>
      </c>
      <c r="F1727">
        <v>4137.2900390625</v>
      </c>
      <c r="G1727">
        <v>3448620000</v>
      </c>
      <c r="H1727">
        <v>0</v>
      </c>
      <c r="I1727">
        <v>0</v>
      </c>
      <c r="K1727" s="11">
        <f t="shared" si="26"/>
        <v>1.1448609342766147E-2</v>
      </c>
    </row>
    <row r="1728" spans="1:11" x14ac:dyDescent="0.2">
      <c r="A1728" s="2">
        <v>44971</v>
      </c>
      <c r="B1728">
        <v>4126.7001953125</v>
      </c>
      <c r="C1728">
        <v>4159.77001953125</v>
      </c>
      <c r="D1728">
        <v>4095.010009765625</v>
      </c>
      <c r="E1728">
        <v>4136.1298828125</v>
      </c>
      <c r="F1728">
        <v>4136.1298828125</v>
      </c>
      <c r="G1728">
        <v>3929200000</v>
      </c>
      <c r="H1728">
        <v>0</v>
      </c>
      <c r="I1728">
        <v>0</v>
      </c>
      <c r="K1728" s="11">
        <f t="shared" si="26"/>
        <v>-2.8041453198746069E-4</v>
      </c>
    </row>
    <row r="1729" spans="1:11" x14ac:dyDescent="0.2">
      <c r="A1729" s="2">
        <v>44972</v>
      </c>
      <c r="B1729">
        <v>4119.5</v>
      </c>
      <c r="C1729">
        <v>4148.10986328125</v>
      </c>
      <c r="D1729">
        <v>4103.97998046875</v>
      </c>
      <c r="E1729">
        <v>4147.60009765625</v>
      </c>
      <c r="F1729">
        <v>4147.60009765625</v>
      </c>
      <c r="G1729">
        <v>4075980000</v>
      </c>
      <c r="H1729">
        <v>0</v>
      </c>
      <c r="I1729">
        <v>0</v>
      </c>
      <c r="K1729" s="11">
        <f t="shared" si="26"/>
        <v>2.7731756904960658E-3</v>
      </c>
    </row>
    <row r="1730" spans="1:11" x14ac:dyDescent="0.2">
      <c r="A1730" s="2">
        <v>44973</v>
      </c>
      <c r="B1730">
        <v>4114.75</v>
      </c>
      <c r="C1730">
        <v>4136.5400390625</v>
      </c>
      <c r="D1730">
        <v>4089.489990234375</v>
      </c>
      <c r="E1730">
        <v>4090.409912109375</v>
      </c>
      <c r="F1730">
        <v>4090.409912109375</v>
      </c>
      <c r="G1730">
        <v>4143660000</v>
      </c>
      <c r="H1730">
        <v>0</v>
      </c>
      <c r="I1730">
        <v>0</v>
      </c>
      <c r="K1730" s="11">
        <f t="shared" si="26"/>
        <v>-1.3788741489130674E-2</v>
      </c>
    </row>
    <row r="1731" spans="1:11" x14ac:dyDescent="0.2">
      <c r="A1731" s="2">
        <v>44974</v>
      </c>
      <c r="B1731">
        <v>4077.389892578125</v>
      </c>
      <c r="C1731">
        <v>4081.510009765625</v>
      </c>
      <c r="D1731">
        <v>4047.949951171875</v>
      </c>
      <c r="E1731">
        <v>4079.090087890625</v>
      </c>
      <c r="F1731">
        <v>4079.090087890625</v>
      </c>
      <c r="G1731">
        <v>4045480000</v>
      </c>
      <c r="H1731">
        <v>0</v>
      </c>
      <c r="I1731">
        <v>0</v>
      </c>
      <c r="K1731" s="11">
        <f t="shared" si="26"/>
        <v>-2.7674058253277511E-3</v>
      </c>
    </row>
    <row r="1732" spans="1:11" x14ac:dyDescent="0.2">
      <c r="A1732" s="2">
        <v>44978</v>
      </c>
      <c r="B1732">
        <v>4052.35009765625</v>
      </c>
      <c r="C1732">
        <v>4052.35009765625</v>
      </c>
      <c r="D1732">
        <v>3995.18994140625</v>
      </c>
      <c r="E1732">
        <v>3997.340087890625</v>
      </c>
      <c r="F1732">
        <v>3997.340087890625</v>
      </c>
      <c r="G1732">
        <v>4121590000</v>
      </c>
      <c r="H1732">
        <v>0</v>
      </c>
      <c r="I1732">
        <v>0</v>
      </c>
      <c r="K1732" s="11">
        <f t="shared" ref="K1732:K1795" si="27">(E1732/E1731)-1</f>
        <v>-2.0041234255327334E-2</v>
      </c>
    </row>
    <row r="1733" spans="1:11" x14ac:dyDescent="0.2">
      <c r="A1733" s="2">
        <v>44979</v>
      </c>
      <c r="B1733">
        <v>4001.830078125</v>
      </c>
      <c r="C1733">
        <v>4017.3701171875</v>
      </c>
      <c r="D1733">
        <v>3976.89990234375</v>
      </c>
      <c r="E1733">
        <v>3991.050048828125</v>
      </c>
      <c r="F1733">
        <v>3991.050048828125</v>
      </c>
      <c r="G1733">
        <v>4079320000</v>
      </c>
      <c r="H1733">
        <v>0</v>
      </c>
      <c r="I1733">
        <v>0</v>
      </c>
      <c r="K1733" s="11">
        <f t="shared" si="27"/>
        <v>-1.5735561458868341E-3</v>
      </c>
    </row>
    <row r="1734" spans="1:11" x14ac:dyDescent="0.2">
      <c r="A1734" s="2">
        <v>44980</v>
      </c>
      <c r="B1734">
        <v>4018.60009765625</v>
      </c>
      <c r="C1734">
        <v>4028.300048828125</v>
      </c>
      <c r="D1734">
        <v>3969.18994140625</v>
      </c>
      <c r="E1734">
        <v>4012.320068359375</v>
      </c>
      <c r="F1734">
        <v>4012.320068359375</v>
      </c>
      <c r="G1734">
        <v>3952940000</v>
      </c>
      <c r="H1734">
        <v>0</v>
      </c>
      <c r="I1734">
        <v>0</v>
      </c>
      <c r="K1734" s="11">
        <f t="shared" si="27"/>
        <v>5.3294294160743938E-3</v>
      </c>
    </row>
    <row r="1735" spans="1:11" x14ac:dyDescent="0.2">
      <c r="A1735" s="2">
        <v>44981</v>
      </c>
      <c r="B1735">
        <v>3973.239990234375</v>
      </c>
      <c r="C1735">
        <v>3978.25</v>
      </c>
      <c r="D1735">
        <v>3943.080078125</v>
      </c>
      <c r="E1735">
        <v>3970.0400390625</v>
      </c>
      <c r="F1735">
        <v>3970.0400390625</v>
      </c>
      <c r="G1735">
        <v>3877700000</v>
      </c>
      <c r="H1735">
        <v>0</v>
      </c>
      <c r="I1735">
        <v>0</v>
      </c>
      <c r="K1735" s="11">
        <f t="shared" si="27"/>
        <v>-1.0537551485558128E-2</v>
      </c>
    </row>
    <row r="1736" spans="1:11" x14ac:dyDescent="0.2">
      <c r="A1736" s="2">
        <v>44984</v>
      </c>
      <c r="B1736">
        <v>3992.360107421875</v>
      </c>
      <c r="C1736">
        <v>4018.050048828125</v>
      </c>
      <c r="D1736">
        <v>3973.550048828125</v>
      </c>
      <c r="E1736">
        <v>3982.239990234375</v>
      </c>
      <c r="F1736">
        <v>3982.239990234375</v>
      </c>
      <c r="G1736">
        <v>3836950000</v>
      </c>
      <c r="H1736">
        <v>0</v>
      </c>
      <c r="I1736">
        <v>0</v>
      </c>
      <c r="K1736" s="11">
        <f t="shared" si="27"/>
        <v>3.0730045671669703E-3</v>
      </c>
    </row>
    <row r="1737" spans="1:11" x14ac:dyDescent="0.2">
      <c r="A1737" s="2">
        <v>44985</v>
      </c>
      <c r="B1737">
        <v>3977.18994140625</v>
      </c>
      <c r="C1737">
        <v>3997.5</v>
      </c>
      <c r="D1737">
        <v>3968.97998046875</v>
      </c>
      <c r="E1737">
        <v>3970.14990234375</v>
      </c>
      <c r="F1737">
        <v>3970.14990234375</v>
      </c>
      <c r="G1737">
        <v>5043400000</v>
      </c>
      <c r="H1737">
        <v>0</v>
      </c>
      <c r="I1737">
        <v>0</v>
      </c>
      <c r="K1737" s="11">
        <f t="shared" si="27"/>
        <v>-3.0360018281855305E-3</v>
      </c>
    </row>
    <row r="1738" spans="1:11" x14ac:dyDescent="0.2">
      <c r="A1738" s="2">
        <v>44986</v>
      </c>
      <c r="B1738">
        <v>3963.340087890625</v>
      </c>
      <c r="C1738">
        <v>3971.72998046875</v>
      </c>
      <c r="D1738">
        <v>3939.050048828125</v>
      </c>
      <c r="E1738">
        <v>3951.389892578125</v>
      </c>
      <c r="F1738">
        <v>3951.389892578125</v>
      </c>
      <c r="G1738">
        <v>4249480000</v>
      </c>
      <c r="H1738">
        <v>0</v>
      </c>
      <c r="I1738">
        <v>0</v>
      </c>
      <c r="K1738" s="11">
        <f t="shared" si="27"/>
        <v>-4.7252648456800328E-3</v>
      </c>
    </row>
    <row r="1739" spans="1:11" x14ac:dyDescent="0.2">
      <c r="A1739" s="2">
        <v>44987</v>
      </c>
      <c r="B1739">
        <v>3938.679931640625</v>
      </c>
      <c r="C1739">
        <v>3990.840087890625</v>
      </c>
      <c r="D1739">
        <v>3928.159912109375</v>
      </c>
      <c r="E1739">
        <v>3981.35009765625</v>
      </c>
      <c r="F1739">
        <v>3981.35009765625</v>
      </c>
      <c r="G1739">
        <v>4244900000</v>
      </c>
      <c r="H1739">
        <v>0</v>
      </c>
      <c r="I1739">
        <v>0</v>
      </c>
      <c r="K1739" s="11">
        <f t="shared" si="27"/>
        <v>7.5821940867943916E-3</v>
      </c>
    </row>
    <row r="1740" spans="1:11" x14ac:dyDescent="0.2">
      <c r="A1740" s="2">
        <v>44988</v>
      </c>
      <c r="B1740">
        <v>3998.02001953125</v>
      </c>
      <c r="C1740">
        <v>4048.2900390625</v>
      </c>
      <c r="D1740">
        <v>3995.169921875</v>
      </c>
      <c r="E1740">
        <v>4045.639892578125</v>
      </c>
      <c r="F1740">
        <v>4045.639892578125</v>
      </c>
      <c r="G1740">
        <v>4084730000</v>
      </c>
      <c r="H1740">
        <v>0</v>
      </c>
      <c r="I1740">
        <v>0</v>
      </c>
      <c r="K1740" s="11">
        <f t="shared" si="27"/>
        <v>1.6147737160748799E-2</v>
      </c>
    </row>
    <row r="1741" spans="1:11" x14ac:dyDescent="0.2">
      <c r="A1741" s="2">
        <v>44991</v>
      </c>
      <c r="B1741">
        <v>4055.14990234375</v>
      </c>
      <c r="C1741">
        <v>4078.489990234375</v>
      </c>
      <c r="D1741">
        <v>4044.610107421875</v>
      </c>
      <c r="E1741">
        <v>4048.419921875</v>
      </c>
      <c r="F1741">
        <v>4048.419921875</v>
      </c>
      <c r="G1741">
        <v>4000870000</v>
      </c>
      <c r="H1741">
        <v>0</v>
      </c>
      <c r="I1741">
        <v>0</v>
      </c>
      <c r="K1741" s="11">
        <f t="shared" si="27"/>
        <v>6.8716676982916169E-4</v>
      </c>
    </row>
    <row r="1742" spans="1:11" x14ac:dyDescent="0.2">
      <c r="A1742" s="2">
        <v>44992</v>
      </c>
      <c r="B1742">
        <v>4048.260009765625</v>
      </c>
      <c r="C1742">
        <v>4050</v>
      </c>
      <c r="D1742">
        <v>3980.31005859375</v>
      </c>
      <c r="E1742">
        <v>3986.3701171875</v>
      </c>
      <c r="F1742">
        <v>3986.3701171875</v>
      </c>
      <c r="G1742">
        <v>3922500000</v>
      </c>
      <c r="H1742">
        <v>0</v>
      </c>
      <c r="I1742">
        <v>0</v>
      </c>
      <c r="K1742" s="11">
        <f t="shared" si="27"/>
        <v>-1.5326919115337678E-2</v>
      </c>
    </row>
    <row r="1743" spans="1:11" x14ac:dyDescent="0.2">
      <c r="A1743" s="2">
        <v>44993</v>
      </c>
      <c r="B1743">
        <v>3987.550048828125</v>
      </c>
      <c r="C1743">
        <v>4000.409912109375</v>
      </c>
      <c r="D1743">
        <v>3969.760009765625</v>
      </c>
      <c r="E1743">
        <v>3992.010009765625</v>
      </c>
      <c r="F1743">
        <v>3992.010009765625</v>
      </c>
      <c r="G1743">
        <v>3535570000</v>
      </c>
      <c r="H1743">
        <v>0</v>
      </c>
      <c r="I1743">
        <v>0</v>
      </c>
      <c r="K1743" s="11">
        <f t="shared" si="27"/>
        <v>1.4147940136839399E-3</v>
      </c>
    </row>
    <row r="1744" spans="1:11" x14ac:dyDescent="0.2">
      <c r="A1744" s="2">
        <v>44994</v>
      </c>
      <c r="B1744">
        <v>3998.659912109375</v>
      </c>
      <c r="C1744">
        <v>4017.81005859375</v>
      </c>
      <c r="D1744">
        <v>3908.699951171875</v>
      </c>
      <c r="E1744">
        <v>3918.320068359375</v>
      </c>
      <c r="F1744">
        <v>3918.320068359375</v>
      </c>
      <c r="G1744">
        <v>4445260000</v>
      </c>
      <c r="H1744">
        <v>0</v>
      </c>
      <c r="I1744">
        <v>0</v>
      </c>
      <c r="K1744" s="11">
        <f t="shared" si="27"/>
        <v>-1.845935787384867E-2</v>
      </c>
    </row>
    <row r="1745" spans="1:11" x14ac:dyDescent="0.2">
      <c r="A1745" s="2">
        <v>44995</v>
      </c>
      <c r="B1745">
        <v>3912.77001953125</v>
      </c>
      <c r="C1745">
        <v>3934.050048828125</v>
      </c>
      <c r="D1745">
        <v>3846.320068359375</v>
      </c>
      <c r="E1745">
        <v>3861.590087890625</v>
      </c>
      <c r="F1745">
        <v>3861.590087890625</v>
      </c>
      <c r="G1745">
        <v>5518190000</v>
      </c>
      <c r="H1745">
        <v>0</v>
      </c>
      <c r="I1745">
        <v>0</v>
      </c>
      <c r="K1745" s="11">
        <f t="shared" si="27"/>
        <v>-1.447813845705137E-2</v>
      </c>
    </row>
    <row r="1746" spans="1:11" x14ac:dyDescent="0.2">
      <c r="A1746" s="2">
        <v>44998</v>
      </c>
      <c r="B1746">
        <v>3835.1201171875</v>
      </c>
      <c r="C1746">
        <v>3905.050048828125</v>
      </c>
      <c r="D1746">
        <v>3808.860107421875</v>
      </c>
      <c r="E1746">
        <v>3855.760009765625</v>
      </c>
      <c r="F1746">
        <v>3855.760009765625</v>
      </c>
      <c r="G1746">
        <v>6558020000</v>
      </c>
      <c r="H1746">
        <v>0</v>
      </c>
      <c r="I1746">
        <v>0</v>
      </c>
      <c r="K1746" s="11">
        <f t="shared" si="27"/>
        <v>-1.5097610031894471E-3</v>
      </c>
    </row>
    <row r="1747" spans="1:11" x14ac:dyDescent="0.2">
      <c r="A1747" s="2">
        <v>44999</v>
      </c>
      <c r="B1747">
        <v>3894.010009765625</v>
      </c>
      <c r="C1747">
        <v>3937.2900390625</v>
      </c>
      <c r="D1747">
        <v>3873.6298828125</v>
      </c>
      <c r="E1747">
        <v>3919.2900390625</v>
      </c>
      <c r="F1747">
        <v>3919.2900390625</v>
      </c>
      <c r="G1747">
        <v>5665870000</v>
      </c>
      <c r="H1747">
        <v>0</v>
      </c>
      <c r="I1747">
        <v>0</v>
      </c>
      <c r="K1747" s="11">
        <f t="shared" si="27"/>
        <v>1.6476655480623936E-2</v>
      </c>
    </row>
    <row r="1748" spans="1:11" x14ac:dyDescent="0.2">
      <c r="A1748" s="2">
        <v>45000</v>
      </c>
      <c r="B1748">
        <v>3876.739990234375</v>
      </c>
      <c r="C1748">
        <v>3894.260009765625</v>
      </c>
      <c r="D1748">
        <v>3838.239990234375</v>
      </c>
      <c r="E1748">
        <v>3891.929931640625</v>
      </c>
      <c r="F1748">
        <v>3891.929931640625</v>
      </c>
      <c r="G1748">
        <v>6594010000</v>
      </c>
      <c r="H1748">
        <v>0</v>
      </c>
      <c r="I1748">
        <v>0</v>
      </c>
      <c r="K1748" s="11">
        <f t="shared" si="27"/>
        <v>-6.98088356543769E-3</v>
      </c>
    </row>
    <row r="1749" spans="1:11" x14ac:dyDescent="0.2">
      <c r="A1749" s="2">
        <v>45001</v>
      </c>
      <c r="B1749">
        <v>3878.929931640625</v>
      </c>
      <c r="C1749">
        <v>3964.4599609375</v>
      </c>
      <c r="D1749">
        <v>3864.110107421875</v>
      </c>
      <c r="E1749">
        <v>3960.280029296875</v>
      </c>
      <c r="F1749">
        <v>3960.280029296875</v>
      </c>
      <c r="G1749">
        <v>5695790000</v>
      </c>
      <c r="H1749">
        <v>0</v>
      </c>
      <c r="I1749">
        <v>0</v>
      </c>
      <c r="K1749" s="11">
        <f t="shared" si="27"/>
        <v>1.7562006217166637E-2</v>
      </c>
    </row>
    <row r="1750" spans="1:11" x14ac:dyDescent="0.2">
      <c r="A1750" s="2">
        <v>45002</v>
      </c>
      <c r="B1750">
        <v>3958.68994140625</v>
      </c>
      <c r="C1750">
        <v>3958.909912109375</v>
      </c>
      <c r="D1750">
        <v>3901.27001953125</v>
      </c>
      <c r="E1750">
        <v>3916.639892578125</v>
      </c>
      <c r="F1750">
        <v>3916.639892578125</v>
      </c>
      <c r="G1750">
        <v>9354280000</v>
      </c>
      <c r="H1750">
        <v>0</v>
      </c>
      <c r="I1750">
        <v>0</v>
      </c>
      <c r="K1750" s="11">
        <f t="shared" si="27"/>
        <v>-1.1019457310067593E-2</v>
      </c>
    </row>
    <row r="1751" spans="1:11" x14ac:dyDescent="0.2">
      <c r="A1751" s="2">
        <v>45005</v>
      </c>
      <c r="B1751">
        <v>3917.469970703125</v>
      </c>
      <c r="C1751">
        <v>3956.6201171875</v>
      </c>
      <c r="D1751">
        <v>3916.889892578125</v>
      </c>
      <c r="E1751">
        <v>3951.570068359375</v>
      </c>
      <c r="F1751">
        <v>3951.570068359375</v>
      </c>
      <c r="G1751">
        <v>5347140000</v>
      </c>
      <c r="H1751">
        <v>0</v>
      </c>
      <c r="I1751">
        <v>0</v>
      </c>
      <c r="K1751" s="11">
        <f t="shared" si="27"/>
        <v>8.9184037183100973E-3</v>
      </c>
    </row>
    <row r="1752" spans="1:11" x14ac:dyDescent="0.2">
      <c r="A1752" s="2">
        <v>45006</v>
      </c>
      <c r="B1752">
        <v>3975.889892578125</v>
      </c>
      <c r="C1752">
        <v>4009.080078125</v>
      </c>
      <c r="D1752">
        <v>3971.18994140625</v>
      </c>
      <c r="E1752">
        <v>4002.8701171875</v>
      </c>
      <c r="F1752">
        <v>4002.8701171875</v>
      </c>
      <c r="G1752">
        <v>4920240000</v>
      </c>
      <c r="H1752">
        <v>0</v>
      </c>
      <c r="I1752">
        <v>0</v>
      </c>
      <c r="K1752" s="11">
        <f t="shared" si="27"/>
        <v>1.2982193897784988E-2</v>
      </c>
    </row>
    <row r="1753" spans="1:11" x14ac:dyDescent="0.2">
      <c r="A1753" s="2">
        <v>45007</v>
      </c>
      <c r="B1753">
        <v>4002.0400390625</v>
      </c>
      <c r="C1753">
        <v>4039.489990234375</v>
      </c>
      <c r="D1753">
        <v>3936.169921875</v>
      </c>
      <c r="E1753">
        <v>3936.969970703125</v>
      </c>
      <c r="F1753">
        <v>3936.969970703125</v>
      </c>
      <c r="G1753">
        <v>4533010000</v>
      </c>
      <c r="H1753">
        <v>0</v>
      </c>
      <c r="I1753">
        <v>0</v>
      </c>
      <c r="K1753" s="11">
        <f t="shared" si="27"/>
        <v>-1.6463223775713631E-2</v>
      </c>
    </row>
    <row r="1754" spans="1:11" x14ac:dyDescent="0.2">
      <c r="A1754" s="2">
        <v>45008</v>
      </c>
      <c r="B1754">
        <v>3959.2099609375</v>
      </c>
      <c r="C1754">
        <v>4007.659912109375</v>
      </c>
      <c r="D1754">
        <v>3919.050048828125</v>
      </c>
      <c r="E1754">
        <v>3948.719970703125</v>
      </c>
      <c r="F1754">
        <v>3948.719970703125</v>
      </c>
      <c r="G1754">
        <v>4991600000</v>
      </c>
      <c r="H1754">
        <v>0</v>
      </c>
      <c r="I1754">
        <v>0</v>
      </c>
      <c r="K1754" s="11">
        <f t="shared" si="27"/>
        <v>2.9845287333754023E-3</v>
      </c>
    </row>
    <row r="1755" spans="1:11" x14ac:dyDescent="0.2">
      <c r="A1755" s="2">
        <v>45009</v>
      </c>
      <c r="B1755">
        <v>3939.2099609375</v>
      </c>
      <c r="C1755">
        <v>3972.739990234375</v>
      </c>
      <c r="D1755">
        <v>3909.159912109375</v>
      </c>
      <c r="E1755">
        <v>3970.989990234375</v>
      </c>
      <c r="F1755">
        <v>3970.989990234375</v>
      </c>
      <c r="G1755">
        <v>4583970000</v>
      </c>
      <c r="H1755">
        <v>0</v>
      </c>
      <c r="I1755">
        <v>0</v>
      </c>
      <c r="K1755" s="11">
        <f t="shared" si="27"/>
        <v>5.639807253104534E-3</v>
      </c>
    </row>
    <row r="1756" spans="1:11" x14ac:dyDescent="0.2">
      <c r="A1756" s="2">
        <v>45012</v>
      </c>
      <c r="B1756">
        <v>3982.929931640625</v>
      </c>
      <c r="C1756">
        <v>4003.830078125</v>
      </c>
      <c r="D1756">
        <v>3970.489990234375</v>
      </c>
      <c r="E1756">
        <v>3977.530029296875</v>
      </c>
      <c r="F1756">
        <v>3977.530029296875</v>
      </c>
      <c r="G1756">
        <v>4233540000</v>
      </c>
      <c r="H1756">
        <v>0</v>
      </c>
      <c r="I1756">
        <v>0</v>
      </c>
      <c r="K1756" s="11">
        <f t="shared" si="27"/>
        <v>1.6469543057482383E-3</v>
      </c>
    </row>
    <row r="1757" spans="1:11" x14ac:dyDescent="0.2">
      <c r="A1757" s="2">
        <v>45013</v>
      </c>
      <c r="B1757">
        <v>3974.1298828125</v>
      </c>
      <c r="C1757">
        <v>3979.199951171875</v>
      </c>
      <c r="D1757">
        <v>3951.530029296875</v>
      </c>
      <c r="E1757">
        <v>3971.27001953125</v>
      </c>
      <c r="F1757">
        <v>3971.27001953125</v>
      </c>
      <c r="G1757">
        <v>4014600000</v>
      </c>
      <c r="H1757">
        <v>0</v>
      </c>
      <c r="I1757">
        <v>0</v>
      </c>
      <c r="K1757" s="11">
        <f t="shared" si="27"/>
        <v>-1.5738434957162095E-3</v>
      </c>
    </row>
    <row r="1758" spans="1:11" x14ac:dyDescent="0.2">
      <c r="A1758" s="2">
        <v>45014</v>
      </c>
      <c r="B1758">
        <v>3999.530029296875</v>
      </c>
      <c r="C1758">
        <v>4030.590087890625</v>
      </c>
      <c r="D1758">
        <v>3999.530029296875</v>
      </c>
      <c r="E1758">
        <v>4027.81005859375</v>
      </c>
      <c r="F1758">
        <v>4027.81005859375</v>
      </c>
      <c r="G1758">
        <v>4145250000</v>
      </c>
      <c r="H1758">
        <v>0</v>
      </c>
      <c r="I1758">
        <v>0</v>
      </c>
      <c r="K1758" s="11">
        <f t="shared" si="27"/>
        <v>1.4237268879836451E-2</v>
      </c>
    </row>
    <row r="1759" spans="1:11" x14ac:dyDescent="0.2">
      <c r="A1759" s="2">
        <v>45015</v>
      </c>
      <c r="B1759">
        <v>4046.739990234375</v>
      </c>
      <c r="C1759">
        <v>4057.85009765625</v>
      </c>
      <c r="D1759">
        <v>4032.10009765625</v>
      </c>
      <c r="E1759">
        <v>4050.830078125</v>
      </c>
      <c r="F1759">
        <v>4050.830078125</v>
      </c>
      <c r="G1759">
        <v>3930860000</v>
      </c>
      <c r="H1759">
        <v>0</v>
      </c>
      <c r="I1759">
        <v>0</v>
      </c>
      <c r="K1759" s="11">
        <f t="shared" si="27"/>
        <v>5.715269388667954E-3</v>
      </c>
    </row>
    <row r="1760" spans="1:11" x14ac:dyDescent="0.2">
      <c r="A1760" s="2">
        <v>45016</v>
      </c>
      <c r="B1760">
        <v>4056.179931640625</v>
      </c>
      <c r="C1760">
        <v>4110.75</v>
      </c>
      <c r="D1760">
        <v>4056.179931640625</v>
      </c>
      <c r="E1760">
        <v>4109.31005859375</v>
      </c>
      <c r="F1760">
        <v>4109.31005859375</v>
      </c>
      <c r="G1760">
        <v>4525120000</v>
      </c>
      <c r="H1760">
        <v>0</v>
      </c>
      <c r="I1760">
        <v>0</v>
      </c>
      <c r="K1760" s="11">
        <f t="shared" si="27"/>
        <v>1.4436542471763847E-2</v>
      </c>
    </row>
    <row r="1761" spans="1:11" x14ac:dyDescent="0.2">
      <c r="A1761" s="2">
        <v>45019</v>
      </c>
      <c r="B1761">
        <v>4102.2001953125</v>
      </c>
      <c r="C1761">
        <v>4127.66015625</v>
      </c>
      <c r="D1761">
        <v>4098.7900390625</v>
      </c>
      <c r="E1761">
        <v>4124.509765625</v>
      </c>
      <c r="F1761">
        <v>4124.509765625</v>
      </c>
      <c r="G1761">
        <v>4234700000</v>
      </c>
      <c r="H1761">
        <v>0</v>
      </c>
      <c r="I1761">
        <v>0</v>
      </c>
      <c r="K1761" s="11">
        <f t="shared" si="27"/>
        <v>3.6988464765423945E-3</v>
      </c>
    </row>
    <row r="1762" spans="1:11" x14ac:dyDescent="0.2">
      <c r="A1762" s="2">
        <v>45020</v>
      </c>
      <c r="B1762">
        <v>4128.02978515625</v>
      </c>
      <c r="C1762">
        <v>4133.1298828125</v>
      </c>
      <c r="D1762">
        <v>4086.8701171875</v>
      </c>
      <c r="E1762">
        <v>4100.60009765625</v>
      </c>
      <c r="F1762">
        <v>4100.60009765625</v>
      </c>
      <c r="G1762">
        <v>4227800000</v>
      </c>
      <c r="H1762">
        <v>0</v>
      </c>
      <c r="I1762">
        <v>0</v>
      </c>
      <c r="K1762" s="11">
        <f t="shared" si="27"/>
        <v>-5.7969720833299654E-3</v>
      </c>
    </row>
    <row r="1763" spans="1:11" x14ac:dyDescent="0.2">
      <c r="A1763" s="2">
        <v>45021</v>
      </c>
      <c r="B1763">
        <v>4094.5</v>
      </c>
      <c r="C1763">
        <v>4099.68994140625</v>
      </c>
      <c r="D1763">
        <v>4072.56005859375</v>
      </c>
      <c r="E1763">
        <v>4090.3798828125</v>
      </c>
      <c r="F1763">
        <v>4090.3798828125</v>
      </c>
      <c r="G1763">
        <v>3968020000</v>
      </c>
      <c r="H1763">
        <v>0</v>
      </c>
      <c r="I1763">
        <v>0</v>
      </c>
      <c r="K1763" s="11">
        <f t="shared" si="27"/>
        <v>-2.4923705312281941E-3</v>
      </c>
    </row>
    <row r="1764" spans="1:11" x14ac:dyDescent="0.2">
      <c r="A1764" s="2">
        <v>45022</v>
      </c>
      <c r="B1764">
        <v>4081.14990234375</v>
      </c>
      <c r="C1764">
        <v>4107.31982421875</v>
      </c>
      <c r="D1764">
        <v>4069.840087890625</v>
      </c>
      <c r="E1764">
        <v>4105.02001953125</v>
      </c>
      <c r="F1764">
        <v>4105.02001953125</v>
      </c>
      <c r="G1764">
        <v>3486690000</v>
      </c>
      <c r="H1764">
        <v>0</v>
      </c>
      <c r="I1764">
        <v>0</v>
      </c>
      <c r="K1764" s="11">
        <f t="shared" si="27"/>
        <v>3.5791630944272956E-3</v>
      </c>
    </row>
    <row r="1765" spans="1:11" x14ac:dyDescent="0.2">
      <c r="A1765" s="2">
        <v>45026</v>
      </c>
      <c r="B1765">
        <v>4085.199951171875</v>
      </c>
      <c r="C1765">
        <v>4109.5</v>
      </c>
      <c r="D1765">
        <v>4072.550048828125</v>
      </c>
      <c r="E1765">
        <v>4109.10986328125</v>
      </c>
      <c r="F1765">
        <v>4109.10986328125</v>
      </c>
      <c r="G1765">
        <v>3423650000</v>
      </c>
      <c r="H1765">
        <v>0</v>
      </c>
      <c r="I1765">
        <v>0</v>
      </c>
      <c r="K1765" s="11">
        <f t="shared" si="27"/>
        <v>9.9630299743758144E-4</v>
      </c>
    </row>
    <row r="1766" spans="1:11" x14ac:dyDescent="0.2">
      <c r="A1766" s="2">
        <v>45027</v>
      </c>
      <c r="B1766">
        <v>4110.2900390625</v>
      </c>
      <c r="C1766">
        <v>4124.259765625</v>
      </c>
      <c r="D1766">
        <v>4102.60986328125</v>
      </c>
      <c r="E1766">
        <v>4108.93994140625</v>
      </c>
      <c r="F1766">
        <v>4108.93994140625</v>
      </c>
      <c r="G1766">
        <v>3665830000</v>
      </c>
      <c r="H1766">
        <v>0</v>
      </c>
      <c r="I1766">
        <v>0</v>
      </c>
      <c r="K1766" s="11">
        <f t="shared" si="27"/>
        <v>-4.1352477946232646E-5</v>
      </c>
    </row>
    <row r="1767" spans="1:11" x14ac:dyDescent="0.2">
      <c r="A1767" s="2">
        <v>45028</v>
      </c>
      <c r="B1767">
        <v>4121.72021484375</v>
      </c>
      <c r="C1767">
        <v>4134.3701171875</v>
      </c>
      <c r="D1767">
        <v>4086.93994140625</v>
      </c>
      <c r="E1767">
        <v>4091.949951171875</v>
      </c>
      <c r="F1767">
        <v>4091.949951171875</v>
      </c>
      <c r="G1767">
        <v>3633120000</v>
      </c>
      <c r="H1767">
        <v>0</v>
      </c>
      <c r="I1767">
        <v>0</v>
      </c>
      <c r="K1767" s="11">
        <f t="shared" si="27"/>
        <v>-4.1348840520069041E-3</v>
      </c>
    </row>
    <row r="1768" spans="1:11" x14ac:dyDescent="0.2">
      <c r="A1768" s="2">
        <v>45029</v>
      </c>
      <c r="B1768">
        <v>4100.0400390625</v>
      </c>
      <c r="C1768">
        <v>4150.259765625</v>
      </c>
      <c r="D1768">
        <v>4099.39990234375</v>
      </c>
      <c r="E1768">
        <v>4146.22021484375</v>
      </c>
      <c r="F1768">
        <v>4146.22021484375</v>
      </c>
      <c r="G1768">
        <v>3596590000</v>
      </c>
      <c r="H1768">
        <v>0</v>
      </c>
      <c r="I1768">
        <v>0</v>
      </c>
      <c r="K1768" s="11">
        <f t="shared" si="27"/>
        <v>1.326268999363811E-2</v>
      </c>
    </row>
    <row r="1769" spans="1:11" x14ac:dyDescent="0.2">
      <c r="A1769" s="2">
        <v>45030</v>
      </c>
      <c r="B1769">
        <v>4140.10986328125</v>
      </c>
      <c r="C1769">
        <v>4163.18994140625</v>
      </c>
      <c r="D1769">
        <v>4113.2001953125</v>
      </c>
      <c r="E1769">
        <v>4137.64013671875</v>
      </c>
      <c r="F1769">
        <v>4137.64013671875</v>
      </c>
      <c r="G1769">
        <v>3575690000</v>
      </c>
      <c r="H1769">
        <v>0</v>
      </c>
      <c r="I1769">
        <v>0</v>
      </c>
      <c r="K1769" s="11">
        <f t="shared" si="27"/>
        <v>-2.0693734728036706E-3</v>
      </c>
    </row>
    <row r="1770" spans="1:11" x14ac:dyDescent="0.2">
      <c r="A1770" s="2">
        <v>45033</v>
      </c>
      <c r="B1770">
        <v>4137.169921875</v>
      </c>
      <c r="C1770">
        <v>4151.72021484375</v>
      </c>
      <c r="D1770">
        <v>4123.18017578125</v>
      </c>
      <c r="E1770">
        <v>4151.31982421875</v>
      </c>
      <c r="F1770">
        <v>4151.31982421875</v>
      </c>
      <c r="G1770">
        <v>3611180000</v>
      </c>
      <c r="H1770">
        <v>0</v>
      </c>
      <c r="I1770">
        <v>0</v>
      </c>
      <c r="K1770" s="11">
        <f t="shared" si="27"/>
        <v>3.3061569029655402E-3</v>
      </c>
    </row>
    <row r="1771" spans="1:11" x14ac:dyDescent="0.2">
      <c r="A1771" s="2">
        <v>45034</v>
      </c>
      <c r="B1771">
        <v>4164.259765625</v>
      </c>
      <c r="C1771">
        <v>4169.47998046875</v>
      </c>
      <c r="D1771">
        <v>4140.35986328125</v>
      </c>
      <c r="E1771">
        <v>4154.8701171875</v>
      </c>
      <c r="F1771">
        <v>4154.8701171875</v>
      </c>
      <c r="G1771">
        <v>3536640000</v>
      </c>
      <c r="H1771">
        <v>0</v>
      </c>
      <c r="I1771">
        <v>0</v>
      </c>
      <c r="K1771" s="11">
        <f t="shared" si="27"/>
        <v>8.5522029597373539E-4</v>
      </c>
    </row>
    <row r="1772" spans="1:11" x14ac:dyDescent="0.2">
      <c r="A1772" s="2">
        <v>45035</v>
      </c>
      <c r="B1772">
        <v>4139.330078125</v>
      </c>
      <c r="C1772">
        <v>4162.56982421875</v>
      </c>
      <c r="D1772">
        <v>4134.490234375</v>
      </c>
      <c r="E1772">
        <v>4154.52001953125</v>
      </c>
      <c r="F1772">
        <v>4154.52001953125</v>
      </c>
      <c r="G1772">
        <v>3572560000</v>
      </c>
      <c r="H1772">
        <v>0</v>
      </c>
      <c r="I1772">
        <v>0</v>
      </c>
      <c r="K1772" s="11">
        <f t="shared" si="27"/>
        <v>-8.4261997698065194E-5</v>
      </c>
    </row>
    <row r="1773" spans="1:11" x14ac:dyDescent="0.2">
      <c r="A1773" s="2">
        <v>45036</v>
      </c>
      <c r="B1773">
        <v>4130.47998046875</v>
      </c>
      <c r="C1773">
        <v>4148.56982421875</v>
      </c>
      <c r="D1773">
        <v>4114.56982421875</v>
      </c>
      <c r="E1773">
        <v>4129.7900390625</v>
      </c>
      <c r="F1773">
        <v>4129.7900390625</v>
      </c>
      <c r="G1773">
        <v>3772080000</v>
      </c>
      <c r="H1773">
        <v>0</v>
      </c>
      <c r="I1773">
        <v>0</v>
      </c>
      <c r="K1773" s="11">
        <f t="shared" si="27"/>
        <v>-5.9525481529729696E-3</v>
      </c>
    </row>
    <row r="1774" spans="1:11" x14ac:dyDescent="0.2">
      <c r="A1774" s="2">
        <v>45037</v>
      </c>
      <c r="B1774">
        <v>4132.14013671875</v>
      </c>
      <c r="C1774">
        <v>4138.02001953125</v>
      </c>
      <c r="D1774">
        <v>4113.85986328125</v>
      </c>
      <c r="E1774">
        <v>4133.52001953125</v>
      </c>
      <c r="F1774">
        <v>4133.52001953125</v>
      </c>
      <c r="G1774">
        <v>3611750000</v>
      </c>
      <c r="H1774">
        <v>0</v>
      </c>
      <c r="I1774">
        <v>0</v>
      </c>
      <c r="K1774" s="11">
        <f t="shared" si="27"/>
        <v>9.031888869577287E-4</v>
      </c>
    </row>
    <row r="1775" spans="1:11" x14ac:dyDescent="0.2">
      <c r="A1775" s="2">
        <v>45040</v>
      </c>
      <c r="B1775">
        <v>4132.06982421875</v>
      </c>
      <c r="C1775">
        <v>4142.41015625</v>
      </c>
      <c r="D1775">
        <v>4117.77001953125</v>
      </c>
      <c r="E1775">
        <v>4137.0400390625</v>
      </c>
      <c r="F1775">
        <v>4137.0400390625</v>
      </c>
      <c r="G1775">
        <v>3290940000</v>
      </c>
      <c r="H1775">
        <v>0</v>
      </c>
      <c r="I1775">
        <v>0</v>
      </c>
      <c r="K1775" s="11">
        <f t="shared" si="27"/>
        <v>8.5157916609035489E-4</v>
      </c>
    </row>
    <row r="1776" spans="1:11" x14ac:dyDescent="0.2">
      <c r="A1776" s="2">
        <v>45041</v>
      </c>
      <c r="B1776">
        <v>4126.43017578125</v>
      </c>
      <c r="C1776">
        <v>4126.43017578125</v>
      </c>
      <c r="D1776">
        <v>4071.3798828125</v>
      </c>
      <c r="E1776">
        <v>4071.6298828125</v>
      </c>
      <c r="F1776">
        <v>4071.6298828125</v>
      </c>
      <c r="G1776">
        <v>3978640000</v>
      </c>
      <c r="H1776">
        <v>0</v>
      </c>
      <c r="I1776">
        <v>0</v>
      </c>
      <c r="K1776" s="11">
        <f t="shared" si="27"/>
        <v>-1.5810858882773227E-2</v>
      </c>
    </row>
    <row r="1777" spans="1:11" x14ac:dyDescent="0.2">
      <c r="A1777" s="2">
        <v>45042</v>
      </c>
      <c r="B1777">
        <v>4087.780029296875</v>
      </c>
      <c r="C1777">
        <v>4089.669921875</v>
      </c>
      <c r="D1777">
        <v>4049.35009765625</v>
      </c>
      <c r="E1777">
        <v>4055.989990234375</v>
      </c>
      <c r="F1777">
        <v>4055.989990234375</v>
      </c>
      <c r="G1777">
        <v>3837030000</v>
      </c>
      <c r="H1777">
        <v>0</v>
      </c>
      <c r="I1777">
        <v>0</v>
      </c>
      <c r="K1777" s="11">
        <f t="shared" si="27"/>
        <v>-3.8411871973298428E-3</v>
      </c>
    </row>
    <row r="1778" spans="1:11" x14ac:dyDescent="0.2">
      <c r="A1778" s="2">
        <v>45043</v>
      </c>
      <c r="B1778">
        <v>4075.2900390625</v>
      </c>
      <c r="C1778">
        <v>4138.240234375</v>
      </c>
      <c r="D1778">
        <v>4075.2900390625</v>
      </c>
      <c r="E1778">
        <v>4135.35009765625</v>
      </c>
      <c r="F1778">
        <v>4135.35009765625</v>
      </c>
      <c r="G1778">
        <v>3750550000</v>
      </c>
      <c r="H1778">
        <v>0</v>
      </c>
      <c r="I1778">
        <v>0</v>
      </c>
      <c r="K1778" s="11">
        <f t="shared" si="27"/>
        <v>1.9566149722497039E-2</v>
      </c>
    </row>
    <row r="1779" spans="1:11" x14ac:dyDescent="0.2">
      <c r="A1779" s="2">
        <v>45044</v>
      </c>
      <c r="B1779">
        <v>4129.6298828125</v>
      </c>
      <c r="C1779">
        <v>4170.06005859375</v>
      </c>
      <c r="D1779">
        <v>4127.18017578125</v>
      </c>
      <c r="E1779">
        <v>4169.47998046875</v>
      </c>
      <c r="F1779">
        <v>4169.47998046875</v>
      </c>
      <c r="G1779">
        <v>4087800000</v>
      </c>
      <c r="H1779">
        <v>0</v>
      </c>
      <c r="I1779">
        <v>0</v>
      </c>
      <c r="K1779" s="11">
        <f t="shared" si="27"/>
        <v>8.2532027534605312E-3</v>
      </c>
    </row>
    <row r="1780" spans="1:11" x14ac:dyDescent="0.2">
      <c r="A1780" s="2">
        <v>45047</v>
      </c>
      <c r="B1780">
        <v>4166.7900390625</v>
      </c>
      <c r="C1780">
        <v>4186.919921875</v>
      </c>
      <c r="D1780">
        <v>4164.1201171875</v>
      </c>
      <c r="E1780">
        <v>4167.8701171875</v>
      </c>
      <c r="F1780">
        <v>4167.8701171875</v>
      </c>
      <c r="G1780">
        <v>3321370000</v>
      </c>
      <c r="H1780">
        <v>0</v>
      </c>
      <c r="I1780">
        <v>0</v>
      </c>
      <c r="K1780" s="11">
        <f t="shared" si="27"/>
        <v>-3.8610649020764942E-4</v>
      </c>
    </row>
    <row r="1781" spans="1:11" x14ac:dyDescent="0.2">
      <c r="A1781" s="2">
        <v>45048</v>
      </c>
      <c r="B1781">
        <v>4164.10009765625</v>
      </c>
      <c r="C1781">
        <v>4164.10009765625</v>
      </c>
      <c r="D1781">
        <v>4089.719970703125</v>
      </c>
      <c r="E1781">
        <v>4119.580078125</v>
      </c>
      <c r="F1781">
        <v>4119.580078125</v>
      </c>
      <c r="G1781">
        <v>4486130000</v>
      </c>
      <c r="H1781">
        <v>0</v>
      </c>
      <c r="I1781">
        <v>0</v>
      </c>
      <c r="K1781" s="11">
        <f t="shared" si="27"/>
        <v>-1.1586262936400304E-2</v>
      </c>
    </row>
    <row r="1782" spans="1:11" x14ac:dyDescent="0.2">
      <c r="A1782" s="2">
        <v>45049</v>
      </c>
      <c r="B1782">
        <v>4122.25</v>
      </c>
      <c r="C1782">
        <v>4148.2998046875</v>
      </c>
      <c r="D1782">
        <v>4088.860107421875</v>
      </c>
      <c r="E1782">
        <v>4090.75</v>
      </c>
      <c r="F1782">
        <v>4090.75</v>
      </c>
      <c r="G1782">
        <v>4246510000</v>
      </c>
      <c r="H1782">
        <v>0</v>
      </c>
      <c r="I1782">
        <v>0</v>
      </c>
      <c r="K1782" s="11">
        <f t="shared" si="27"/>
        <v>-6.9983050646564848E-3</v>
      </c>
    </row>
    <row r="1783" spans="1:11" x14ac:dyDescent="0.2">
      <c r="A1783" s="2">
        <v>45050</v>
      </c>
      <c r="B1783">
        <v>4082.550048828125</v>
      </c>
      <c r="C1783">
        <v>4082.610107421875</v>
      </c>
      <c r="D1783">
        <v>4048.280029296875</v>
      </c>
      <c r="E1783">
        <v>4061.219970703125</v>
      </c>
      <c r="F1783">
        <v>4061.219970703125</v>
      </c>
      <c r="G1783">
        <v>4920090000</v>
      </c>
      <c r="H1783">
        <v>0</v>
      </c>
      <c r="I1783">
        <v>0</v>
      </c>
      <c r="K1783" s="11">
        <f t="shared" si="27"/>
        <v>-7.2187323343824161E-3</v>
      </c>
    </row>
    <row r="1784" spans="1:11" x14ac:dyDescent="0.2">
      <c r="A1784" s="2">
        <v>45051</v>
      </c>
      <c r="B1784">
        <v>4084.72998046875</v>
      </c>
      <c r="C1784">
        <v>4147.02001953125</v>
      </c>
      <c r="D1784">
        <v>4084.72998046875</v>
      </c>
      <c r="E1784">
        <v>4136.25</v>
      </c>
      <c r="F1784">
        <v>4136.25</v>
      </c>
      <c r="G1784">
        <v>4186270000</v>
      </c>
      <c r="H1784">
        <v>0</v>
      </c>
      <c r="I1784">
        <v>0</v>
      </c>
      <c r="K1784" s="11">
        <f t="shared" si="27"/>
        <v>1.8474751389515376E-2</v>
      </c>
    </row>
    <row r="1785" spans="1:11" x14ac:dyDescent="0.2">
      <c r="A1785" s="2">
        <v>45054</v>
      </c>
      <c r="B1785">
        <v>4136.97998046875</v>
      </c>
      <c r="C1785">
        <v>4142.2998046875</v>
      </c>
      <c r="D1785">
        <v>4123.81005859375</v>
      </c>
      <c r="E1785">
        <v>4138.1201171875</v>
      </c>
      <c r="F1785">
        <v>4138.1201171875</v>
      </c>
      <c r="G1785">
        <v>3641640000</v>
      </c>
      <c r="H1785">
        <v>0</v>
      </c>
      <c r="I1785">
        <v>0</v>
      </c>
      <c r="K1785" s="11">
        <f t="shared" si="27"/>
        <v>4.5212866424892972E-4</v>
      </c>
    </row>
    <row r="1786" spans="1:11" x14ac:dyDescent="0.2">
      <c r="A1786" s="2">
        <v>45055</v>
      </c>
      <c r="B1786">
        <v>4124.25</v>
      </c>
      <c r="C1786">
        <v>4130.35009765625</v>
      </c>
      <c r="D1786">
        <v>4116.64990234375</v>
      </c>
      <c r="E1786">
        <v>4119.169921875</v>
      </c>
      <c r="F1786">
        <v>4119.169921875</v>
      </c>
      <c r="G1786">
        <v>3810140000</v>
      </c>
      <c r="H1786">
        <v>0</v>
      </c>
      <c r="I1786">
        <v>0</v>
      </c>
      <c r="K1786" s="11">
        <f t="shared" si="27"/>
        <v>-4.5794212772585219E-3</v>
      </c>
    </row>
    <row r="1787" spans="1:11" x14ac:dyDescent="0.2">
      <c r="A1787" s="2">
        <v>45056</v>
      </c>
      <c r="B1787">
        <v>4143.740234375</v>
      </c>
      <c r="C1787">
        <v>4154.27978515625</v>
      </c>
      <c r="D1787">
        <v>4098.919921875</v>
      </c>
      <c r="E1787">
        <v>4137.64013671875</v>
      </c>
      <c r="F1787">
        <v>4137.64013671875</v>
      </c>
      <c r="G1787">
        <v>4057160000</v>
      </c>
      <c r="H1787">
        <v>0</v>
      </c>
      <c r="I1787">
        <v>0</v>
      </c>
      <c r="K1787" s="11">
        <f t="shared" si="27"/>
        <v>4.4839652634049987E-3</v>
      </c>
    </row>
    <row r="1788" spans="1:11" x14ac:dyDescent="0.2">
      <c r="A1788" s="2">
        <v>45057</v>
      </c>
      <c r="B1788">
        <v>4132.240234375</v>
      </c>
      <c r="C1788">
        <v>4132.7998046875</v>
      </c>
      <c r="D1788">
        <v>4109.2900390625</v>
      </c>
      <c r="E1788">
        <v>4130.6201171875</v>
      </c>
      <c r="F1788">
        <v>4130.6201171875</v>
      </c>
      <c r="G1788">
        <v>3752900000</v>
      </c>
      <c r="H1788">
        <v>0</v>
      </c>
      <c r="I1788">
        <v>0</v>
      </c>
      <c r="K1788" s="11">
        <f t="shared" si="27"/>
        <v>-1.6966239932159066E-3</v>
      </c>
    </row>
    <row r="1789" spans="1:11" x14ac:dyDescent="0.2">
      <c r="A1789" s="2">
        <v>45058</v>
      </c>
      <c r="B1789">
        <v>4138.5400390625</v>
      </c>
      <c r="C1789">
        <v>4143.740234375</v>
      </c>
      <c r="D1789">
        <v>4099.1201171875</v>
      </c>
      <c r="E1789">
        <v>4124.080078125</v>
      </c>
      <c r="F1789">
        <v>4124.080078125</v>
      </c>
      <c r="G1789">
        <v>3533740000</v>
      </c>
      <c r="H1789">
        <v>0</v>
      </c>
      <c r="I1789">
        <v>0</v>
      </c>
      <c r="K1789" s="11">
        <f t="shared" si="27"/>
        <v>-1.5833068345566526E-3</v>
      </c>
    </row>
    <row r="1790" spans="1:11" x14ac:dyDescent="0.2">
      <c r="A1790" s="2">
        <v>45061</v>
      </c>
      <c r="B1790">
        <v>4126.64990234375</v>
      </c>
      <c r="C1790">
        <v>4141.25</v>
      </c>
      <c r="D1790">
        <v>4110.27001953125</v>
      </c>
      <c r="E1790">
        <v>4136.27978515625</v>
      </c>
      <c r="F1790">
        <v>4136.27978515625</v>
      </c>
      <c r="G1790">
        <v>3562170000</v>
      </c>
      <c r="H1790">
        <v>0</v>
      </c>
      <c r="I1790">
        <v>0</v>
      </c>
      <c r="K1790" s="11">
        <f t="shared" si="27"/>
        <v>2.9581644391338813E-3</v>
      </c>
    </row>
    <row r="1791" spans="1:11" x14ac:dyDescent="0.2">
      <c r="A1791" s="2">
        <v>45062</v>
      </c>
      <c r="B1791">
        <v>4127.9501953125</v>
      </c>
      <c r="C1791">
        <v>4135.5400390625</v>
      </c>
      <c r="D1791">
        <v>4109.85986328125</v>
      </c>
      <c r="E1791">
        <v>4109.89990234375</v>
      </c>
      <c r="F1791">
        <v>4109.89990234375</v>
      </c>
      <c r="G1791">
        <v>3654200000</v>
      </c>
      <c r="H1791">
        <v>0</v>
      </c>
      <c r="I1791">
        <v>0</v>
      </c>
      <c r="K1791" s="11">
        <f t="shared" si="27"/>
        <v>-6.3776833731530314E-3</v>
      </c>
    </row>
    <row r="1792" spans="1:11" x14ac:dyDescent="0.2">
      <c r="A1792" s="2">
        <v>45063</v>
      </c>
      <c r="B1792">
        <v>4122.85009765625</v>
      </c>
      <c r="C1792">
        <v>4164.669921875</v>
      </c>
      <c r="D1792">
        <v>4113.6201171875</v>
      </c>
      <c r="E1792">
        <v>4158.77001953125</v>
      </c>
      <c r="F1792">
        <v>4158.77001953125</v>
      </c>
      <c r="G1792">
        <v>4039080000</v>
      </c>
      <c r="H1792">
        <v>0</v>
      </c>
      <c r="I1792">
        <v>0</v>
      </c>
      <c r="K1792" s="11">
        <f t="shared" si="27"/>
        <v>1.1890829058788244E-2</v>
      </c>
    </row>
    <row r="1793" spans="1:11" x14ac:dyDescent="0.2">
      <c r="A1793" s="2">
        <v>45064</v>
      </c>
      <c r="B1793">
        <v>4157.68017578125</v>
      </c>
      <c r="C1793">
        <v>4202.2001953125</v>
      </c>
      <c r="D1793">
        <v>4153.5</v>
      </c>
      <c r="E1793">
        <v>4198.0498046875</v>
      </c>
      <c r="F1793">
        <v>4198.0498046875</v>
      </c>
      <c r="G1793">
        <v>3980500000</v>
      </c>
      <c r="H1793">
        <v>0</v>
      </c>
      <c r="I1793">
        <v>0</v>
      </c>
      <c r="K1793" s="11">
        <f t="shared" si="27"/>
        <v>9.445048649426635E-3</v>
      </c>
    </row>
    <row r="1794" spans="1:11" x14ac:dyDescent="0.2">
      <c r="A1794" s="2">
        <v>45065</v>
      </c>
      <c r="B1794">
        <v>4204.14990234375</v>
      </c>
      <c r="C1794">
        <v>4212.91015625</v>
      </c>
      <c r="D1794">
        <v>4180.2001953125</v>
      </c>
      <c r="E1794">
        <v>4191.97998046875</v>
      </c>
      <c r="F1794">
        <v>4191.97998046875</v>
      </c>
      <c r="G1794">
        <v>4041900000</v>
      </c>
      <c r="H1794">
        <v>0</v>
      </c>
      <c r="I1794">
        <v>0</v>
      </c>
      <c r="K1794" s="11">
        <f t="shared" si="27"/>
        <v>-1.4458676054706077E-3</v>
      </c>
    </row>
    <row r="1795" spans="1:11" x14ac:dyDescent="0.2">
      <c r="A1795" s="2">
        <v>45068</v>
      </c>
      <c r="B1795">
        <v>4190.77978515625</v>
      </c>
      <c r="C1795">
        <v>4209.22021484375</v>
      </c>
      <c r="D1795">
        <v>4179.68017578125</v>
      </c>
      <c r="E1795">
        <v>4192.6298828125</v>
      </c>
      <c r="F1795">
        <v>4192.6298828125</v>
      </c>
      <c r="G1795">
        <v>3728520000</v>
      </c>
      <c r="H1795">
        <v>0</v>
      </c>
      <c r="I1795">
        <v>0</v>
      </c>
      <c r="K1795" s="11">
        <f t="shared" si="27"/>
        <v>1.550346964389604E-4</v>
      </c>
    </row>
    <row r="1796" spans="1:11" x14ac:dyDescent="0.2">
      <c r="A1796" s="2">
        <v>45069</v>
      </c>
      <c r="B1796">
        <v>4176.7998046875</v>
      </c>
      <c r="C1796">
        <v>4185.68017578125</v>
      </c>
      <c r="D1796">
        <v>4142.5400390625</v>
      </c>
      <c r="E1796">
        <v>4145.580078125</v>
      </c>
      <c r="F1796">
        <v>4145.580078125</v>
      </c>
      <c r="G1796">
        <v>4155320000</v>
      </c>
      <c r="H1796">
        <v>0</v>
      </c>
      <c r="I1796">
        <v>0</v>
      </c>
      <c r="K1796" s="11">
        <f t="shared" ref="K1796:K1859" si="28">(E1796/E1795)-1</f>
        <v>-1.1222026747550129E-2</v>
      </c>
    </row>
    <row r="1797" spans="1:11" x14ac:dyDescent="0.2">
      <c r="A1797" s="2">
        <v>45070</v>
      </c>
      <c r="B1797">
        <v>4132.9599609375</v>
      </c>
      <c r="C1797">
        <v>4132.9599609375</v>
      </c>
      <c r="D1797">
        <v>4103.97998046875</v>
      </c>
      <c r="E1797">
        <v>4115.240234375</v>
      </c>
      <c r="F1797">
        <v>4115.240234375</v>
      </c>
      <c r="G1797">
        <v>0</v>
      </c>
      <c r="H1797">
        <v>0</v>
      </c>
      <c r="I1797">
        <v>0</v>
      </c>
      <c r="K1797" s="11">
        <f t="shared" si="28"/>
        <v>-7.3186003353533646E-3</v>
      </c>
    </row>
    <row r="1798" spans="1:11" x14ac:dyDescent="0.2">
      <c r="A1798" s="2">
        <v>45071</v>
      </c>
      <c r="B1798">
        <v>4155.7099609375</v>
      </c>
      <c r="C1798">
        <v>4165.740234375</v>
      </c>
      <c r="D1798">
        <v>4129.72998046875</v>
      </c>
      <c r="E1798">
        <v>4151.27978515625</v>
      </c>
      <c r="F1798">
        <v>4151.27978515625</v>
      </c>
      <c r="G1798">
        <v>4147760000</v>
      </c>
      <c r="H1798">
        <v>0</v>
      </c>
      <c r="I1798">
        <v>0</v>
      </c>
      <c r="K1798" s="11">
        <f t="shared" si="28"/>
        <v>8.7575812659024255E-3</v>
      </c>
    </row>
    <row r="1799" spans="1:11" x14ac:dyDescent="0.2">
      <c r="A1799" s="2">
        <v>45072</v>
      </c>
      <c r="B1799">
        <v>4156.16015625</v>
      </c>
      <c r="C1799">
        <v>4212.8701171875</v>
      </c>
      <c r="D1799">
        <v>4156.16015625</v>
      </c>
      <c r="E1799">
        <v>4205.4501953125</v>
      </c>
      <c r="F1799">
        <v>4205.4501953125</v>
      </c>
      <c r="G1799">
        <v>3715460000</v>
      </c>
      <c r="H1799">
        <v>0</v>
      </c>
      <c r="I1799">
        <v>0</v>
      </c>
      <c r="K1799" s="11">
        <f t="shared" si="28"/>
        <v>1.3049086777997321E-2</v>
      </c>
    </row>
    <row r="1800" spans="1:11" x14ac:dyDescent="0.2">
      <c r="A1800" s="2">
        <v>45076</v>
      </c>
      <c r="B1800">
        <v>4226.7099609375</v>
      </c>
      <c r="C1800">
        <v>4231.10009765625</v>
      </c>
      <c r="D1800">
        <v>4192.18017578125</v>
      </c>
      <c r="E1800">
        <v>4205.52001953125</v>
      </c>
      <c r="F1800">
        <v>4205.52001953125</v>
      </c>
      <c r="G1800">
        <v>4228510000</v>
      </c>
      <c r="H1800">
        <v>0</v>
      </c>
      <c r="I1800">
        <v>0</v>
      </c>
      <c r="K1800" s="11">
        <f t="shared" si="28"/>
        <v>1.660326849850513E-5</v>
      </c>
    </row>
    <row r="1801" spans="1:11" x14ac:dyDescent="0.2">
      <c r="A1801" s="2">
        <v>45077</v>
      </c>
      <c r="B1801">
        <v>4190.740234375</v>
      </c>
      <c r="C1801">
        <v>4195.43994140625</v>
      </c>
      <c r="D1801">
        <v>4166.14990234375</v>
      </c>
      <c r="E1801">
        <v>4179.830078125</v>
      </c>
      <c r="F1801">
        <v>4179.830078125</v>
      </c>
      <c r="G1801">
        <v>5980670000</v>
      </c>
      <c r="H1801">
        <v>0</v>
      </c>
      <c r="I1801">
        <v>0</v>
      </c>
      <c r="K1801" s="11">
        <f t="shared" si="28"/>
        <v>-6.1086242098339349E-3</v>
      </c>
    </row>
    <row r="1802" spans="1:11" x14ac:dyDescent="0.2">
      <c r="A1802" s="2">
        <v>45078</v>
      </c>
      <c r="B1802">
        <v>4183.02978515625</v>
      </c>
      <c r="C1802">
        <v>4232.43017578125</v>
      </c>
      <c r="D1802">
        <v>4171.64013671875</v>
      </c>
      <c r="E1802">
        <v>4221.02001953125</v>
      </c>
      <c r="F1802">
        <v>4221.02001953125</v>
      </c>
      <c r="G1802">
        <v>4391860000</v>
      </c>
      <c r="H1802">
        <v>0</v>
      </c>
      <c r="I1802">
        <v>0</v>
      </c>
      <c r="K1802" s="11">
        <f t="shared" si="28"/>
        <v>9.8544535630327168E-3</v>
      </c>
    </row>
    <row r="1803" spans="1:11" x14ac:dyDescent="0.2">
      <c r="A1803" s="2">
        <v>45079</v>
      </c>
      <c r="B1803">
        <v>4241.009765625</v>
      </c>
      <c r="C1803">
        <v>4290.669921875</v>
      </c>
      <c r="D1803">
        <v>4241.009765625</v>
      </c>
      <c r="E1803">
        <v>4282.3701171875</v>
      </c>
      <c r="F1803">
        <v>4282.3701171875</v>
      </c>
      <c r="G1803">
        <v>4454200000</v>
      </c>
      <c r="H1803">
        <v>0</v>
      </c>
      <c r="I1803">
        <v>0</v>
      </c>
      <c r="K1803" s="11">
        <f t="shared" si="28"/>
        <v>1.4534424705965554E-2</v>
      </c>
    </row>
    <row r="1804" spans="1:11" x14ac:dyDescent="0.2">
      <c r="A1804" s="2">
        <v>45082</v>
      </c>
      <c r="B1804">
        <v>4282.990234375</v>
      </c>
      <c r="C1804">
        <v>4299.27978515625</v>
      </c>
      <c r="D1804">
        <v>4266.81982421875</v>
      </c>
      <c r="E1804">
        <v>4273.7900390625</v>
      </c>
      <c r="F1804">
        <v>4273.7900390625</v>
      </c>
      <c r="G1804">
        <v>3813290000</v>
      </c>
      <c r="H1804">
        <v>0</v>
      </c>
      <c r="I1804">
        <v>0</v>
      </c>
      <c r="K1804" s="11">
        <f t="shared" si="28"/>
        <v>-2.0035816359177394E-3</v>
      </c>
    </row>
    <row r="1805" spans="1:11" x14ac:dyDescent="0.2">
      <c r="A1805" s="2">
        <v>45083</v>
      </c>
      <c r="B1805">
        <v>4271.33984375</v>
      </c>
      <c r="C1805">
        <v>4288.330078125</v>
      </c>
      <c r="D1805">
        <v>4263.08984375</v>
      </c>
      <c r="E1805">
        <v>4283.85009765625</v>
      </c>
      <c r="F1805">
        <v>4283.85009765625</v>
      </c>
      <c r="G1805">
        <v>3996560000</v>
      </c>
      <c r="H1805">
        <v>0</v>
      </c>
      <c r="I1805">
        <v>0</v>
      </c>
      <c r="K1805" s="11">
        <f t="shared" si="28"/>
        <v>2.3538963079141606E-3</v>
      </c>
    </row>
    <row r="1806" spans="1:11" x14ac:dyDescent="0.2">
      <c r="A1806" s="2">
        <v>45084</v>
      </c>
      <c r="B1806">
        <v>4285.47021484375</v>
      </c>
      <c r="C1806">
        <v>4299.18994140625</v>
      </c>
      <c r="D1806">
        <v>4263.9599609375</v>
      </c>
      <c r="E1806">
        <v>4267.52001953125</v>
      </c>
      <c r="F1806">
        <v>4267.52001953125</v>
      </c>
      <c r="G1806">
        <v>4537800000</v>
      </c>
      <c r="H1806">
        <v>0</v>
      </c>
      <c r="I1806">
        <v>0</v>
      </c>
      <c r="K1806" s="11">
        <f t="shared" si="28"/>
        <v>-3.8120096998572883E-3</v>
      </c>
    </row>
    <row r="1807" spans="1:11" x14ac:dyDescent="0.2">
      <c r="A1807" s="2">
        <v>45085</v>
      </c>
      <c r="B1807">
        <v>4268.68994140625</v>
      </c>
      <c r="C1807">
        <v>4298.009765625</v>
      </c>
      <c r="D1807">
        <v>4261.06982421875</v>
      </c>
      <c r="E1807">
        <v>4293.93017578125</v>
      </c>
      <c r="F1807">
        <v>4293.93017578125</v>
      </c>
      <c r="G1807">
        <v>3826740000</v>
      </c>
      <c r="H1807">
        <v>0</v>
      </c>
      <c r="I1807">
        <v>0</v>
      </c>
      <c r="K1807" s="11">
        <f t="shared" si="28"/>
        <v>6.1886426142414575E-3</v>
      </c>
    </row>
    <row r="1808" spans="1:11" x14ac:dyDescent="0.2">
      <c r="A1808" s="2">
        <v>45086</v>
      </c>
      <c r="B1808">
        <v>4304.8798828125</v>
      </c>
      <c r="C1808">
        <v>4322.6201171875</v>
      </c>
      <c r="D1808">
        <v>4291.7001953125</v>
      </c>
      <c r="E1808">
        <v>4298.85986328125</v>
      </c>
      <c r="F1808">
        <v>4298.85986328125</v>
      </c>
      <c r="G1808">
        <v>3786510000</v>
      </c>
      <c r="H1808">
        <v>0</v>
      </c>
      <c r="I1808">
        <v>0</v>
      </c>
      <c r="K1808" s="11">
        <f t="shared" si="28"/>
        <v>1.148059539441082E-3</v>
      </c>
    </row>
    <row r="1809" spans="1:11" x14ac:dyDescent="0.2">
      <c r="A1809" s="2">
        <v>45089</v>
      </c>
      <c r="B1809">
        <v>4308.31982421875</v>
      </c>
      <c r="C1809">
        <v>4340.1298828125</v>
      </c>
      <c r="D1809">
        <v>4304.3701171875</v>
      </c>
      <c r="E1809">
        <v>4338.93017578125</v>
      </c>
      <c r="F1809">
        <v>4338.93017578125</v>
      </c>
      <c r="G1809">
        <v>3945670000</v>
      </c>
      <c r="H1809">
        <v>0</v>
      </c>
      <c r="I1809">
        <v>0</v>
      </c>
      <c r="K1809" s="11">
        <f t="shared" si="28"/>
        <v>9.3211488102371565E-3</v>
      </c>
    </row>
    <row r="1810" spans="1:11" x14ac:dyDescent="0.2">
      <c r="A1810" s="2">
        <v>45090</v>
      </c>
      <c r="B1810">
        <v>4352.60986328125</v>
      </c>
      <c r="C1810">
        <v>4375.3701171875</v>
      </c>
      <c r="D1810">
        <v>4349.31005859375</v>
      </c>
      <c r="E1810">
        <v>4369.009765625</v>
      </c>
      <c r="F1810">
        <v>4369.009765625</v>
      </c>
      <c r="G1810">
        <v>4275400000</v>
      </c>
      <c r="H1810">
        <v>0</v>
      </c>
      <c r="I1810">
        <v>0</v>
      </c>
      <c r="K1810" s="11">
        <f t="shared" si="28"/>
        <v>6.9324899514737748E-3</v>
      </c>
    </row>
    <row r="1811" spans="1:11" x14ac:dyDescent="0.2">
      <c r="A1811" s="2">
        <v>45091</v>
      </c>
      <c r="B1811">
        <v>4366.2900390625</v>
      </c>
      <c r="C1811">
        <v>4391.81982421875</v>
      </c>
      <c r="D1811">
        <v>4337.85009765625</v>
      </c>
      <c r="E1811">
        <v>4372.58984375</v>
      </c>
      <c r="F1811">
        <v>4372.58984375</v>
      </c>
      <c r="G1811">
        <v>4252110000</v>
      </c>
      <c r="H1811">
        <v>0</v>
      </c>
      <c r="I1811">
        <v>0</v>
      </c>
      <c r="K1811" s="11">
        <f t="shared" si="28"/>
        <v>8.1942552593217144E-4</v>
      </c>
    </row>
    <row r="1812" spans="1:11" x14ac:dyDescent="0.2">
      <c r="A1812" s="2">
        <v>45092</v>
      </c>
      <c r="B1812">
        <v>4365.330078125</v>
      </c>
      <c r="C1812">
        <v>4439.2001953125</v>
      </c>
      <c r="D1812">
        <v>4362.60009765625</v>
      </c>
      <c r="E1812">
        <v>4425.83984375</v>
      </c>
      <c r="F1812">
        <v>4425.83984375</v>
      </c>
      <c r="G1812">
        <v>4176690000</v>
      </c>
      <c r="H1812">
        <v>0</v>
      </c>
      <c r="I1812">
        <v>0</v>
      </c>
      <c r="K1812" s="11">
        <f t="shared" si="28"/>
        <v>1.217813742034668E-2</v>
      </c>
    </row>
    <row r="1813" spans="1:11" x14ac:dyDescent="0.2">
      <c r="A1813" s="2">
        <v>45093</v>
      </c>
      <c r="B1813">
        <v>4440.9501953125</v>
      </c>
      <c r="C1813">
        <v>4448.47021484375</v>
      </c>
      <c r="D1813">
        <v>4407.43994140625</v>
      </c>
      <c r="E1813">
        <v>4409.58984375</v>
      </c>
      <c r="F1813">
        <v>4409.58984375</v>
      </c>
      <c r="G1813">
        <v>6848600000</v>
      </c>
      <c r="H1813">
        <v>0</v>
      </c>
      <c r="I1813">
        <v>0</v>
      </c>
      <c r="K1813" s="11">
        <f t="shared" si="28"/>
        <v>-3.6716195284263176E-3</v>
      </c>
    </row>
    <row r="1814" spans="1:11" x14ac:dyDescent="0.2">
      <c r="A1814" s="2">
        <v>45097</v>
      </c>
      <c r="B1814">
        <v>4396.10986328125</v>
      </c>
      <c r="C1814">
        <v>4400.14990234375</v>
      </c>
      <c r="D1814">
        <v>4367.18994140625</v>
      </c>
      <c r="E1814">
        <v>4388.7099609375</v>
      </c>
      <c r="F1814">
        <v>4388.7099609375</v>
      </c>
      <c r="G1814">
        <v>4055790000</v>
      </c>
      <c r="H1814">
        <v>0</v>
      </c>
      <c r="I1814">
        <v>0</v>
      </c>
      <c r="K1814" s="11">
        <f t="shared" si="28"/>
        <v>-4.7351076976228645E-3</v>
      </c>
    </row>
    <row r="1815" spans="1:11" x14ac:dyDescent="0.2">
      <c r="A1815" s="2">
        <v>45098</v>
      </c>
      <c r="B1815">
        <v>4380.009765625</v>
      </c>
      <c r="C1815">
        <v>4386.22021484375</v>
      </c>
      <c r="D1815">
        <v>4360.14013671875</v>
      </c>
      <c r="E1815">
        <v>4365.68994140625</v>
      </c>
      <c r="F1815">
        <v>4365.68994140625</v>
      </c>
      <c r="G1815">
        <v>3709330000</v>
      </c>
      <c r="H1815">
        <v>0</v>
      </c>
      <c r="I1815">
        <v>0</v>
      </c>
      <c r="K1815" s="11">
        <f t="shared" si="28"/>
        <v>-5.2452815830036359E-3</v>
      </c>
    </row>
    <row r="1816" spans="1:11" x14ac:dyDescent="0.2">
      <c r="A1816" s="2">
        <v>45099</v>
      </c>
      <c r="B1816">
        <v>4355.39990234375</v>
      </c>
      <c r="C1816">
        <v>4382.25</v>
      </c>
      <c r="D1816">
        <v>4351.81982421875</v>
      </c>
      <c r="E1816">
        <v>4381.89013671875</v>
      </c>
      <c r="F1816">
        <v>4381.89013671875</v>
      </c>
      <c r="G1816">
        <v>3511000000</v>
      </c>
      <c r="H1816">
        <v>0</v>
      </c>
      <c r="I1816">
        <v>0</v>
      </c>
      <c r="K1816" s="11">
        <f t="shared" si="28"/>
        <v>3.7107984144384432E-3</v>
      </c>
    </row>
    <row r="1817" spans="1:11" x14ac:dyDescent="0.2">
      <c r="A1817" s="2">
        <v>45100</v>
      </c>
      <c r="B1817">
        <v>4354.169921875</v>
      </c>
      <c r="C1817">
        <v>4366.5498046875</v>
      </c>
      <c r="D1817">
        <v>4341.33984375</v>
      </c>
      <c r="E1817">
        <v>4348.330078125</v>
      </c>
      <c r="F1817">
        <v>4348.330078125</v>
      </c>
      <c r="G1817">
        <v>6053620000</v>
      </c>
      <c r="H1817">
        <v>0</v>
      </c>
      <c r="I1817">
        <v>0</v>
      </c>
      <c r="K1817" s="11">
        <f t="shared" si="28"/>
        <v>-7.6588087666845661E-3</v>
      </c>
    </row>
    <row r="1818" spans="1:11" x14ac:dyDescent="0.2">
      <c r="A1818" s="2">
        <v>45103</v>
      </c>
      <c r="B1818">
        <v>4344.83984375</v>
      </c>
      <c r="C1818">
        <v>4362.06005859375</v>
      </c>
      <c r="D1818">
        <v>4328.080078125</v>
      </c>
      <c r="E1818">
        <v>4328.81982421875</v>
      </c>
      <c r="F1818">
        <v>4328.81982421875</v>
      </c>
      <c r="G1818">
        <v>3415030000</v>
      </c>
      <c r="H1818">
        <v>0</v>
      </c>
      <c r="I1818">
        <v>0</v>
      </c>
      <c r="K1818" s="11">
        <f t="shared" si="28"/>
        <v>-4.4868382932564677E-3</v>
      </c>
    </row>
    <row r="1819" spans="1:11" x14ac:dyDescent="0.2">
      <c r="A1819" s="2">
        <v>45104</v>
      </c>
      <c r="B1819">
        <v>4337.35986328125</v>
      </c>
      <c r="C1819">
        <v>4384.419921875</v>
      </c>
      <c r="D1819">
        <v>4335</v>
      </c>
      <c r="E1819">
        <v>4378.41015625</v>
      </c>
      <c r="F1819">
        <v>4378.41015625</v>
      </c>
      <c r="G1819">
        <v>3573500000</v>
      </c>
      <c r="H1819">
        <v>0</v>
      </c>
      <c r="I1819">
        <v>0</v>
      </c>
      <c r="K1819" s="11">
        <f t="shared" si="28"/>
        <v>1.1455854954693034E-2</v>
      </c>
    </row>
    <row r="1820" spans="1:11" x14ac:dyDescent="0.2">
      <c r="A1820" s="2">
        <v>45105</v>
      </c>
      <c r="B1820">
        <v>4367.47998046875</v>
      </c>
      <c r="C1820">
        <v>4390.35009765625</v>
      </c>
      <c r="D1820">
        <v>4360.22021484375</v>
      </c>
      <c r="E1820">
        <v>4376.85986328125</v>
      </c>
      <c r="F1820">
        <v>4376.85986328125</v>
      </c>
      <c r="G1820">
        <v>3739330000</v>
      </c>
      <c r="H1820">
        <v>0</v>
      </c>
      <c r="I1820">
        <v>0</v>
      </c>
      <c r="K1820" s="11">
        <f t="shared" si="28"/>
        <v>-3.5407668843834283E-4</v>
      </c>
    </row>
    <row r="1821" spans="1:11" x14ac:dyDescent="0.2">
      <c r="A1821" s="2">
        <v>45106</v>
      </c>
      <c r="B1821">
        <v>4374.93994140625</v>
      </c>
      <c r="C1821">
        <v>4398.39013671875</v>
      </c>
      <c r="D1821">
        <v>4371.97021484375</v>
      </c>
      <c r="E1821">
        <v>4396.43994140625</v>
      </c>
      <c r="F1821">
        <v>4396.43994140625</v>
      </c>
      <c r="G1821">
        <v>3696660000</v>
      </c>
      <c r="H1821">
        <v>0</v>
      </c>
      <c r="I1821">
        <v>0</v>
      </c>
      <c r="K1821" s="11">
        <f t="shared" si="28"/>
        <v>4.4735446728059181E-3</v>
      </c>
    </row>
    <row r="1822" spans="1:11" x14ac:dyDescent="0.2">
      <c r="A1822" s="2">
        <v>45107</v>
      </c>
      <c r="B1822">
        <v>4422.43994140625</v>
      </c>
      <c r="C1822">
        <v>4458.47998046875</v>
      </c>
      <c r="D1822">
        <v>4422.43994140625</v>
      </c>
      <c r="E1822">
        <v>4450.3798828125</v>
      </c>
      <c r="F1822">
        <v>4450.3798828125</v>
      </c>
      <c r="G1822">
        <v>3923450000</v>
      </c>
      <c r="H1822">
        <v>0</v>
      </c>
      <c r="I1822">
        <v>0</v>
      </c>
      <c r="K1822" s="11">
        <f t="shared" si="28"/>
        <v>1.2269004495714109E-2</v>
      </c>
    </row>
    <row r="1823" spans="1:11" x14ac:dyDescent="0.2">
      <c r="A1823" s="2">
        <v>45110</v>
      </c>
      <c r="B1823">
        <v>4450.47998046875</v>
      </c>
      <c r="C1823">
        <v>4456.4599609375</v>
      </c>
      <c r="D1823">
        <v>4442.2900390625</v>
      </c>
      <c r="E1823">
        <v>4455.58984375</v>
      </c>
      <c r="F1823">
        <v>4455.58984375</v>
      </c>
      <c r="G1823">
        <v>2034280000</v>
      </c>
      <c r="H1823">
        <v>0</v>
      </c>
      <c r="I1823">
        <v>0</v>
      </c>
      <c r="K1823" s="11">
        <f t="shared" si="28"/>
        <v>1.1706778016009611E-3</v>
      </c>
    </row>
    <row r="1824" spans="1:11" x14ac:dyDescent="0.2">
      <c r="A1824" s="2">
        <v>45112</v>
      </c>
      <c r="B1824">
        <v>4442.0400390625</v>
      </c>
      <c r="C1824">
        <v>4454.06005859375</v>
      </c>
      <c r="D1824">
        <v>4436.60986328125</v>
      </c>
      <c r="E1824">
        <v>4446.81982421875</v>
      </c>
      <c r="F1824">
        <v>4446.81982421875</v>
      </c>
      <c r="G1824">
        <v>3482620000</v>
      </c>
      <c r="H1824">
        <v>0</v>
      </c>
      <c r="I1824">
        <v>0</v>
      </c>
      <c r="K1824" s="11">
        <f t="shared" si="28"/>
        <v>-1.9683184132291975E-3</v>
      </c>
    </row>
    <row r="1825" spans="1:11" x14ac:dyDescent="0.2">
      <c r="A1825" s="2">
        <v>45113</v>
      </c>
      <c r="B1825">
        <v>4422.6201171875</v>
      </c>
      <c r="C1825">
        <v>4422.6201171875</v>
      </c>
      <c r="D1825">
        <v>4385.0498046875</v>
      </c>
      <c r="E1825">
        <v>4411.58984375</v>
      </c>
      <c r="F1825">
        <v>4411.58984375</v>
      </c>
      <c r="G1825">
        <v>3682020000</v>
      </c>
      <c r="H1825">
        <v>0</v>
      </c>
      <c r="I1825">
        <v>0</v>
      </c>
      <c r="K1825" s="11">
        <f t="shared" si="28"/>
        <v>-7.9225113365009037E-3</v>
      </c>
    </row>
    <row r="1826" spans="1:11" x14ac:dyDescent="0.2">
      <c r="A1826" s="2">
        <v>45114</v>
      </c>
      <c r="B1826">
        <v>4404.5400390625</v>
      </c>
      <c r="C1826">
        <v>4440.39013671875</v>
      </c>
      <c r="D1826">
        <v>4397.39990234375</v>
      </c>
      <c r="E1826">
        <v>4398.9501953125</v>
      </c>
      <c r="F1826">
        <v>4398.9501953125</v>
      </c>
      <c r="G1826">
        <v>3630480000</v>
      </c>
      <c r="H1826">
        <v>0</v>
      </c>
      <c r="I1826">
        <v>0</v>
      </c>
      <c r="K1826" s="11">
        <f t="shared" si="28"/>
        <v>-2.8651005386203243E-3</v>
      </c>
    </row>
    <row r="1827" spans="1:11" x14ac:dyDescent="0.2">
      <c r="A1827" s="2">
        <v>45117</v>
      </c>
      <c r="B1827">
        <v>4394.22998046875</v>
      </c>
      <c r="C1827">
        <v>4412.60009765625</v>
      </c>
      <c r="D1827">
        <v>4389.919921875</v>
      </c>
      <c r="E1827">
        <v>4409.52978515625</v>
      </c>
      <c r="F1827">
        <v>4409.52978515625</v>
      </c>
      <c r="G1827">
        <v>3429600000</v>
      </c>
      <c r="H1827">
        <v>0</v>
      </c>
      <c r="I1827">
        <v>0</v>
      </c>
      <c r="K1827" s="11">
        <f t="shared" si="28"/>
        <v>2.405026057131332E-3</v>
      </c>
    </row>
    <row r="1828" spans="1:11" x14ac:dyDescent="0.2">
      <c r="A1828" s="2">
        <v>45118</v>
      </c>
      <c r="B1828">
        <v>4415.5498046875</v>
      </c>
      <c r="C1828">
        <v>4443.64013671875</v>
      </c>
      <c r="D1828">
        <v>4408.4599609375</v>
      </c>
      <c r="E1828">
        <v>4439.259765625</v>
      </c>
      <c r="F1828">
        <v>4439.259765625</v>
      </c>
      <c r="G1828">
        <v>3624220000</v>
      </c>
      <c r="H1828">
        <v>0</v>
      </c>
      <c r="I1828">
        <v>0</v>
      </c>
      <c r="K1828" s="11">
        <f t="shared" si="28"/>
        <v>6.7422110558885695E-3</v>
      </c>
    </row>
    <row r="1829" spans="1:11" x14ac:dyDescent="0.2">
      <c r="A1829" s="2">
        <v>45119</v>
      </c>
      <c r="B1829">
        <v>4467.68994140625</v>
      </c>
      <c r="C1829">
        <v>4488.33984375</v>
      </c>
      <c r="D1829">
        <v>4463.22998046875</v>
      </c>
      <c r="E1829">
        <v>4472.16015625</v>
      </c>
      <c r="F1829">
        <v>4472.16015625</v>
      </c>
      <c r="G1829">
        <v>3920290000</v>
      </c>
      <c r="H1829">
        <v>0</v>
      </c>
      <c r="I1829">
        <v>0</v>
      </c>
      <c r="K1829" s="11">
        <f t="shared" si="28"/>
        <v>7.4112334853124739E-3</v>
      </c>
    </row>
    <row r="1830" spans="1:11" x14ac:dyDescent="0.2">
      <c r="A1830" s="2">
        <v>45120</v>
      </c>
      <c r="B1830">
        <v>4491.5</v>
      </c>
      <c r="C1830">
        <v>4517.3798828125</v>
      </c>
      <c r="D1830">
        <v>4489.35986328125</v>
      </c>
      <c r="E1830">
        <v>4510.0400390625</v>
      </c>
      <c r="F1830">
        <v>4510.0400390625</v>
      </c>
      <c r="G1830">
        <v>3839530000</v>
      </c>
      <c r="H1830">
        <v>0</v>
      </c>
      <c r="I1830">
        <v>0</v>
      </c>
      <c r="K1830" s="11">
        <f t="shared" si="28"/>
        <v>8.4701534580691185E-3</v>
      </c>
    </row>
    <row r="1831" spans="1:11" x14ac:dyDescent="0.2">
      <c r="A1831" s="2">
        <v>45121</v>
      </c>
      <c r="B1831">
        <v>4514.60986328125</v>
      </c>
      <c r="C1831">
        <v>4527.759765625</v>
      </c>
      <c r="D1831">
        <v>4499.56005859375</v>
      </c>
      <c r="E1831">
        <v>4505.419921875</v>
      </c>
      <c r="F1831">
        <v>4505.419921875</v>
      </c>
      <c r="G1831">
        <v>3647450000</v>
      </c>
      <c r="H1831">
        <v>0</v>
      </c>
      <c r="I1831">
        <v>0</v>
      </c>
      <c r="K1831" s="11">
        <f t="shared" si="28"/>
        <v>-1.0244071333035398E-3</v>
      </c>
    </row>
    <row r="1832" spans="1:11" x14ac:dyDescent="0.2">
      <c r="A1832" s="2">
        <v>45124</v>
      </c>
      <c r="B1832">
        <v>4508.85986328125</v>
      </c>
      <c r="C1832">
        <v>4532.85009765625</v>
      </c>
      <c r="D1832">
        <v>4504.89990234375</v>
      </c>
      <c r="E1832">
        <v>4522.7900390625</v>
      </c>
      <c r="F1832">
        <v>4522.7900390625</v>
      </c>
      <c r="G1832">
        <v>3538240000</v>
      </c>
      <c r="H1832">
        <v>0</v>
      </c>
      <c r="I1832">
        <v>0</v>
      </c>
      <c r="K1832" s="11">
        <f t="shared" si="28"/>
        <v>3.8553825145495324E-3</v>
      </c>
    </row>
    <row r="1833" spans="1:11" x14ac:dyDescent="0.2">
      <c r="A1833" s="2">
        <v>45125</v>
      </c>
      <c r="B1833">
        <v>4521.77978515625</v>
      </c>
      <c r="C1833">
        <v>4562.2998046875</v>
      </c>
      <c r="D1833">
        <v>4514.58984375</v>
      </c>
      <c r="E1833">
        <v>4554.97998046875</v>
      </c>
      <c r="F1833">
        <v>4554.97998046875</v>
      </c>
      <c r="G1833">
        <v>4090010000</v>
      </c>
      <c r="H1833">
        <v>0</v>
      </c>
      <c r="I1833">
        <v>0</v>
      </c>
      <c r="K1833" s="11">
        <f t="shared" si="28"/>
        <v>7.1172752058423772E-3</v>
      </c>
    </row>
    <row r="1834" spans="1:11" x14ac:dyDescent="0.2">
      <c r="A1834" s="2">
        <v>45126</v>
      </c>
      <c r="B1834">
        <v>4563.8701171875</v>
      </c>
      <c r="C1834">
        <v>4578.43017578125</v>
      </c>
      <c r="D1834">
        <v>4557.47998046875</v>
      </c>
      <c r="E1834">
        <v>4565.72021484375</v>
      </c>
      <c r="F1834">
        <v>4565.72021484375</v>
      </c>
      <c r="G1834">
        <v>4115670000</v>
      </c>
      <c r="H1834">
        <v>0</v>
      </c>
      <c r="I1834">
        <v>0</v>
      </c>
      <c r="K1834" s="11">
        <f t="shared" si="28"/>
        <v>2.3579103357320719E-3</v>
      </c>
    </row>
    <row r="1835" spans="1:11" x14ac:dyDescent="0.2">
      <c r="A1835" s="2">
        <v>45127</v>
      </c>
      <c r="B1835">
        <v>4554.3798828125</v>
      </c>
      <c r="C1835">
        <v>4564.740234375</v>
      </c>
      <c r="D1835">
        <v>4527.56005859375</v>
      </c>
      <c r="E1835">
        <v>4534.8701171875</v>
      </c>
      <c r="F1835">
        <v>4534.8701171875</v>
      </c>
      <c r="G1835">
        <v>3761770000</v>
      </c>
      <c r="H1835">
        <v>0</v>
      </c>
      <c r="I1835">
        <v>0</v>
      </c>
      <c r="K1835" s="11">
        <f t="shared" si="28"/>
        <v>-6.7568962189037407E-3</v>
      </c>
    </row>
    <row r="1836" spans="1:11" x14ac:dyDescent="0.2">
      <c r="A1836" s="2">
        <v>45128</v>
      </c>
      <c r="B1836">
        <v>4550.16015625</v>
      </c>
      <c r="C1836">
        <v>4555</v>
      </c>
      <c r="D1836">
        <v>4535.7900390625</v>
      </c>
      <c r="E1836">
        <v>4536.33984375</v>
      </c>
      <c r="F1836">
        <v>4536.33984375</v>
      </c>
      <c r="G1836">
        <v>3570190000</v>
      </c>
      <c r="H1836">
        <v>0</v>
      </c>
      <c r="I1836">
        <v>0</v>
      </c>
      <c r="K1836" s="11">
        <f t="shared" si="28"/>
        <v>3.240945218980773E-4</v>
      </c>
    </row>
    <row r="1837" spans="1:11" x14ac:dyDescent="0.2">
      <c r="A1837" s="2">
        <v>45131</v>
      </c>
      <c r="B1837">
        <v>4543.39013671875</v>
      </c>
      <c r="C1837">
        <v>4563.41015625</v>
      </c>
      <c r="D1837">
        <v>4541.2900390625</v>
      </c>
      <c r="E1837">
        <v>4554.64013671875</v>
      </c>
      <c r="F1837">
        <v>4554.64013671875</v>
      </c>
      <c r="G1837">
        <v>3856250000</v>
      </c>
      <c r="H1837">
        <v>0</v>
      </c>
      <c r="I1837">
        <v>0</v>
      </c>
      <c r="K1837" s="11">
        <f t="shared" si="28"/>
        <v>4.0341538771535568E-3</v>
      </c>
    </row>
    <row r="1838" spans="1:11" x14ac:dyDescent="0.2">
      <c r="A1838" s="2">
        <v>45132</v>
      </c>
      <c r="B1838">
        <v>4555.18994140625</v>
      </c>
      <c r="C1838">
        <v>4580.6201171875</v>
      </c>
      <c r="D1838">
        <v>4552.419921875</v>
      </c>
      <c r="E1838">
        <v>4567.4599609375</v>
      </c>
      <c r="F1838">
        <v>4567.4599609375</v>
      </c>
      <c r="G1838">
        <v>3812470000</v>
      </c>
      <c r="H1838">
        <v>0</v>
      </c>
      <c r="I1838">
        <v>0</v>
      </c>
      <c r="K1838" s="11">
        <f t="shared" si="28"/>
        <v>2.8146733515561628E-3</v>
      </c>
    </row>
    <row r="1839" spans="1:11" x14ac:dyDescent="0.2">
      <c r="A1839" s="2">
        <v>45133</v>
      </c>
      <c r="B1839">
        <v>4558.9599609375</v>
      </c>
      <c r="C1839">
        <v>4582.47021484375</v>
      </c>
      <c r="D1839">
        <v>4547.580078125</v>
      </c>
      <c r="E1839">
        <v>4566.75</v>
      </c>
      <c r="F1839">
        <v>4566.75</v>
      </c>
      <c r="G1839">
        <v>3990290000</v>
      </c>
      <c r="H1839">
        <v>0</v>
      </c>
      <c r="I1839">
        <v>0</v>
      </c>
      <c r="K1839" s="11">
        <f t="shared" si="28"/>
        <v>-1.5543889679858758E-4</v>
      </c>
    </row>
    <row r="1840" spans="1:11" x14ac:dyDescent="0.2">
      <c r="A1840" s="2">
        <v>45134</v>
      </c>
      <c r="B1840">
        <v>4598.259765625</v>
      </c>
      <c r="C1840">
        <v>4607.06982421875</v>
      </c>
      <c r="D1840">
        <v>4528.56005859375</v>
      </c>
      <c r="E1840">
        <v>4537.41015625</v>
      </c>
      <c r="F1840">
        <v>4537.41015625</v>
      </c>
      <c r="G1840">
        <v>4553210000</v>
      </c>
      <c r="H1840">
        <v>0</v>
      </c>
      <c r="I1840">
        <v>0</v>
      </c>
      <c r="K1840" s="11">
        <f t="shared" si="28"/>
        <v>-6.4246660644878828E-3</v>
      </c>
    </row>
    <row r="1841" spans="1:11" x14ac:dyDescent="0.2">
      <c r="A1841" s="2">
        <v>45135</v>
      </c>
      <c r="B1841">
        <v>4565.75</v>
      </c>
      <c r="C1841">
        <v>4590.16015625</v>
      </c>
      <c r="D1841">
        <v>4564.009765625</v>
      </c>
      <c r="E1841">
        <v>4582.22998046875</v>
      </c>
      <c r="F1841">
        <v>4582.22998046875</v>
      </c>
      <c r="G1841">
        <v>3981010000</v>
      </c>
      <c r="H1841">
        <v>0</v>
      </c>
      <c r="I1841">
        <v>0</v>
      </c>
      <c r="K1841" s="11">
        <f t="shared" si="28"/>
        <v>9.8778427947523451E-3</v>
      </c>
    </row>
    <row r="1842" spans="1:11" x14ac:dyDescent="0.2">
      <c r="A1842" s="2">
        <v>45138</v>
      </c>
      <c r="B1842">
        <v>4584.81982421875</v>
      </c>
      <c r="C1842">
        <v>4594.22021484375</v>
      </c>
      <c r="D1842">
        <v>4573.14013671875</v>
      </c>
      <c r="E1842">
        <v>4588.9599609375</v>
      </c>
      <c r="F1842">
        <v>4588.9599609375</v>
      </c>
      <c r="G1842">
        <v>4503600000</v>
      </c>
      <c r="H1842">
        <v>0</v>
      </c>
      <c r="I1842">
        <v>0</v>
      </c>
      <c r="K1842" s="11">
        <f t="shared" si="28"/>
        <v>1.4687129405193122E-3</v>
      </c>
    </row>
    <row r="1843" spans="1:11" x14ac:dyDescent="0.2">
      <c r="A1843" s="2">
        <v>45139</v>
      </c>
      <c r="B1843">
        <v>4578.830078125</v>
      </c>
      <c r="C1843">
        <v>4584.6201171875</v>
      </c>
      <c r="D1843">
        <v>4567.52978515625</v>
      </c>
      <c r="E1843">
        <v>4576.72998046875</v>
      </c>
      <c r="F1843">
        <v>4576.72998046875</v>
      </c>
      <c r="G1843">
        <v>4042370000</v>
      </c>
      <c r="H1843">
        <v>0</v>
      </c>
      <c r="I1843">
        <v>0</v>
      </c>
      <c r="K1843" s="11">
        <f t="shared" si="28"/>
        <v>-2.6650876392156908E-3</v>
      </c>
    </row>
    <row r="1844" spans="1:11" x14ac:dyDescent="0.2">
      <c r="A1844" s="2">
        <v>45140</v>
      </c>
      <c r="B1844">
        <v>4550.93017578125</v>
      </c>
      <c r="C1844">
        <v>4550.93017578125</v>
      </c>
      <c r="D1844">
        <v>4505.75</v>
      </c>
      <c r="E1844">
        <v>4513.39013671875</v>
      </c>
      <c r="F1844">
        <v>4513.39013671875</v>
      </c>
      <c r="G1844">
        <v>4270710000</v>
      </c>
      <c r="H1844">
        <v>0</v>
      </c>
      <c r="I1844">
        <v>0</v>
      </c>
      <c r="K1844" s="11">
        <f t="shared" si="28"/>
        <v>-1.3839541336347905E-2</v>
      </c>
    </row>
    <row r="1845" spans="1:11" x14ac:dyDescent="0.2">
      <c r="A1845" s="2">
        <v>45141</v>
      </c>
      <c r="B1845">
        <v>4494.27001953125</v>
      </c>
      <c r="C1845">
        <v>4519.490234375</v>
      </c>
      <c r="D1845">
        <v>4485.5400390625</v>
      </c>
      <c r="E1845">
        <v>4501.89013671875</v>
      </c>
      <c r="F1845">
        <v>4501.89013671875</v>
      </c>
      <c r="G1845">
        <v>4149120000</v>
      </c>
      <c r="H1845">
        <v>0</v>
      </c>
      <c r="I1845">
        <v>0</v>
      </c>
      <c r="K1845" s="11">
        <f t="shared" si="28"/>
        <v>-2.5479738404268204E-3</v>
      </c>
    </row>
    <row r="1846" spans="1:11" x14ac:dyDescent="0.2">
      <c r="A1846" s="2">
        <v>45142</v>
      </c>
      <c r="B1846">
        <v>4513.9599609375</v>
      </c>
      <c r="C1846">
        <v>4540.33984375</v>
      </c>
      <c r="D1846">
        <v>4474.5498046875</v>
      </c>
      <c r="E1846">
        <v>4478.02978515625</v>
      </c>
      <c r="F1846">
        <v>4478.02978515625</v>
      </c>
      <c r="G1846">
        <v>4143310000</v>
      </c>
      <c r="H1846">
        <v>0</v>
      </c>
      <c r="I1846">
        <v>0</v>
      </c>
      <c r="K1846" s="11">
        <f t="shared" si="28"/>
        <v>-5.3000741550505159E-3</v>
      </c>
    </row>
    <row r="1847" spans="1:11" x14ac:dyDescent="0.2">
      <c r="A1847" s="2">
        <v>45145</v>
      </c>
      <c r="B1847">
        <v>4491.580078125</v>
      </c>
      <c r="C1847">
        <v>4519.83984375</v>
      </c>
      <c r="D1847">
        <v>4491.14990234375</v>
      </c>
      <c r="E1847">
        <v>4518.43994140625</v>
      </c>
      <c r="F1847">
        <v>4518.43994140625</v>
      </c>
      <c r="G1847">
        <v>3493920000</v>
      </c>
      <c r="H1847">
        <v>0</v>
      </c>
      <c r="I1847">
        <v>0</v>
      </c>
      <c r="K1847" s="11">
        <f t="shared" si="28"/>
        <v>9.0240927793627801E-3</v>
      </c>
    </row>
    <row r="1848" spans="1:11" x14ac:dyDescent="0.2">
      <c r="A1848" s="2">
        <v>45146</v>
      </c>
      <c r="B1848">
        <v>4498.02978515625</v>
      </c>
      <c r="C1848">
        <v>4503.31005859375</v>
      </c>
      <c r="D1848">
        <v>4464.39013671875</v>
      </c>
      <c r="E1848">
        <v>4499.3798828125</v>
      </c>
      <c r="F1848">
        <v>4499.3798828125</v>
      </c>
      <c r="G1848">
        <v>3884910000</v>
      </c>
      <c r="H1848">
        <v>0</v>
      </c>
      <c r="I1848">
        <v>0</v>
      </c>
      <c r="K1848" s="11">
        <f t="shared" si="28"/>
        <v>-4.218283044793103E-3</v>
      </c>
    </row>
    <row r="1849" spans="1:11" x14ac:dyDescent="0.2">
      <c r="A1849" s="2">
        <v>45147</v>
      </c>
      <c r="B1849">
        <v>4501.56982421875</v>
      </c>
      <c r="C1849">
        <v>4502.43994140625</v>
      </c>
      <c r="D1849">
        <v>4461.330078125</v>
      </c>
      <c r="E1849">
        <v>4467.7099609375</v>
      </c>
      <c r="F1849">
        <v>4467.7099609375</v>
      </c>
      <c r="G1849">
        <v>3803100000</v>
      </c>
      <c r="H1849">
        <v>0</v>
      </c>
      <c r="I1849">
        <v>0</v>
      </c>
      <c r="K1849" s="11">
        <f t="shared" si="28"/>
        <v>-7.0387303805971024E-3</v>
      </c>
    </row>
    <row r="1850" spans="1:11" x14ac:dyDescent="0.2">
      <c r="A1850" s="2">
        <v>45148</v>
      </c>
      <c r="B1850">
        <v>4487.16015625</v>
      </c>
      <c r="C1850">
        <v>4527.3701171875</v>
      </c>
      <c r="D1850">
        <v>4457.919921875</v>
      </c>
      <c r="E1850">
        <v>4468.830078125</v>
      </c>
      <c r="F1850">
        <v>4468.830078125</v>
      </c>
      <c r="G1850">
        <v>4504370000</v>
      </c>
      <c r="H1850">
        <v>0</v>
      </c>
      <c r="I1850">
        <v>0</v>
      </c>
      <c r="K1850" s="11">
        <f t="shared" si="28"/>
        <v>2.5071394456976925E-4</v>
      </c>
    </row>
    <row r="1851" spans="1:11" x14ac:dyDescent="0.2">
      <c r="A1851" s="2">
        <v>45149</v>
      </c>
      <c r="B1851">
        <v>4450.68994140625</v>
      </c>
      <c r="C1851">
        <v>4476.22998046875</v>
      </c>
      <c r="D1851">
        <v>4443.97998046875</v>
      </c>
      <c r="E1851">
        <v>4464.0498046875</v>
      </c>
      <c r="F1851">
        <v>4464.0498046875</v>
      </c>
      <c r="G1851">
        <v>3753290000</v>
      </c>
      <c r="H1851">
        <v>0</v>
      </c>
      <c r="I1851">
        <v>0</v>
      </c>
      <c r="K1851" s="11">
        <f t="shared" si="28"/>
        <v>-1.0696923700230787E-3</v>
      </c>
    </row>
    <row r="1852" spans="1:11" x14ac:dyDescent="0.2">
      <c r="A1852" s="2">
        <v>45152</v>
      </c>
      <c r="B1852">
        <v>4458.1298828125</v>
      </c>
      <c r="C1852">
        <v>4490.330078125</v>
      </c>
      <c r="D1852">
        <v>4453.43994140625</v>
      </c>
      <c r="E1852">
        <v>4489.72021484375</v>
      </c>
      <c r="F1852">
        <v>4489.72021484375</v>
      </c>
      <c r="G1852">
        <v>3896410000</v>
      </c>
      <c r="H1852">
        <v>0</v>
      </c>
      <c r="I1852">
        <v>0</v>
      </c>
      <c r="K1852" s="11">
        <f t="shared" si="28"/>
        <v>5.7504757517030658E-3</v>
      </c>
    </row>
    <row r="1853" spans="1:11" x14ac:dyDescent="0.2">
      <c r="A1853" s="2">
        <v>45153</v>
      </c>
      <c r="B1853">
        <v>4478.8701171875</v>
      </c>
      <c r="C1853">
        <v>4478.8701171875</v>
      </c>
      <c r="D1853">
        <v>4432.18994140625</v>
      </c>
      <c r="E1853">
        <v>4437.85986328125</v>
      </c>
      <c r="F1853">
        <v>4437.85986328125</v>
      </c>
      <c r="G1853">
        <v>3832250000</v>
      </c>
      <c r="H1853">
        <v>0</v>
      </c>
      <c r="I1853">
        <v>0</v>
      </c>
      <c r="K1853" s="11">
        <f t="shared" si="28"/>
        <v>-1.1550909428841738E-2</v>
      </c>
    </row>
    <row r="1854" spans="1:11" x14ac:dyDescent="0.2">
      <c r="A1854" s="2">
        <v>45154</v>
      </c>
      <c r="B1854">
        <v>4433.7900390625</v>
      </c>
      <c r="C1854">
        <v>4449.9501953125</v>
      </c>
      <c r="D1854">
        <v>4403.5498046875</v>
      </c>
      <c r="E1854">
        <v>4404.330078125</v>
      </c>
      <c r="F1854">
        <v>4404.330078125</v>
      </c>
      <c r="G1854">
        <v>3753910000</v>
      </c>
      <c r="H1854">
        <v>0</v>
      </c>
      <c r="I1854">
        <v>0</v>
      </c>
      <c r="K1854" s="11">
        <f t="shared" si="28"/>
        <v>-7.5553952105776867E-3</v>
      </c>
    </row>
    <row r="1855" spans="1:11" x14ac:dyDescent="0.2">
      <c r="A1855" s="2">
        <v>45155</v>
      </c>
      <c r="B1855">
        <v>4416.31982421875</v>
      </c>
      <c r="C1855">
        <v>4421.169921875</v>
      </c>
      <c r="D1855">
        <v>4364.830078125</v>
      </c>
      <c r="E1855">
        <v>4370.35986328125</v>
      </c>
      <c r="F1855">
        <v>4370.35986328125</v>
      </c>
      <c r="G1855">
        <v>3943700000</v>
      </c>
      <c r="H1855">
        <v>0</v>
      </c>
      <c r="I1855">
        <v>0</v>
      </c>
      <c r="K1855" s="11">
        <f t="shared" si="28"/>
        <v>-7.7129130290369829E-3</v>
      </c>
    </row>
    <row r="1856" spans="1:11" x14ac:dyDescent="0.2">
      <c r="A1856" s="2">
        <v>45156</v>
      </c>
      <c r="B1856">
        <v>4344.8798828125</v>
      </c>
      <c r="C1856">
        <v>4381.81982421875</v>
      </c>
      <c r="D1856">
        <v>4335.31005859375</v>
      </c>
      <c r="E1856">
        <v>4369.7099609375</v>
      </c>
      <c r="F1856">
        <v>4369.7099609375</v>
      </c>
      <c r="G1856">
        <v>3940400000</v>
      </c>
      <c r="H1856">
        <v>0</v>
      </c>
      <c r="I1856">
        <v>0</v>
      </c>
      <c r="K1856" s="11">
        <f t="shared" si="28"/>
        <v>-1.4870682600087726E-4</v>
      </c>
    </row>
    <row r="1857" spans="1:11" x14ac:dyDescent="0.2">
      <c r="A1857" s="2">
        <v>45159</v>
      </c>
      <c r="B1857">
        <v>4380.27978515625</v>
      </c>
      <c r="C1857">
        <v>4407.5498046875</v>
      </c>
      <c r="D1857">
        <v>4360.2998046875</v>
      </c>
      <c r="E1857">
        <v>4399.77001953125</v>
      </c>
      <c r="F1857">
        <v>4399.77001953125</v>
      </c>
      <c r="G1857">
        <v>3726850000</v>
      </c>
      <c r="H1857">
        <v>0</v>
      </c>
      <c r="I1857">
        <v>0</v>
      </c>
      <c r="K1857" s="11">
        <f t="shared" si="28"/>
        <v>6.8791885187959867E-3</v>
      </c>
    </row>
    <row r="1858" spans="1:11" x14ac:dyDescent="0.2">
      <c r="A1858" s="2">
        <v>45160</v>
      </c>
      <c r="B1858">
        <v>4415.330078125</v>
      </c>
      <c r="C1858">
        <v>4418.58984375</v>
      </c>
      <c r="D1858">
        <v>4382.77001953125</v>
      </c>
      <c r="E1858">
        <v>4387.5498046875</v>
      </c>
      <c r="F1858">
        <v>4387.5498046875</v>
      </c>
      <c r="G1858">
        <v>3522760000</v>
      </c>
      <c r="H1858">
        <v>0</v>
      </c>
      <c r="I1858">
        <v>0</v>
      </c>
      <c r="K1858" s="11">
        <f t="shared" si="28"/>
        <v>-2.777466728829614E-3</v>
      </c>
    </row>
    <row r="1859" spans="1:11" x14ac:dyDescent="0.2">
      <c r="A1859" s="2">
        <v>45161</v>
      </c>
      <c r="B1859">
        <v>4396.43994140625</v>
      </c>
      <c r="C1859">
        <v>4443.18017578125</v>
      </c>
      <c r="D1859">
        <v>4396.43994140625</v>
      </c>
      <c r="E1859">
        <v>4436.009765625</v>
      </c>
      <c r="F1859">
        <v>4436.009765625</v>
      </c>
      <c r="G1859">
        <v>3837270000</v>
      </c>
      <c r="H1859">
        <v>0</v>
      </c>
      <c r="I1859">
        <v>0</v>
      </c>
      <c r="K1859" s="11">
        <f t="shared" si="28"/>
        <v>1.1044879965972587E-2</v>
      </c>
    </row>
    <row r="1860" spans="1:11" x14ac:dyDescent="0.2">
      <c r="A1860" s="2">
        <v>45162</v>
      </c>
      <c r="B1860">
        <v>4455.16015625</v>
      </c>
      <c r="C1860">
        <v>4458.2998046875</v>
      </c>
      <c r="D1860">
        <v>4375.5498046875</v>
      </c>
      <c r="E1860">
        <v>4376.31005859375</v>
      </c>
      <c r="F1860">
        <v>4376.31005859375</v>
      </c>
      <c r="G1860">
        <v>3723470000</v>
      </c>
      <c r="H1860">
        <v>0</v>
      </c>
      <c r="I1860">
        <v>0</v>
      </c>
      <c r="K1860" s="11">
        <f t="shared" ref="K1860:K1923" si="29">(E1860/E1859)-1</f>
        <v>-1.3457974663146133E-2</v>
      </c>
    </row>
    <row r="1861" spans="1:11" x14ac:dyDescent="0.2">
      <c r="A1861" s="2">
        <v>45163</v>
      </c>
      <c r="B1861">
        <v>4389.3798828125</v>
      </c>
      <c r="C1861">
        <v>4418.4599609375</v>
      </c>
      <c r="D1861">
        <v>4356.2900390625</v>
      </c>
      <c r="E1861">
        <v>4405.7099609375</v>
      </c>
      <c r="F1861">
        <v>4405.7099609375</v>
      </c>
      <c r="G1861">
        <v>3296180000</v>
      </c>
      <c r="H1861">
        <v>0</v>
      </c>
      <c r="I1861">
        <v>0</v>
      </c>
      <c r="K1861" s="11">
        <f t="shared" si="29"/>
        <v>6.7179660376250894E-3</v>
      </c>
    </row>
    <row r="1862" spans="1:11" x14ac:dyDescent="0.2">
      <c r="A1862" s="2">
        <v>45166</v>
      </c>
      <c r="B1862">
        <v>4426.02978515625</v>
      </c>
      <c r="C1862">
        <v>4439.56005859375</v>
      </c>
      <c r="D1862">
        <v>4414.97998046875</v>
      </c>
      <c r="E1862">
        <v>4433.31005859375</v>
      </c>
      <c r="F1862">
        <v>4433.31005859375</v>
      </c>
      <c r="G1862">
        <v>2957230000</v>
      </c>
      <c r="H1862">
        <v>0</v>
      </c>
      <c r="I1862">
        <v>0</v>
      </c>
      <c r="K1862" s="11">
        <f t="shared" si="29"/>
        <v>6.2646197550364491E-3</v>
      </c>
    </row>
    <row r="1863" spans="1:11" x14ac:dyDescent="0.2">
      <c r="A1863" s="2">
        <v>45167</v>
      </c>
      <c r="B1863">
        <v>4432.75</v>
      </c>
      <c r="C1863">
        <v>4500.14013671875</v>
      </c>
      <c r="D1863">
        <v>4431.68017578125</v>
      </c>
      <c r="E1863">
        <v>4497.6298828125</v>
      </c>
      <c r="F1863">
        <v>4497.6298828125</v>
      </c>
      <c r="G1863">
        <v>3354820000</v>
      </c>
      <c r="H1863">
        <v>0</v>
      </c>
      <c r="I1863">
        <v>0</v>
      </c>
      <c r="K1863" s="11">
        <f t="shared" si="29"/>
        <v>1.4508307194546211E-2</v>
      </c>
    </row>
    <row r="1864" spans="1:11" x14ac:dyDescent="0.2">
      <c r="A1864" s="2">
        <v>45168</v>
      </c>
      <c r="B1864">
        <v>4500.33984375</v>
      </c>
      <c r="C1864">
        <v>4521.64990234375</v>
      </c>
      <c r="D1864">
        <v>4493.58984375</v>
      </c>
      <c r="E1864">
        <v>4514.8701171875</v>
      </c>
      <c r="F1864">
        <v>4514.8701171875</v>
      </c>
      <c r="G1864">
        <v>3064110000</v>
      </c>
      <c r="H1864">
        <v>0</v>
      </c>
      <c r="I1864">
        <v>0</v>
      </c>
      <c r="K1864" s="11">
        <f t="shared" si="29"/>
        <v>3.833182103508026E-3</v>
      </c>
    </row>
    <row r="1865" spans="1:11" x14ac:dyDescent="0.2">
      <c r="A1865" s="2">
        <v>45169</v>
      </c>
      <c r="B1865">
        <v>4517.009765625</v>
      </c>
      <c r="C1865">
        <v>4532.259765625</v>
      </c>
      <c r="D1865">
        <v>4507.39013671875</v>
      </c>
      <c r="E1865">
        <v>4507.66015625</v>
      </c>
      <c r="F1865">
        <v>4507.66015625</v>
      </c>
      <c r="G1865">
        <v>3946360000</v>
      </c>
      <c r="H1865">
        <v>0</v>
      </c>
      <c r="I1865">
        <v>0</v>
      </c>
      <c r="K1865" s="11">
        <f t="shared" si="29"/>
        <v>-1.5969365120942491E-3</v>
      </c>
    </row>
    <row r="1866" spans="1:11" x14ac:dyDescent="0.2">
      <c r="A1866" s="2">
        <v>45170</v>
      </c>
      <c r="B1866">
        <v>4530.60009765625</v>
      </c>
      <c r="C1866">
        <v>4541.25</v>
      </c>
      <c r="D1866">
        <v>4501.35009765625</v>
      </c>
      <c r="E1866">
        <v>4515.77001953125</v>
      </c>
      <c r="F1866">
        <v>4515.77001953125</v>
      </c>
      <c r="G1866">
        <v>3246260000</v>
      </c>
      <c r="H1866">
        <v>0</v>
      </c>
      <c r="I1866">
        <v>0</v>
      </c>
      <c r="K1866" s="11">
        <f t="shared" si="29"/>
        <v>1.7991292600010311E-3</v>
      </c>
    </row>
    <row r="1867" spans="1:11" x14ac:dyDescent="0.2">
      <c r="A1867" s="2">
        <v>45174</v>
      </c>
      <c r="B1867">
        <v>4510.06005859375</v>
      </c>
      <c r="C1867">
        <v>4514.2900390625</v>
      </c>
      <c r="D1867">
        <v>4496.009765625</v>
      </c>
      <c r="E1867">
        <v>4496.830078125</v>
      </c>
      <c r="F1867">
        <v>4496.830078125</v>
      </c>
      <c r="G1867">
        <v>3526250000</v>
      </c>
      <c r="H1867">
        <v>0</v>
      </c>
      <c r="I1867">
        <v>0</v>
      </c>
      <c r="K1867" s="11">
        <f t="shared" si="29"/>
        <v>-4.194177587506065E-3</v>
      </c>
    </row>
    <row r="1868" spans="1:11" x14ac:dyDescent="0.2">
      <c r="A1868" s="2">
        <v>45175</v>
      </c>
      <c r="B1868">
        <v>4490.35009765625</v>
      </c>
      <c r="C1868">
        <v>4490.35009765625</v>
      </c>
      <c r="D1868">
        <v>4442.3798828125</v>
      </c>
      <c r="E1868">
        <v>4465.47998046875</v>
      </c>
      <c r="F1868">
        <v>4465.47998046875</v>
      </c>
      <c r="G1868">
        <v>3418850000</v>
      </c>
      <c r="H1868">
        <v>0</v>
      </c>
      <c r="I1868">
        <v>0</v>
      </c>
      <c r="K1868" s="11">
        <f t="shared" si="29"/>
        <v>-6.9715993514528618E-3</v>
      </c>
    </row>
    <row r="1869" spans="1:11" x14ac:dyDescent="0.2">
      <c r="A1869" s="2">
        <v>45176</v>
      </c>
      <c r="B1869">
        <v>4434.5498046875</v>
      </c>
      <c r="C1869">
        <v>4457.81005859375</v>
      </c>
      <c r="D1869">
        <v>4430.4599609375</v>
      </c>
      <c r="E1869">
        <v>4451.14013671875</v>
      </c>
      <c r="F1869">
        <v>4451.14013671875</v>
      </c>
      <c r="G1869">
        <v>3763760000</v>
      </c>
      <c r="H1869">
        <v>0</v>
      </c>
      <c r="I1869">
        <v>0</v>
      </c>
      <c r="K1869" s="11">
        <f t="shared" si="29"/>
        <v>-3.2112659361860363E-3</v>
      </c>
    </row>
    <row r="1870" spans="1:11" x14ac:dyDescent="0.2">
      <c r="A1870" s="2">
        <v>45177</v>
      </c>
      <c r="B1870">
        <v>4451.2998046875</v>
      </c>
      <c r="C1870">
        <v>4473.52978515625</v>
      </c>
      <c r="D1870">
        <v>4448.3798828125</v>
      </c>
      <c r="E1870">
        <v>4457.490234375</v>
      </c>
      <c r="F1870">
        <v>4457.490234375</v>
      </c>
      <c r="G1870">
        <v>3259290000</v>
      </c>
      <c r="H1870">
        <v>0</v>
      </c>
      <c r="I1870">
        <v>0</v>
      </c>
      <c r="K1870" s="11">
        <f t="shared" si="29"/>
        <v>1.4266227216406246E-3</v>
      </c>
    </row>
    <row r="1871" spans="1:11" x14ac:dyDescent="0.2">
      <c r="A1871" s="2">
        <v>45180</v>
      </c>
      <c r="B1871">
        <v>4480.97998046875</v>
      </c>
      <c r="C1871">
        <v>4490.77001953125</v>
      </c>
      <c r="D1871">
        <v>4467.89013671875</v>
      </c>
      <c r="E1871">
        <v>4487.4599609375</v>
      </c>
      <c r="F1871">
        <v>4487.4599609375</v>
      </c>
      <c r="G1871">
        <v>3369920000</v>
      </c>
      <c r="H1871">
        <v>0</v>
      </c>
      <c r="I1871">
        <v>0</v>
      </c>
      <c r="K1871" s="11">
        <f t="shared" si="29"/>
        <v>6.7234531062752012E-3</v>
      </c>
    </row>
    <row r="1872" spans="1:11" x14ac:dyDescent="0.2">
      <c r="A1872" s="2">
        <v>45181</v>
      </c>
      <c r="B1872">
        <v>4473.27001953125</v>
      </c>
      <c r="C1872">
        <v>4487.10986328125</v>
      </c>
      <c r="D1872">
        <v>4456.830078125</v>
      </c>
      <c r="E1872">
        <v>4461.89990234375</v>
      </c>
      <c r="F1872">
        <v>4461.89990234375</v>
      </c>
      <c r="G1872">
        <v>3435740000</v>
      </c>
      <c r="H1872">
        <v>0</v>
      </c>
      <c r="I1872">
        <v>0</v>
      </c>
      <c r="K1872" s="11">
        <f t="shared" si="29"/>
        <v>-5.6958856048289208E-3</v>
      </c>
    </row>
    <row r="1873" spans="1:11" x14ac:dyDescent="0.2">
      <c r="A1873" s="2">
        <v>45182</v>
      </c>
      <c r="B1873">
        <v>4462.64990234375</v>
      </c>
      <c r="C1873">
        <v>4479.39013671875</v>
      </c>
      <c r="D1873">
        <v>4453.52001953125</v>
      </c>
      <c r="E1873">
        <v>4467.43994140625</v>
      </c>
      <c r="F1873">
        <v>4467.43994140625</v>
      </c>
      <c r="G1873">
        <v>3529430000</v>
      </c>
      <c r="H1873">
        <v>0</v>
      </c>
      <c r="I1873">
        <v>0</v>
      </c>
      <c r="K1873" s="11">
        <f t="shared" si="29"/>
        <v>1.2416323054647016E-3</v>
      </c>
    </row>
    <row r="1874" spans="1:11" x14ac:dyDescent="0.2">
      <c r="A1874" s="2">
        <v>45183</v>
      </c>
      <c r="B1874">
        <v>4487.77978515625</v>
      </c>
      <c r="C1874">
        <v>4511.990234375</v>
      </c>
      <c r="D1874">
        <v>4478.68994140625</v>
      </c>
      <c r="E1874">
        <v>4505.10009765625</v>
      </c>
      <c r="F1874">
        <v>4505.10009765625</v>
      </c>
      <c r="G1874">
        <v>3648720000</v>
      </c>
      <c r="H1874">
        <v>0</v>
      </c>
      <c r="I1874">
        <v>0</v>
      </c>
      <c r="K1874" s="11">
        <f t="shared" si="29"/>
        <v>8.4299188671679293E-3</v>
      </c>
    </row>
    <row r="1875" spans="1:11" x14ac:dyDescent="0.2">
      <c r="A1875" s="2">
        <v>45184</v>
      </c>
      <c r="B1875">
        <v>4497.97998046875</v>
      </c>
      <c r="C1875">
        <v>4497.97998046875</v>
      </c>
      <c r="D1875">
        <v>4447.2099609375</v>
      </c>
      <c r="E1875">
        <v>4450.31982421875</v>
      </c>
      <c r="F1875">
        <v>4450.31982421875</v>
      </c>
      <c r="G1875">
        <v>6932230000</v>
      </c>
      <c r="H1875">
        <v>0</v>
      </c>
      <c r="I1875">
        <v>0</v>
      </c>
      <c r="K1875" s="11">
        <f t="shared" si="29"/>
        <v>-1.2159612938677844E-2</v>
      </c>
    </row>
    <row r="1876" spans="1:11" x14ac:dyDescent="0.2">
      <c r="A1876" s="2">
        <v>45187</v>
      </c>
      <c r="B1876">
        <v>4445.1298828125</v>
      </c>
      <c r="C1876">
        <v>4466.35986328125</v>
      </c>
      <c r="D1876">
        <v>4442.10986328125</v>
      </c>
      <c r="E1876">
        <v>4453.52978515625</v>
      </c>
      <c r="F1876">
        <v>4453.52978515625</v>
      </c>
      <c r="G1876">
        <v>3161230000</v>
      </c>
      <c r="H1876">
        <v>0</v>
      </c>
      <c r="I1876">
        <v>0</v>
      </c>
      <c r="K1876" s="11">
        <f t="shared" si="29"/>
        <v>7.2128769712942464E-4</v>
      </c>
    </row>
    <row r="1877" spans="1:11" x14ac:dyDescent="0.2">
      <c r="A1877" s="2">
        <v>45188</v>
      </c>
      <c r="B1877">
        <v>4445.41015625</v>
      </c>
      <c r="C1877">
        <v>4449.85009765625</v>
      </c>
      <c r="D1877">
        <v>4416.60986328125</v>
      </c>
      <c r="E1877">
        <v>4443.9501953125</v>
      </c>
      <c r="F1877">
        <v>4443.9501953125</v>
      </c>
      <c r="G1877">
        <v>3614880000</v>
      </c>
      <c r="H1877">
        <v>0</v>
      </c>
      <c r="I1877">
        <v>0</v>
      </c>
      <c r="K1877" s="11">
        <f t="shared" si="29"/>
        <v>-2.151010615372817E-3</v>
      </c>
    </row>
    <row r="1878" spans="1:11" x14ac:dyDescent="0.2">
      <c r="A1878" s="2">
        <v>45189</v>
      </c>
      <c r="B1878">
        <v>4452.81005859375</v>
      </c>
      <c r="C1878">
        <v>4461.02978515625</v>
      </c>
      <c r="D1878">
        <v>4401.3798828125</v>
      </c>
      <c r="E1878">
        <v>4402.2001953125</v>
      </c>
      <c r="F1878">
        <v>4402.2001953125</v>
      </c>
      <c r="G1878">
        <v>3308450000</v>
      </c>
      <c r="H1878">
        <v>0</v>
      </c>
      <c r="I1878">
        <v>0</v>
      </c>
      <c r="K1878" s="11">
        <f t="shared" si="29"/>
        <v>-9.3947947580595992E-3</v>
      </c>
    </row>
    <row r="1879" spans="1:11" x14ac:dyDescent="0.2">
      <c r="A1879" s="2">
        <v>45190</v>
      </c>
      <c r="B1879">
        <v>4374.35986328125</v>
      </c>
      <c r="C1879">
        <v>4375.7001953125</v>
      </c>
      <c r="D1879">
        <v>4329.169921875</v>
      </c>
      <c r="E1879">
        <v>4330</v>
      </c>
      <c r="F1879">
        <v>4330</v>
      </c>
      <c r="G1879">
        <v>3662340000</v>
      </c>
      <c r="H1879">
        <v>0</v>
      </c>
      <c r="I1879">
        <v>0</v>
      </c>
      <c r="K1879" s="11">
        <f t="shared" si="29"/>
        <v>-1.6400934103219411E-2</v>
      </c>
    </row>
    <row r="1880" spans="1:11" x14ac:dyDescent="0.2">
      <c r="A1880" s="2">
        <v>45191</v>
      </c>
      <c r="B1880">
        <v>4341.740234375</v>
      </c>
      <c r="C1880">
        <v>4357.39990234375</v>
      </c>
      <c r="D1880">
        <v>4316.490234375</v>
      </c>
      <c r="E1880">
        <v>4320.06005859375</v>
      </c>
      <c r="F1880">
        <v>4320.06005859375</v>
      </c>
      <c r="G1880">
        <v>3349570000</v>
      </c>
      <c r="H1880">
        <v>0</v>
      </c>
      <c r="I1880">
        <v>0</v>
      </c>
      <c r="K1880" s="11">
        <f t="shared" si="29"/>
        <v>-2.2955984771939608E-3</v>
      </c>
    </row>
    <row r="1881" spans="1:11" x14ac:dyDescent="0.2">
      <c r="A1881" s="2">
        <v>45194</v>
      </c>
      <c r="B1881">
        <v>4310.6201171875</v>
      </c>
      <c r="C1881">
        <v>4338.509765625</v>
      </c>
      <c r="D1881">
        <v>4302.7001953125</v>
      </c>
      <c r="E1881">
        <v>4337.43994140625</v>
      </c>
      <c r="F1881">
        <v>4337.43994140625</v>
      </c>
      <c r="G1881">
        <v>3195650000</v>
      </c>
      <c r="H1881">
        <v>0</v>
      </c>
      <c r="I1881">
        <v>0</v>
      </c>
      <c r="K1881" s="11">
        <f t="shared" si="29"/>
        <v>4.0230650909416354E-3</v>
      </c>
    </row>
    <row r="1882" spans="1:11" x14ac:dyDescent="0.2">
      <c r="A1882" s="2">
        <v>45195</v>
      </c>
      <c r="B1882">
        <v>4312.8798828125</v>
      </c>
      <c r="C1882">
        <v>4313.009765625</v>
      </c>
      <c r="D1882">
        <v>4265.97998046875</v>
      </c>
      <c r="E1882">
        <v>4273.52978515625</v>
      </c>
      <c r="F1882">
        <v>4273.52978515625</v>
      </c>
      <c r="G1882">
        <v>3472340000</v>
      </c>
      <c r="H1882">
        <v>0</v>
      </c>
      <c r="I1882">
        <v>0</v>
      </c>
      <c r="K1882" s="11">
        <f t="shared" si="29"/>
        <v>-1.4734533990868215E-2</v>
      </c>
    </row>
    <row r="1883" spans="1:11" x14ac:dyDescent="0.2">
      <c r="A1883" s="2">
        <v>45196</v>
      </c>
      <c r="B1883">
        <v>4282.6298828125</v>
      </c>
      <c r="C1883">
        <v>4292.06982421875</v>
      </c>
      <c r="D1883">
        <v>4238.6298828125</v>
      </c>
      <c r="E1883">
        <v>4274.509765625</v>
      </c>
      <c r="F1883">
        <v>4274.509765625</v>
      </c>
      <c r="G1883">
        <v>3875880000</v>
      </c>
      <c r="H1883">
        <v>0</v>
      </c>
      <c r="I1883">
        <v>0</v>
      </c>
      <c r="K1883" s="11">
        <f t="shared" si="29"/>
        <v>2.2931406074522265E-4</v>
      </c>
    </row>
    <row r="1884" spans="1:11" x14ac:dyDescent="0.2">
      <c r="A1884" s="2">
        <v>45197</v>
      </c>
      <c r="B1884">
        <v>4269.64990234375</v>
      </c>
      <c r="C1884">
        <v>4317.27001953125</v>
      </c>
      <c r="D1884">
        <v>4264.3798828125</v>
      </c>
      <c r="E1884">
        <v>4299.7001953125</v>
      </c>
      <c r="F1884">
        <v>4299.7001953125</v>
      </c>
      <c r="G1884">
        <v>3846230000</v>
      </c>
      <c r="H1884">
        <v>0</v>
      </c>
      <c r="I1884">
        <v>0</v>
      </c>
      <c r="K1884" s="11">
        <f t="shared" si="29"/>
        <v>5.8931739705165853E-3</v>
      </c>
    </row>
    <row r="1885" spans="1:11" x14ac:dyDescent="0.2">
      <c r="A1885" s="2">
        <v>45198</v>
      </c>
      <c r="B1885">
        <v>4328.18017578125</v>
      </c>
      <c r="C1885">
        <v>4333.14990234375</v>
      </c>
      <c r="D1885">
        <v>4274.85986328125</v>
      </c>
      <c r="E1885">
        <v>4288.0498046875</v>
      </c>
      <c r="F1885">
        <v>4288.0498046875</v>
      </c>
      <c r="G1885">
        <v>3865960000</v>
      </c>
      <c r="H1885">
        <v>0</v>
      </c>
      <c r="I1885">
        <v>0</v>
      </c>
      <c r="K1885" s="11">
        <f t="shared" si="29"/>
        <v>-2.7095820861420261E-3</v>
      </c>
    </row>
    <row r="1886" spans="1:11" x14ac:dyDescent="0.2">
      <c r="A1886" s="2">
        <v>45201</v>
      </c>
      <c r="B1886">
        <v>4284.52001953125</v>
      </c>
      <c r="C1886">
        <v>4300.580078125</v>
      </c>
      <c r="D1886">
        <v>4260.2099609375</v>
      </c>
      <c r="E1886">
        <v>4288.39013671875</v>
      </c>
      <c r="F1886">
        <v>4288.39013671875</v>
      </c>
      <c r="G1886">
        <v>3938660000</v>
      </c>
      <c r="H1886">
        <v>0</v>
      </c>
      <c r="I1886">
        <v>0</v>
      </c>
      <c r="K1886" s="11">
        <f t="shared" si="29"/>
        <v>7.9367555590792449E-5</v>
      </c>
    </row>
    <row r="1887" spans="1:11" x14ac:dyDescent="0.2">
      <c r="A1887" s="2">
        <v>45202</v>
      </c>
      <c r="B1887">
        <v>4269.75</v>
      </c>
      <c r="C1887">
        <v>4281.14990234375</v>
      </c>
      <c r="D1887">
        <v>4216.4501953125</v>
      </c>
      <c r="E1887">
        <v>4229.4501953125</v>
      </c>
      <c r="F1887">
        <v>4229.4501953125</v>
      </c>
      <c r="G1887">
        <v>3953830000</v>
      </c>
      <c r="H1887">
        <v>0</v>
      </c>
      <c r="I1887">
        <v>0</v>
      </c>
      <c r="K1887" s="11">
        <f t="shared" si="29"/>
        <v>-1.3744071674259506E-2</v>
      </c>
    </row>
    <row r="1888" spans="1:11" x14ac:dyDescent="0.2">
      <c r="A1888" s="2">
        <v>45203</v>
      </c>
      <c r="B1888">
        <v>4233.830078125</v>
      </c>
      <c r="C1888">
        <v>4268.5</v>
      </c>
      <c r="D1888">
        <v>4220.47998046875</v>
      </c>
      <c r="E1888">
        <v>4263.75</v>
      </c>
      <c r="F1888">
        <v>4263.75</v>
      </c>
      <c r="G1888">
        <v>3777600000</v>
      </c>
      <c r="H1888">
        <v>0</v>
      </c>
      <c r="I1888">
        <v>0</v>
      </c>
      <c r="K1888" s="11">
        <f t="shared" si="29"/>
        <v>8.1097549571607086E-3</v>
      </c>
    </row>
    <row r="1889" spans="1:11" x14ac:dyDescent="0.2">
      <c r="A1889" s="2">
        <v>45204</v>
      </c>
      <c r="B1889">
        <v>4259.31005859375</v>
      </c>
      <c r="C1889">
        <v>4267.1298828125</v>
      </c>
      <c r="D1889">
        <v>4225.91015625</v>
      </c>
      <c r="E1889">
        <v>4258.18994140625</v>
      </c>
      <c r="F1889">
        <v>4258.18994140625</v>
      </c>
      <c r="G1889">
        <v>3581470000</v>
      </c>
      <c r="H1889">
        <v>0</v>
      </c>
      <c r="I1889">
        <v>0</v>
      </c>
      <c r="K1889" s="11">
        <f t="shared" si="29"/>
        <v>-1.304030159777203E-3</v>
      </c>
    </row>
    <row r="1890" spans="1:11" x14ac:dyDescent="0.2">
      <c r="A1890" s="2">
        <v>45205</v>
      </c>
      <c r="B1890">
        <v>4234.7900390625</v>
      </c>
      <c r="C1890">
        <v>4324.10009765625</v>
      </c>
      <c r="D1890">
        <v>4219.5498046875</v>
      </c>
      <c r="E1890">
        <v>4308.5</v>
      </c>
      <c r="F1890">
        <v>4308.5</v>
      </c>
      <c r="G1890">
        <v>3902030000</v>
      </c>
      <c r="H1890">
        <v>0</v>
      </c>
      <c r="I1890">
        <v>0</v>
      </c>
      <c r="K1890" s="11">
        <f t="shared" si="29"/>
        <v>1.1814893014644445E-2</v>
      </c>
    </row>
    <row r="1891" spans="1:11" x14ac:dyDescent="0.2">
      <c r="A1891" s="2">
        <v>45208</v>
      </c>
      <c r="B1891">
        <v>4289.02001953125</v>
      </c>
      <c r="C1891">
        <v>4341.72998046875</v>
      </c>
      <c r="D1891">
        <v>4283.7900390625</v>
      </c>
      <c r="E1891">
        <v>4335.66015625</v>
      </c>
      <c r="F1891">
        <v>4335.66015625</v>
      </c>
      <c r="G1891">
        <v>3174630000</v>
      </c>
      <c r="H1891">
        <v>0</v>
      </c>
      <c r="I1891">
        <v>0</v>
      </c>
      <c r="K1891" s="11">
        <f t="shared" si="29"/>
        <v>6.3038542996403102E-3</v>
      </c>
    </row>
    <row r="1892" spans="1:11" x14ac:dyDescent="0.2">
      <c r="A1892" s="2">
        <v>45209</v>
      </c>
      <c r="B1892">
        <v>4339.75</v>
      </c>
      <c r="C1892">
        <v>4385.4599609375</v>
      </c>
      <c r="D1892">
        <v>4339.64013671875</v>
      </c>
      <c r="E1892">
        <v>4358.240234375</v>
      </c>
      <c r="F1892">
        <v>4358.240234375</v>
      </c>
      <c r="G1892">
        <v>3520240000</v>
      </c>
      <c r="H1892">
        <v>0</v>
      </c>
      <c r="I1892">
        <v>0</v>
      </c>
      <c r="K1892" s="11">
        <f t="shared" si="29"/>
        <v>5.2079907813922244E-3</v>
      </c>
    </row>
    <row r="1893" spans="1:11" x14ac:dyDescent="0.2">
      <c r="A1893" s="2">
        <v>45210</v>
      </c>
      <c r="B1893">
        <v>4366.58984375</v>
      </c>
      <c r="C1893">
        <v>4378.64013671875</v>
      </c>
      <c r="D1893">
        <v>4345.33984375</v>
      </c>
      <c r="E1893">
        <v>4376.9501953125</v>
      </c>
      <c r="F1893">
        <v>4376.9501953125</v>
      </c>
      <c r="G1893">
        <v>3601660000</v>
      </c>
      <c r="H1893">
        <v>0</v>
      </c>
      <c r="I1893">
        <v>0</v>
      </c>
      <c r="K1893" s="11">
        <f t="shared" si="29"/>
        <v>4.2930081710337298E-3</v>
      </c>
    </row>
    <row r="1894" spans="1:11" x14ac:dyDescent="0.2">
      <c r="A1894" s="2">
        <v>45211</v>
      </c>
      <c r="B1894">
        <v>4380.93994140625</v>
      </c>
      <c r="C1894">
        <v>4385.85009765625</v>
      </c>
      <c r="D1894">
        <v>4325.43017578125</v>
      </c>
      <c r="E1894">
        <v>4349.60986328125</v>
      </c>
      <c r="F1894">
        <v>4349.60986328125</v>
      </c>
      <c r="G1894">
        <v>3713140000</v>
      </c>
      <c r="H1894">
        <v>0</v>
      </c>
      <c r="I1894">
        <v>0</v>
      </c>
      <c r="K1894" s="11">
        <f t="shared" si="29"/>
        <v>-6.2464343461184901E-3</v>
      </c>
    </row>
    <row r="1895" spans="1:11" x14ac:dyDescent="0.2">
      <c r="A1895" s="2">
        <v>45212</v>
      </c>
      <c r="B1895">
        <v>4360.490234375</v>
      </c>
      <c r="C1895">
        <v>4377.10009765625</v>
      </c>
      <c r="D1895">
        <v>4311.97021484375</v>
      </c>
      <c r="E1895">
        <v>4327.77978515625</v>
      </c>
      <c r="F1895">
        <v>4327.77978515625</v>
      </c>
      <c r="G1895">
        <v>3566560000</v>
      </c>
      <c r="H1895">
        <v>0</v>
      </c>
      <c r="I1895">
        <v>0</v>
      </c>
      <c r="K1895" s="11">
        <f t="shared" si="29"/>
        <v>-5.018858888767519E-3</v>
      </c>
    </row>
    <row r="1896" spans="1:11" x14ac:dyDescent="0.2">
      <c r="A1896" s="2">
        <v>45215</v>
      </c>
      <c r="B1896">
        <v>4342.3701171875</v>
      </c>
      <c r="C1896">
        <v>4383.330078125</v>
      </c>
      <c r="D1896">
        <v>4342.3701171875</v>
      </c>
      <c r="E1896">
        <v>4373.6298828125</v>
      </c>
      <c r="F1896">
        <v>4373.6298828125</v>
      </c>
      <c r="G1896">
        <v>3409960000</v>
      </c>
      <c r="H1896">
        <v>0</v>
      </c>
      <c r="I1896">
        <v>0</v>
      </c>
      <c r="K1896" s="11">
        <f t="shared" si="29"/>
        <v>1.059436938392988E-2</v>
      </c>
    </row>
    <row r="1897" spans="1:11" x14ac:dyDescent="0.2">
      <c r="A1897" s="2">
        <v>45216</v>
      </c>
      <c r="B1897">
        <v>4345.22998046875</v>
      </c>
      <c r="C1897">
        <v>4393.56982421875</v>
      </c>
      <c r="D1897">
        <v>4337.5400390625</v>
      </c>
      <c r="E1897">
        <v>4373.2001953125</v>
      </c>
      <c r="F1897">
        <v>4373.2001953125</v>
      </c>
      <c r="G1897">
        <v>3794850000</v>
      </c>
      <c r="H1897">
        <v>0</v>
      </c>
      <c r="I1897">
        <v>0</v>
      </c>
      <c r="K1897" s="11">
        <f t="shared" si="29"/>
        <v>-9.824505308242415E-5</v>
      </c>
    </row>
    <row r="1898" spans="1:11" x14ac:dyDescent="0.2">
      <c r="A1898" s="2">
        <v>45217</v>
      </c>
      <c r="B1898">
        <v>4357.35009765625</v>
      </c>
      <c r="C1898">
        <v>4364.2001953125</v>
      </c>
      <c r="D1898">
        <v>4303.83984375</v>
      </c>
      <c r="E1898">
        <v>4314.60009765625</v>
      </c>
      <c r="F1898">
        <v>4314.60009765625</v>
      </c>
      <c r="G1898">
        <v>3686030000</v>
      </c>
      <c r="H1898">
        <v>0</v>
      </c>
      <c r="I1898">
        <v>0</v>
      </c>
      <c r="K1898" s="11">
        <f t="shared" si="29"/>
        <v>-1.3399820506516447E-2</v>
      </c>
    </row>
    <row r="1899" spans="1:11" x14ac:dyDescent="0.2">
      <c r="A1899" s="2">
        <v>45218</v>
      </c>
      <c r="B1899">
        <v>4321.35986328125</v>
      </c>
      <c r="C1899">
        <v>4339.5400390625</v>
      </c>
      <c r="D1899">
        <v>4269.68994140625</v>
      </c>
      <c r="E1899">
        <v>4278</v>
      </c>
      <c r="F1899">
        <v>4278</v>
      </c>
      <c r="G1899">
        <v>3969730000</v>
      </c>
      <c r="H1899">
        <v>0</v>
      </c>
      <c r="I1899">
        <v>0</v>
      </c>
      <c r="K1899" s="11">
        <f t="shared" si="29"/>
        <v>-8.4828481963210578E-3</v>
      </c>
    </row>
    <row r="1900" spans="1:11" x14ac:dyDescent="0.2">
      <c r="A1900" s="2">
        <v>45219</v>
      </c>
      <c r="B1900">
        <v>4273.85009765625</v>
      </c>
      <c r="C1900">
        <v>4276.56005859375</v>
      </c>
      <c r="D1900">
        <v>4223.02978515625</v>
      </c>
      <c r="E1900">
        <v>4224.16015625</v>
      </c>
      <c r="F1900">
        <v>4224.16015625</v>
      </c>
      <c r="G1900">
        <v>4004030000</v>
      </c>
      <c r="H1900">
        <v>0</v>
      </c>
      <c r="I1900">
        <v>0</v>
      </c>
      <c r="K1900" s="11">
        <f t="shared" si="29"/>
        <v>-1.2585283719027562E-2</v>
      </c>
    </row>
    <row r="1901" spans="1:11" x14ac:dyDescent="0.2">
      <c r="A1901" s="2">
        <v>45222</v>
      </c>
      <c r="B1901">
        <v>4210.39990234375</v>
      </c>
      <c r="C1901">
        <v>4255.83984375</v>
      </c>
      <c r="D1901">
        <v>4189.22021484375</v>
      </c>
      <c r="E1901">
        <v>4217.0400390625</v>
      </c>
      <c r="F1901">
        <v>4217.0400390625</v>
      </c>
      <c r="G1901">
        <v>3776100000</v>
      </c>
      <c r="H1901">
        <v>0</v>
      </c>
      <c r="I1901">
        <v>0</v>
      </c>
      <c r="K1901" s="11">
        <f t="shared" si="29"/>
        <v>-1.6855698941634634E-3</v>
      </c>
    </row>
    <row r="1902" spans="1:11" x14ac:dyDescent="0.2">
      <c r="A1902" s="2">
        <v>45223</v>
      </c>
      <c r="B1902">
        <v>4235.7900390625</v>
      </c>
      <c r="C1902">
        <v>4259.3798828125</v>
      </c>
      <c r="D1902">
        <v>4219.43017578125</v>
      </c>
      <c r="E1902">
        <v>4247.68017578125</v>
      </c>
      <c r="F1902">
        <v>4247.68017578125</v>
      </c>
      <c r="G1902">
        <v>3821820000</v>
      </c>
      <c r="H1902">
        <v>0</v>
      </c>
      <c r="I1902">
        <v>0</v>
      </c>
      <c r="K1902" s="11">
        <f t="shared" si="29"/>
        <v>7.2657922227272742E-3</v>
      </c>
    </row>
    <row r="1903" spans="1:11" x14ac:dyDescent="0.2">
      <c r="A1903" s="2">
        <v>45224</v>
      </c>
      <c r="B1903">
        <v>4232.419921875</v>
      </c>
      <c r="C1903">
        <v>4232.419921875</v>
      </c>
      <c r="D1903">
        <v>4181.419921875</v>
      </c>
      <c r="E1903">
        <v>4186.77001953125</v>
      </c>
      <c r="F1903">
        <v>4186.77001953125</v>
      </c>
      <c r="G1903">
        <v>3869370000</v>
      </c>
      <c r="H1903">
        <v>0</v>
      </c>
      <c r="I1903">
        <v>0</v>
      </c>
      <c r="K1903" s="11">
        <f t="shared" si="29"/>
        <v>-1.4339628627712542E-2</v>
      </c>
    </row>
    <row r="1904" spans="1:11" x14ac:dyDescent="0.2">
      <c r="A1904" s="2">
        <v>45225</v>
      </c>
      <c r="B1904">
        <v>4175.990234375</v>
      </c>
      <c r="C1904">
        <v>4183.60009765625</v>
      </c>
      <c r="D1904">
        <v>4127.89990234375</v>
      </c>
      <c r="E1904">
        <v>4137.22998046875</v>
      </c>
      <c r="F1904">
        <v>4137.22998046875</v>
      </c>
      <c r="G1904">
        <v>4277640000</v>
      </c>
      <c r="H1904">
        <v>0</v>
      </c>
      <c r="I1904">
        <v>0</v>
      </c>
      <c r="K1904" s="11">
        <f t="shared" si="29"/>
        <v>-1.1832519778109618E-2</v>
      </c>
    </row>
    <row r="1905" spans="1:11" x14ac:dyDescent="0.2">
      <c r="A1905" s="2">
        <v>45226</v>
      </c>
      <c r="B1905">
        <v>4152.93017578125</v>
      </c>
      <c r="C1905">
        <v>4156.7001953125</v>
      </c>
      <c r="D1905">
        <v>4103.77978515625</v>
      </c>
      <c r="E1905">
        <v>4117.3701171875</v>
      </c>
      <c r="F1905">
        <v>4117.3701171875</v>
      </c>
      <c r="G1905">
        <v>4019500000</v>
      </c>
      <c r="H1905">
        <v>0</v>
      </c>
      <c r="I1905">
        <v>0</v>
      </c>
      <c r="K1905" s="11">
        <f t="shared" si="29"/>
        <v>-4.8002802297685276E-3</v>
      </c>
    </row>
    <row r="1906" spans="1:11" x14ac:dyDescent="0.2">
      <c r="A1906" s="2">
        <v>45229</v>
      </c>
      <c r="B1906">
        <v>4139.39013671875</v>
      </c>
      <c r="C1906">
        <v>4177.47021484375</v>
      </c>
      <c r="D1906">
        <v>4132.93994140625</v>
      </c>
      <c r="E1906">
        <v>4166.81982421875</v>
      </c>
      <c r="F1906">
        <v>4166.81982421875</v>
      </c>
      <c r="G1906">
        <v>3911140000</v>
      </c>
      <c r="H1906">
        <v>0</v>
      </c>
      <c r="I1906">
        <v>0</v>
      </c>
      <c r="K1906" s="11">
        <f t="shared" si="29"/>
        <v>1.2010022325859904E-2</v>
      </c>
    </row>
    <row r="1907" spans="1:11" x14ac:dyDescent="0.2">
      <c r="A1907" s="2">
        <v>45230</v>
      </c>
      <c r="B1907">
        <v>4171.330078125</v>
      </c>
      <c r="C1907">
        <v>4195.5498046875</v>
      </c>
      <c r="D1907">
        <v>4153.1201171875</v>
      </c>
      <c r="E1907">
        <v>4193.7998046875</v>
      </c>
      <c r="F1907">
        <v>4193.7998046875</v>
      </c>
      <c r="G1907">
        <v>4249470000</v>
      </c>
      <c r="H1907">
        <v>0</v>
      </c>
      <c r="I1907">
        <v>0</v>
      </c>
      <c r="K1907" s="11">
        <f t="shared" si="29"/>
        <v>6.4749573072333533E-3</v>
      </c>
    </row>
    <row r="1908" spans="1:11" x14ac:dyDescent="0.2">
      <c r="A1908" s="2">
        <v>45231</v>
      </c>
      <c r="B1908">
        <v>4201.27001953125</v>
      </c>
      <c r="C1908">
        <v>4245.64013671875</v>
      </c>
      <c r="D1908">
        <v>4197.740234375</v>
      </c>
      <c r="E1908">
        <v>4237.85986328125</v>
      </c>
      <c r="F1908">
        <v>4237.85986328125</v>
      </c>
      <c r="G1908">
        <v>4224900000</v>
      </c>
      <c r="H1908">
        <v>0</v>
      </c>
      <c r="I1908">
        <v>0</v>
      </c>
      <c r="K1908" s="11">
        <f t="shared" si="29"/>
        <v>1.0505999486313922E-2</v>
      </c>
    </row>
    <row r="1909" spans="1:11" x14ac:dyDescent="0.2">
      <c r="A1909" s="2">
        <v>45232</v>
      </c>
      <c r="B1909">
        <v>4268.259765625</v>
      </c>
      <c r="C1909">
        <v>4319.72021484375</v>
      </c>
      <c r="D1909">
        <v>4268.259765625</v>
      </c>
      <c r="E1909">
        <v>4317.77978515625</v>
      </c>
      <c r="F1909">
        <v>4317.77978515625</v>
      </c>
      <c r="G1909">
        <v>4669780000</v>
      </c>
      <c r="H1909">
        <v>0</v>
      </c>
      <c r="I1909">
        <v>0</v>
      </c>
      <c r="K1909" s="11">
        <f t="shared" si="29"/>
        <v>1.885855702012762E-2</v>
      </c>
    </row>
    <row r="1910" spans="1:11" x14ac:dyDescent="0.2">
      <c r="A1910" s="2">
        <v>45233</v>
      </c>
      <c r="B1910">
        <v>4334.22998046875</v>
      </c>
      <c r="C1910">
        <v>4373.6201171875</v>
      </c>
      <c r="D1910">
        <v>4334.22998046875</v>
      </c>
      <c r="E1910">
        <v>4358.33984375</v>
      </c>
      <c r="F1910">
        <v>4358.33984375</v>
      </c>
      <c r="G1910">
        <v>4570960000</v>
      </c>
      <c r="H1910">
        <v>0</v>
      </c>
      <c r="I1910">
        <v>0</v>
      </c>
      <c r="K1910" s="11">
        <f t="shared" si="29"/>
        <v>9.3937302530313627E-3</v>
      </c>
    </row>
    <row r="1911" spans="1:11" x14ac:dyDescent="0.2">
      <c r="A1911" s="2">
        <v>45236</v>
      </c>
      <c r="B1911">
        <v>4364.27001953125</v>
      </c>
      <c r="C1911">
        <v>4372.2099609375</v>
      </c>
      <c r="D1911">
        <v>4347.52978515625</v>
      </c>
      <c r="E1911">
        <v>4365.97998046875</v>
      </c>
      <c r="F1911">
        <v>4365.97998046875</v>
      </c>
      <c r="G1911">
        <v>3656340000</v>
      </c>
      <c r="H1911">
        <v>0</v>
      </c>
      <c r="I1911">
        <v>0</v>
      </c>
      <c r="K1911" s="11">
        <f t="shared" si="29"/>
        <v>1.7529924220356374E-3</v>
      </c>
    </row>
    <row r="1912" spans="1:11" x14ac:dyDescent="0.2">
      <c r="A1912" s="2">
        <v>45237</v>
      </c>
      <c r="B1912">
        <v>4366.2099609375</v>
      </c>
      <c r="C1912">
        <v>4386.259765625</v>
      </c>
      <c r="D1912">
        <v>4355.41015625</v>
      </c>
      <c r="E1912">
        <v>4378.3798828125</v>
      </c>
      <c r="F1912">
        <v>4378.3798828125</v>
      </c>
      <c r="G1912">
        <v>3791230000</v>
      </c>
      <c r="H1912">
        <v>0</v>
      </c>
      <c r="I1912">
        <v>0</v>
      </c>
      <c r="K1912" s="11">
        <f t="shared" si="29"/>
        <v>2.8401189192852616E-3</v>
      </c>
    </row>
    <row r="1913" spans="1:11" x14ac:dyDescent="0.2">
      <c r="A1913" s="2">
        <v>45238</v>
      </c>
      <c r="B1913">
        <v>4384.3701171875</v>
      </c>
      <c r="C1913">
        <v>4391.2001953125</v>
      </c>
      <c r="D1913">
        <v>4359.759765625</v>
      </c>
      <c r="E1913">
        <v>4382.77978515625</v>
      </c>
      <c r="F1913">
        <v>4382.77978515625</v>
      </c>
      <c r="G1913">
        <v>3729510000</v>
      </c>
      <c r="H1913">
        <v>0</v>
      </c>
      <c r="I1913">
        <v>0</v>
      </c>
      <c r="K1913" s="11">
        <f t="shared" si="29"/>
        <v>1.0049156221052513E-3</v>
      </c>
    </row>
    <row r="1914" spans="1:11" x14ac:dyDescent="0.2">
      <c r="A1914" s="2">
        <v>45239</v>
      </c>
      <c r="B1914">
        <v>4391.41015625</v>
      </c>
      <c r="C1914">
        <v>4393.39990234375</v>
      </c>
      <c r="D1914">
        <v>4343.93994140625</v>
      </c>
      <c r="E1914">
        <v>4347.35009765625</v>
      </c>
      <c r="F1914">
        <v>4347.35009765625</v>
      </c>
      <c r="G1914">
        <v>3900780000</v>
      </c>
      <c r="H1914">
        <v>0</v>
      </c>
      <c r="I1914">
        <v>0</v>
      </c>
      <c r="K1914" s="11">
        <f t="shared" si="29"/>
        <v>-8.0838393067328429E-3</v>
      </c>
    </row>
    <row r="1915" spans="1:11" x14ac:dyDescent="0.2">
      <c r="A1915" s="2">
        <v>45240</v>
      </c>
      <c r="B1915">
        <v>4364.14990234375</v>
      </c>
      <c r="C1915">
        <v>4418.02978515625</v>
      </c>
      <c r="D1915">
        <v>4353.33984375</v>
      </c>
      <c r="E1915">
        <v>4415.240234375</v>
      </c>
      <c r="F1915">
        <v>4415.240234375</v>
      </c>
      <c r="G1915">
        <v>3665080000</v>
      </c>
      <c r="H1915">
        <v>0</v>
      </c>
      <c r="I1915">
        <v>0</v>
      </c>
      <c r="K1915" s="11">
        <f t="shared" si="29"/>
        <v>1.5616441094852496E-2</v>
      </c>
    </row>
    <row r="1916" spans="1:11" x14ac:dyDescent="0.2">
      <c r="A1916" s="2">
        <v>45243</v>
      </c>
      <c r="B1916">
        <v>4406.66015625</v>
      </c>
      <c r="C1916">
        <v>4421.759765625</v>
      </c>
      <c r="D1916">
        <v>4393.81982421875</v>
      </c>
      <c r="E1916">
        <v>4411.5498046875</v>
      </c>
      <c r="F1916">
        <v>4411.5498046875</v>
      </c>
      <c r="G1916">
        <v>3326240000</v>
      </c>
      <c r="H1916">
        <v>0</v>
      </c>
      <c r="I1916">
        <v>0</v>
      </c>
      <c r="K1916" s="11">
        <f t="shared" si="29"/>
        <v>-8.3583893324035152E-4</v>
      </c>
    </row>
    <row r="1917" spans="1:11" x14ac:dyDescent="0.2">
      <c r="A1917" s="2">
        <v>45244</v>
      </c>
      <c r="B1917">
        <v>4458.97021484375</v>
      </c>
      <c r="C1917">
        <v>4508.669921875</v>
      </c>
      <c r="D1917">
        <v>4458.97021484375</v>
      </c>
      <c r="E1917">
        <v>4495.7001953125</v>
      </c>
      <c r="F1917">
        <v>4495.7001953125</v>
      </c>
      <c r="G1917">
        <v>4700350000</v>
      </c>
      <c r="H1917">
        <v>0</v>
      </c>
      <c r="I1917">
        <v>0</v>
      </c>
      <c r="K1917" s="11">
        <f t="shared" si="29"/>
        <v>1.9075017703661823E-2</v>
      </c>
    </row>
    <row r="1918" spans="1:11" x14ac:dyDescent="0.2">
      <c r="A1918" s="2">
        <v>45245</v>
      </c>
      <c r="B1918">
        <v>4505.2998046875</v>
      </c>
      <c r="C1918">
        <v>4521.169921875</v>
      </c>
      <c r="D1918">
        <v>4495.31005859375</v>
      </c>
      <c r="E1918">
        <v>4502.8798828125</v>
      </c>
      <c r="F1918">
        <v>4502.8798828125</v>
      </c>
      <c r="G1918">
        <v>4347170000</v>
      </c>
      <c r="H1918">
        <v>0</v>
      </c>
      <c r="I1918">
        <v>0</v>
      </c>
      <c r="K1918" s="11">
        <f t="shared" si="29"/>
        <v>1.5970120755575135E-3</v>
      </c>
    </row>
    <row r="1919" spans="1:11" x14ac:dyDescent="0.2">
      <c r="A1919" s="2">
        <v>45246</v>
      </c>
      <c r="B1919">
        <v>4497.080078125</v>
      </c>
      <c r="C1919">
        <v>4511.990234375</v>
      </c>
      <c r="D1919">
        <v>4487.830078125</v>
      </c>
      <c r="E1919">
        <v>4508.240234375</v>
      </c>
      <c r="F1919">
        <v>4508.240234375</v>
      </c>
      <c r="G1919">
        <v>3964520000</v>
      </c>
      <c r="H1919">
        <v>0</v>
      </c>
      <c r="I1919">
        <v>0</v>
      </c>
      <c r="K1919" s="11">
        <f t="shared" si="29"/>
        <v>1.1904273935798848E-3</v>
      </c>
    </row>
    <row r="1920" spans="1:11" x14ac:dyDescent="0.2">
      <c r="A1920" s="2">
        <v>45247</v>
      </c>
      <c r="B1920">
        <v>4509.5498046875</v>
      </c>
      <c r="C1920">
        <v>4520.1201171875</v>
      </c>
      <c r="D1920">
        <v>4499.66015625</v>
      </c>
      <c r="E1920">
        <v>4514.02001953125</v>
      </c>
      <c r="F1920">
        <v>4514.02001953125</v>
      </c>
      <c r="G1920">
        <v>3777240000</v>
      </c>
      <c r="H1920">
        <v>0</v>
      </c>
      <c r="I1920">
        <v>0</v>
      </c>
      <c r="K1920" s="11">
        <f t="shared" si="29"/>
        <v>1.2820490603360213E-3</v>
      </c>
    </row>
    <row r="1921" spans="1:11" x14ac:dyDescent="0.2">
      <c r="A1921" s="2">
        <v>45250</v>
      </c>
      <c r="B1921">
        <v>4511.7001953125</v>
      </c>
      <c r="C1921">
        <v>4557.10986328125</v>
      </c>
      <c r="D1921">
        <v>4510.35986328125</v>
      </c>
      <c r="E1921">
        <v>4547.3798828125</v>
      </c>
      <c r="F1921">
        <v>4547.3798828125</v>
      </c>
      <c r="G1921">
        <v>3644790000</v>
      </c>
      <c r="H1921">
        <v>0</v>
      </c>
      <c r="I1921">
        <v>0</v>
      </c>
      <c r="K1921" s="11">
        <f t="shared" si="29"/>
        <v>7.3902780973298388E-3</v>
      </c>
    </row>
    <row r="1922" spans="1:11" x14ac:dyDescent="0.2">
      <c r="A1922" s="2">
        <v>45251</v>
      </c>
      <c r="B1922">
        <v>4538.77001953125</v>
      </c>
      <c r="C1922">
        <v>4542.14013671875</v>
      </c>
      <c r="D1922">
        <v>4525.509765625</v>
      </c>
      <c r="E1922">
        <v>4538.18994140625</v>
      </c>
      <c r="F1922">
        <v>4538.18994140625</v>
      </c>
      <c r="G1922">
        <v>3511080000</v>
      </c>
      <c r="H1922">
        <v>0</v>
      </c>
      <c r="I1922">
        <v>0</v>
      </c>
      <c r="K1922" s="11">
        <f t="shared" si="29"/>
        <v>-2.0209310950652926E-3</v>
      </c>
    </row>
    <row r="1923" spans="1:11" x14ac:dyDescent="0.2">
      <c r="A1923" s="2">
        <v>45252</v>
      </c>
      <c r="B1923">
        <v>4553.0400390625</v>
      </c>
      <c r="C1923">
        <v>4568.43017578125</v>
      </c>
      <c r="D1923">
        <v>4545.0498046875</v>
      </c>
      <c r="E1923">
        <v>4556.6201171875</v>
      </c>
      <c r="F1923">
        <v>4556.6201171875</v>
      </c>
      <c r="G1923">
        <v>3042810000</v>
      </c>
      <c r="H1923">
        <v>0</v>
      </c>
      <c r="I1923">
        <v>0</v>
      </c>
      <c r="K1923" s="11">
        <f t="shared" si="29"/>
        <v>4.06112922094648E-3</v>
      </c>
    </row>
    <row r="1924" spans="1:11" x14ac:dyDescent="0.2">
      <c r="A1924" s="2">
        <v>45254</v>
      </c>
      <c r="B1924">
        <v>4555.83984375</v>
      </c>
      <c r="C1924">
        <v>4560.31005859375</v>
      </c>
      <c r="D1924">
        <v>4552.7998046875</v>
      </c>
      <c r="E1924">
        <v>4559.33984375</v>
      </c>
      <c r="F1924">
        <v>4559.33984375</v>
      </c>
      <c r="G1924">
        <v>1639500000</v>
      </c>
      <c r="H1924">
        <v>0</v>
      </c>
      <c r="I1924">
        <v>0</v>
      </c>
      <c r="K1924" s="11">
        <f t="shared" ref="K1924:K1987" si="30">(E1924/E1923)-1</f>
        <v>5.9687366788407914E-4</v>
      </c>
    </row>
    <row r="1925" spans="1:11" x14ac:dyDescent="0.2">
      <c r="A1925" s="2">
        <v>45257</v>
      </c>
      <c r="B1925">
        <v>4554.85986328125</v>
      </c>
      <c r="C1925">
        <v>4560.52001953125</v>
      </c>
      <c r="D1925">
        <v>4546.31982421875</v>
      </c>
      <c r="E1925">
        <v>4550.43017578125</v>
      </c>
      <c r="F1925">
        <v>4550.43017578125</v>
      </c>
      <c r="G1925">
        <v>3403990000</v>
      </c>
      <c r="H1925">
        <v>0</v>
      </c>
      <c r="I1925">
        <v>0</v>
      </c>
      <c r="K1925" s="11">
        <f t="shared" si="30"/>
        <v>-1.9541574600900891E-3</v>
      </c>
    </row>
    <row r="1926" spans="1:11" x14ac:dyDescent="0.2">
      <c r="A1926" s="2">
        <v>45258</v>
      </c>
      <c r="B1926">
        <v>4545.5498046875</v>
      </c>
      <c r="C1926">
        <v>4568.14013671875</v>
      </c>
      <c r="D1926">
        <v>4540.509765625</v>
      </c>
      <c r="E1926">
        <v>4554.89013671875</v>
      </c>
      <c r="F1926">
        <v>4554.89013671875</v>
      </c>
      <c r="G1926">
        <v>3586240000</v>
      </c>
      <c r="H1926">
        <v>0</v>
      </c>
      <c r="I1926">
        <v>0</v>
      </c>
      <c r="K1926" s="11">
        <f t="shared" si="30"/>
        <v>9.8011853060331333E-4</v>
      </c>
    </row>
    <row r="1927" spans="1:11" x14ac:dyDescent="0.2">
      <c r="A1927" s="2">
        <v>45259</v>
      </c>
      <c r="B1927">
        <v>4571.83984375</v>
      </c>
      <c r="C1927">
        <v>4587.64013671875</v>
      </c>
      <c r="D1927">
        <v>4547.14990234375</v>
      </c>
      <c r="E1927">
        <v>4550.580078125</v>
      </c>
      <c r="F1927">
        <v>4550.580078125</v>
      </c>
      <c r="G1927">
        <v>4418760000</v>
      </c>
      <c r="H1927">
        <v>0</v>
      </c>
      <c r="I1927">
        <v>0</v>
      </c>
      <c r="K1927" s="11">
        <f t="shared" si="30"/>
        <v>-9.4624863923831182E-4</v>
      </c>
    </row>
    <row r="1928" spans="1:11" x14ac:dyDescent="0.2">
      <c r="A1928" s="2">
        <v>45260</v>
      </c>
      <c r="B1928">
        <v>4554.8701171875</v>
      </c>
      <c r="C1928">
        <v>4569.89013671875</v>
      </c>
      <c r="D1928">
        <v>4537.240234375</v>
      </c>
      <c r="E1928">
        <v>4567.7998046875</v>
      </c>
      <c r="F1928">
        <v>4567.7998046875</v>
      </c>
      <c r="G1928">
        <v>5399300000</v>
      </c>
      <c r="H1928">
        <v>0</v>
      </c>
      <c r="I1928">
        <v>0</v>
      </c>
      <c r="K1928" s="11">
        <f t="shared" si="30"/>
        <v>3.7840728581564065E-3</v>
      </c>
    </row>
    <row r="1929" spans="1:11" x14ac:dyDescent="0.2">
      <c r="A1929" s="2">
        <v>45261</v>
      </c>
      <c r="B1929">
        <v>4559.43017578125</v>
      </c>
      <c r="C1929">
        <v>4599.39013671875</v>
      </c>
      <c r="D1929">
        <v>4554.7099609375</v>
      </c>
      <c r="E1929">
        <v>4594.6298828125</v>
      </c>
      <c r="F1929">
        <v>4594.6298828125</v>
      </c>
      <c r="G1929">
        <v>4397120000</v>
      </c>
      <c r="H1929">
        <v>0</v>
      </c>
      <c r="I1929">
        <v>0</v>
      </c>
      <c r="K1929" s="11">
        <f t="shared" si="30"/>
        <v>5.8737421236076948E-3</v>
      </c>
    </row>
    <row r="1930" spans="1:11" x14ac:dyDescent="0.2">
      <c r="A1930" s="2">
        <v>45264</v>
      </c>
      <c r="B1930">
        <v>4564.3701171875</v>
      </c>
      <c r="C1930">
        <v>4572.3701171875</v>
      </c>
      <c r="D1930">
        <v>4546.72021484375</v>
      </c>
      <c r="E1930">
        <v>4569.77978515625</v>
      </c>
      <c r="F1930">
        <v>4569.77978515625</v>
      </c>
      <c r="G1930">
        <v>4369910000</v>
      </c>
      <c r="H1930">
        <v>0</v>
      </c>
      <c r="I1930">
        <v>0</v>
      </c>
      <c r="K1930" s="11">
        <f t="shared" si="30"/>
        <v>-5.4085091269721053E-3</v>
      </c>
    </row>
    <row r="1931" spans="1:11" x14ac:dyDescent="0.2">
      <c r="A1931" s="2">
        <v>45265</v>
      </c>
      <c r="B1931">
        <v>4557.25</v>
      </c>
      <c r="C1931">
        <v>4578.56005859375</v>
      </c>
      <c r="D1931">
        <v>4551.68017578125</v>
      </c>
      <c r="E1931">
        <v>4567.18017578125</v>
      </c>
      <c r="F1931">
        <v>4567.18017578125</v>
      </c>
      <c r="G1931">
        <v>3909950000</v>
      </c>
      <c r="H1931">
        <v>0</v>
      </c>
      <c r="I1931">
        <v>0</v>
      </c>
      <c r="K1931" s="11">
        <f t="shared" si="30"/>
        <v>-5.6886972616143616E-4</v>
      </c>
    </row>
    <row r="1932" spans="1:11" x14ac:dyDescent="0.2">
      <c r="A1932" s="2">
        <v>45266</v>
      </c>
      <c r="B1932">
        <v>4586.22998046875</v>
      </c>
      <c r="C1932">
        <v>4590.740234375</v>
      </c>
      <c r="D1932">
        <v>4546.5</v>
      </c>
      <c r="E1932">
        <v>4549.33984375</v>
      </c>
      <c r="F1932">
        <v>4549.33984375</v>
      </c>
      <c r="G1932">
        <v>4245680000</v>
      </c>
      <c r="H1932">
        <v>0</v>
      </c>
      <c r="I1932">
        <v>0</v>
      </c>
      <c r="K1932" s="11">
        <f t="shared" si="30"/>
        <v>-3.9062028088695522E-3</v>
      </c>
    </row>
    <row r="1933" spans="1:11" x14ac:dyDescent="0.2">
      <c r="A1933" s="2">
        <v>45267</v>
      </c>
      <c r="B1933">
        <v>4568.83984375</v>
      </c>
      <c r="C1933">
        <v>4590.919921875</v>
      </c>
      <c r="D1933">
        <v>4565.22021484375</v>
      </c>
      <c r="E1933">
        <v>4585.58984375</v>
      </c>
      <c r="F1933">
        <v>4585.58984375</v>
      </c>
      <c r="G1933">
        <v>3818880000</v>
      </c>
      <c r="H1933">
        <v>0</v>
      </c>
      <c r="I1933">
        <v>0</v>
      </c>
      <c r="K1933" s="11">
        <f t="shared" si="30"/>
        <v>7.9681890658929166E-3</v>
      </c>
    </row>
    <row r="1934" spans="1:11" x14ac:dyDescent="0.2">
      <c r="A1934" s="2">
        <v>45268</v>
      </c>
      <c r="B1934">
        <v>4576.2001953125</v>
      </c>
      <c r="C1934">
        <v>4609.22998046875</v>
      </c>
      <c r="D1934">
        <v>4574.06005859375</v>
      </c>
      <c r="E1934">
        <v>4604.3701171875</v>
      </c>
      <c r="F1934">
        <v>4604.3701171875</v>
      </c>
      <c r="G1934">
        <v>3707010000</v>
      </c>
      <c r="H1934">
        <v>0</v>
      </c>
      <c r="I1934">
        <v>0</v>
      </c>
      <c r="K1934" s="11">
        <f t="shared" si="30"/>
        <v>4.0954978699407896E-3</v>
      </c>
    </row>
    <row r="1935" spans="1:11" x14ac:dyDescent="0.2">
      <c r="A1935" s="2">
        <v>45271</v>
      </c>
      <c r="B1935">
        <v>4593.39013671875</v>
      </c>
      <c r="C1935">
        <v>4623.7099609375</v>
      </c>
      <c r="D1935">
        <v>4593.39013671875</v>
      </c>
      <c r="E1935">
        <v>4622.43994140625</v>
      </c>
      <c r="F1935">
        <v>4622.43994140625</v>
      </c>
      <c r="G1935">
        <v>3823210000</v>
      </c>
      <c r="H1935">
        <v>0</v>
      </c>
      <c r="I1935">
        <v>0</v>
      </c>
      <c r="K1935" s="11">
        <f t="shared" si="30"/>
        <v>3.924494286698943E-3</v>
      </c>
    </row>
    <row r="1936" spans="1:11" x14ac:dyDescent="0.2">
      <c r="A1936" s="2">
        <v>45272</v>
      </c>
      <c r="B1936">
        <v>4618.2998046875</v>
      </c>
      <c r="C1936">
        <v>4643.93017578125</v>
      </c>
      <c r="D1936">
        <v>4608.08984375</v>
      </c>
      <c r="E1936">
        <v>4643.7001953125</v>
      </c>
      <c r="F1936">
        <v>4643.7001953125</v>
      </c>
      <c r="G1936">
        <v>3808380000</v>
      </c>
      <c r="H1936">
        <v>0</v>
      </c>
      <c r="I1936">
        <v>0</v>
      </c>
      <c r="K1936" s="11">
        <f t="shared" si="30"/>
        <v>4.5993575202152304E-3</v>
      </c>
    </row>
    <row r="1937" spans="1:11" x14ac:dyDescent="0.2">
      <c r="A1937" s="2">
        <v>45273</v>
      </c>
      <c r="B1937">
        <v>4646.2001953125</v>
      </c>
      <c r="C1937">
        <v>4709.68994140625</v>
      </c>
      <c r="D1937">
        <v>4643.22998046875</v>
      </c>
      <c r="E1937">
        <v>4707.08984375</v>
      </c>
      <c r="F1937">
        <v>4707.08984375</v>
      </c>
      <c r="G1937">
        <v>5063650000</v>
      </c>
      <c r="H1937">
        <v>0</v>
      </c>
      <c r="I1937">
        <v>0</v>
      </c>
      <c r="K1937" s="11">
        <f t="shared" si="30"/>
        <v>1.3650676351045998E-2</v>
      </c>
    </row>
    <row r="1938" spans="1:11" x14ac:dyDescent="0.2">
      <c r="A1938" s="2">
        <v>45274</v>
      </c>
      <c r="B1938">
        <v>4721.0400390625</v>
      </c>
      <c r="C1938">
        <v>4738.56982421875</v>
      </c>
      <c r="D1938">
        <v>4694.33984375</v>
      </c>
      <c r="E1938">
        <v>4719.5498046875</v>
      </c>
      <c r="F1938">
        <v>4719.5498046875</v>
      </c>
      <c r="G1938">
        <v>6314040000</v>
      </c>
      <c r="H1938">
        <v>0</v>
      </c>
      <c r="I1938">
        <v>0</v>
      </c>
      <c r="K1938" s="11">
        <f t="shared" si="30"/>
        <v>2.6470624846992585E-3</v>
      </c>
    </row>
    <row r="1939" spans="1:11" x14ac:dyDescent="0.2">
      <c r="A1939" s="2">
        <v>45275</v>
      </c>
      <c r="B1939">
        <v>4714.22998046875</v>
      </c>
      <c r="C1939">
        <v>4725.52978515625</v>
      </c>
      <c r="D1939">
        <v>4704.68994140625</v>
      </c>
      <c r="E1939">
        <v>4719.18994140625</v>
      </c>
      <c r="F1939">
        <v>4719.18994140625</v>
      </c>
      <c r="G1939">
        <v>8218980000</v>
      </c>
      <c r="H1939">
        <v>0</v>
      </c>
      <c r="I1939">
        <v>0</v>
      </c>
      <c r="K1939" s="11">
        <f t="shared" si="30"/>
        <v>-7.62494933082003E-5</v>
      </c>
    </row>
    <row r="1940" spans="1:11" x14ac:dyDescent="0.2">
      <c r="A1940" s="2">
        <v>45278</v>
      </c>
      <c r="B1940">
        <v>4725.580078125</v>
      </c>
      <c r="C1940">
        <v>4749.52001953125</v>
      </c>
      <c r="D1940">
        <v>4725.580078125</v>
      </c>
      <c r="E1940">
        <v>4740.56005859375</v>
      </c>
      <c r="F1940">
        <v>4740.56005859375</v>
      </c>
      <c r="G1940">
        <v>4060340000</v>
      </c>
      <c r="H1940">
        <v>0</v>
      </c>
      <c r="I1940">
        <v>0</v>
      </c>
      <c r="K1940" s="11">
        <f t="shared" si="30"/>
        <v>4.5283443669004164E-3</v>
      </c>
    </row>
    <row r="1941" spans="1:11" x14ac:dyDescent="0.2">
      <c r="A1941" s="2">
        <v>45279</v>
      </c>
      <c r="B1941">
        <v>4743.72021484375</v>
      </c>
      <c r="C1941">
        <v>4768.68994140625</v>
      </c>
      <c r="D1941">
        <v>4743.72021484375</v>
      </c>
      <c r="E1941">
        <v>4768.3701171875</v>
      </c>
      <c r="F1941">
        <v>4768.3701171875</v>
      </c>
      <c r="G1941">
        <v>4026970000</v>
      </c>
      <c r="H1941">
        <v>0</v>
      </c>
      <c r="I1941">
        <v>0</v>
      </c>
      <c r="K1941" s="11">
        <f t="shared" si="30"/>
        <v>5.8664078189105684E-3</v>
      </c>
    </row>
    <row r="1942" spans="1:11" x14ac:dyDescent="0.2">
      <c r="A1942" s="2">
        <v>45280</v>
      </c>
      <c r="B1942">
        <v>4764.72998046875</v>
      </c>
      <c r="C1942">
        <v>4778.009765625</v>
      </c>
      <c r="D1942">
        <v>4697.81982421875</v>
      </c>
      <c r="E1942">
        <v>4698.35009765625</v>
      </c>
      <c r="F1942">
        <v>4698.35009765625</v>
      </c>
      <c r="G1942">
        <v>4201320000</v>
      </c>
      <c r="H1942">
        <v>0</v>
      </c>
      <c r="I1942">
        <v>0</v>
      </c>
      <c r="K1942" s="11">
        <f t="shared" si="30"/>
        <v>-1.4684266911006771E-2</v>
      </c>
    </row>
    <row r="1943" spans="1:11" x14ac:dyDescent="0.2">
      <c r="A1943" s="2">
        <v>45281</v>
      </c>
      <c r="B1943">
        <v>4724.2900390625</v>
      </c>
      <c r="C1943">
        <v>4748.7099609375</v>
      </c>
      <c r="D1943">
        <v>4708.35009765625</v>
      </c>
      <c r="E1943">
        <v>4746.75</v>
      </c>
      <c r="F1943">
        <v>4746.75</v>
      </c>
      <c r="G1943">
        <v>3431180000</v>
      </c>
      <c r="H1943">
        <v>0</v>
      </c>
      <c r="I1943">
        <v>0</v>
      </c>
      <c r="K1943" s="11">
        <f t="shared" si="30"/>
        <v>1.0301467821202559E-2</v>
      </c>
    </row>
    <row r="1944" spans="1:11" x14ac:dyDescent="0.2">
      <c r="A1944" s="2">
        <v>45282</v>
      </c>
      <c r="B1944">
        <v>4753.919921875</v>
      </c>
      <c r="C1944">
        <v>4772.93994140625</v>
      </c>
      <c r="D1944">
        <v>4736.77001953125</v>
      </c>
      <c r="E1944">
        <v>4754.6298828125</v>
      </c>
      <c r="F1944">
        <v>4754.6298828125</v>
      </c>
      <c r="G1944">
        <v>3046770000</v>
      </c>
      <c r="H1944">
        <v>0</v>
      </c>
      <c r="I1944">
        <v>0</v>
      </c>
      <c r="K1944" s="11">
        <f t="shared" si="30"/>
        <v>1.6600585268868873E-3</v>
      </c>
    </row>
    <row r="1945" spans="1:11" x14ac:dyDescent="0.2">
      <c r="A1945" s="2">
        <v>45286</v>
      </c>
      <c r="B1945">
        <v>4758.85986328125</v>
      </c>
      <c r="C1945">
        <v>4784.72021484375</v>
      </c>
      <c r="D1945">
        <v>4758.4501953125</v>
      </c>
      <c r="E1945">
        <v>4774.75</v>
      </c>
      <c r="F1945">
        <v>4774.75</v>
      </c>
      <c r="G1945">
        <v>2513910000</v>
      </c>
      <c r="H1945">
        <v>0</v>
      </c>
      <c r="I1945">
        <v>0</v>
      </c>
      <c r="K1945" s="11">
        <f t="shared" si="30"/>
        <v>4.2316894655107795E-3</v>
      </c>
    </row>
    <row r="1946" spans="1:11" x14ac:dyDescent="0.2">
      <c r="A1946" s="2">
        <v>45287</v>
      </c>
      <c r="B1946">
        <v>4773.4501953125</v>
      </c>
      <c r="C1946">
        <v>4785.39013671875</v>
      </c>
      <c r="D1946">
        <v>4768.89990234375</v>
      </c>
      <c r="E1946">
        <v>4781.580078125</v>
      </c>
      <c r="F1946">
        <v>4781.580078125</v>
      </c>
      <c r="G1946">
        <v>2748450000</v>
      </c>
      <c r="H1946">
        <v>0</v>
      </c>
      <c r="I1946">
        <v>0</v>
      </c>
      <c r="K1946" s="11">
        <f t="shared" si="30"/>
        <v>1.4304577464787638E-3</v>
      </c>
    </row>
    <row r="1947" spans="1:11" x14ac:dyDescent="0.2">
      <c r="A1947" s="2">
        <v>45288</v>
      </c>
      <c r="B1947">
        <v>4786.43994140625</v>
      </c>
      <c r="C1947">
        <v>4793.2998046875</v>
      </c>
      <c r="D1947">
        <v>4780.97998046875</v>
      </c>
      <c r="E1947">
        <v>4783.35009765625</v>
      </c>
      <c r="F1947">
        <v>4783.35009765625</v>
      </c>
      <c r="G1947">
        <v>2698860000</v>
      </c>
      <c r="H1947">
        <v>0</v>
      </c>
      <c r="I1947">
        <v>0</v>
      </c>
      <c r="K1947" s="11">
        <f t="shared" si="30"/>
        <v>3.7017460804378288E-4</v>
      </c>
    </row>
    <row r="1948" spans="1:11" x14ac:dyDescent="0.2">
      <c r="A1948" s="2">
        <v>45289</v>
      </c>
      <c r="B1948">
        <v>4782.8798828125</v>
      </c>
      <c r="C1948">
        <v>4788.43017578125</v>
      </c>
      <c r="D1948">
        <v>4751.990234375</v>
      </c>
      <c r="E1948">
        <v>4769.830078125</v>
      </c>
      <c r="F1948">
        <v>4769.830078125</v>
      </c>
      <c r="G1948">
        <v>3126060000</v>
      </c>
      <c r="H1948">
        <v>0</v>
      </c>
      <c r="I1948">
        <v>0</v>
      </c>
      <c r="K1948" s="11">
        <f t="shared" si="30"/>
        <v>-2.8264750133749628E-3</v>
      </c>
    </row>
    <row r="1949" spans="1:11" x14ac:dyDescent="0.2">
      <c r="A1949" s="2">
        <v>45293</v>
      </c>
      <c r="B1949">
        <v>4745.2001953125</v>
      </c>
      <c r="C1949">
        <v>4754.330078125</v>
      </c>
      <c r="D1949">
        <v>4722.669921875</v>
      </c>
      <c r="E1949">
        <v>4742.830078125</v>
      </c>
      <c r="F1949">
        <v>4742.830078125</v>
      </c>
      <c r="G1949">
        <v>3743050000</v>
      </c>
      <c r="H1949">
        <v>0</v>
      </c>
      <c r="I1949">
        <v>0</v>
      </c>
      <c r="K1949" s="11">
        <f t="shared" si="30"/>
        <v>-5.6605790054923277E-3</v>
      </c>
    </row>
    <row r="1950" spans="1:11" x14ac:dyDescent="0.2">
      <c r="A1950" s="2">
        <v>45294</v>
      </c>
      <c r="B1950">
        <v>4725.06982421875</v>
      </c>
      <c r="C1950">
        <v>4729.2900390625</v>
      </c>
      <c r="D1950">
        <v>4699.7099609375</v>
      </c>
      <c r="E1950">
        <v>4704.81005859375</v>
      </c>
      <c r="F1950">
        <v>4704.81005859375</v>
      </c>
      <c r="G1950">
        <v>3950760000</v>
      </c>
      <c r="H1950">
        <v>0</v>
      </c>
      <c r="I1950">
        <v>0</v>
      </c>
      <c r="K1950" s="11">
        <f t="shared" si="30"/>
        <v>-8.016314922730805E-3</v>
      </c>
    </row>
    <row r="1951" spans="1:11" x14ac:dyDescent="0.2">
      <c r="A1951" s="2">
        <v>45295</v>
      </c>
      <c r="B1951">
        <v>4697.419921875</v>
      </c>
      <c r="C1951">
        <v>4726.77978515625</v>
      </c>
      <c r="D1951">
        <v>4687.52978515625</v>
      </c>
      <c r="E1951">
        <v>4688.68017578125</v>
      </c>
      <c r="F1951">
        <v>4688.68017578125</v>
      </c>
      <c r="G1951">
        <v>3715480000</v>
      </c>
      <c r="H1951">
        <v>0</v>
      </c>
      <c r="I1951">
        <v>0</v>
      </c>
      <c r="K1951" s="11">
        <f t="shared" si="30"/>
        <v>-3.4283812973570083E-3</v>
      </c>
    </row>
    <row r="1952" spans="1:11" x14ac:dyDescent="0.2">
      <c r="A1952" s="2">
        <v>45296</v>
      </c>
      <c r="B1952">
        <v>4690.56982421875</v>
      </c>
      <c r="C1952">
        <v>4721.490234375</v>
      </c>
      <c r="D1952">
        <v>4682.10986328125</v>
      </c>
      <c r="E1952">
        <v>4697.240234375</v>
      </c>
      <c r="F1952">
        <v>4697.240234375</v>
      </c>
      <c r="G1952">
        <v>3844370000</v>
      </c>
      <c r="H1952">
        <v>0</v>
      </c>
      <c r="I1952">
        <v>0</v>
      </c>
      <c r="K1952" s="11">
        <f t="shared" si="30"/>
        <v>1.8256861788026324E-3</v>
      </c>
    </row>
    <row r="1953" spans="1:11" x14ac:dyDescent="0.2">
      <c r="A1953" s="2">
        <v>45299</v>
      </c>
      <c r="B1953">
        <v>4703.7001953125</v>
      </c>
      <c r="C1953">
        <v>4764.5400390625</v>
      </c>
      <c r="D1953">
        <v>4699.81982421875</v>
      </c>
      <c r="E1953">
        <v>4763.5400390625</v>
      </c>
      <c r="F1953">
        <v>4763.5400390625</v>
      </c>
      <c r="G1953">
        <v>3742320000</v>
      </c>
      <c r="H1953">
        <v>0</v>
      </c>
      <c r="I1953">
        <v>0</v>
      </c>
      <c r="K1953" s="11">
        <f t="shared" si="30"/>
        <v>1.4114629309846638E-2</v>
      </c>
    </row>
    <row r="1954" spans="1:11" x14ac:dyDescent="0.2">
      <c r="A1954" s="2">
        <v>45300</v>
      </c>
      <c r="B1954">
        <v>4741.93017578125</v>
      </c>
      <c r="C1954">
        <v>4765.47021484375</v>
      </c>
      <c r="D1954">
        <v>4730.35009765625</v>
      </c>
      <c r="E1954">
        <v>4756.5</v>
      </c>
      <c r="F1954">
        <v>4756.5</v>
      </c>
      <c r="G1954">
        <v>3529960000</v>
      </c>
      <c r="H1954">
        <v>0</v>
      </c>
      <c r="I1954">
        <v>0</v>
      </c>
      <c r="K1954" s="11">
        <f t="shared" si="30"/>
        <v>-1.4779006799081618E-3</v>
      </c>
    </row>
    <row r="1955" spans="1:11" x14ac:dyDescent="0.2">
      <c r="A1955" s="2">
        <v>45301</v>
      </c>
      <c r="B1955">
        <v>4759.93994140625</v>
      </c>
      <c r="C1955">
        <v>4790.7998046875</v>
      </c>
      <c r="D1955">
        <v>4756.2001953125</v>
      </c>
      <c r="E1955">
        <v>4783.4501953125</v>
      </c>
      <c r="F1955">
        <v>4783.4501953125</v>
      </c>
      <c r="G1955">
        <v>3498680000</v>
      </c>
      <c r="H1955">
        <v>0</v>
      </c>
      <c r="I1955">
        <v>0</v>
      </c>
      <c r="K1955" s="11">
        <f t="shared" si="30"/>
        <v>5.6659718937244197E-3</v>
      </c>
    </row>
    <row r="1956" spans="1:11" x14ac:dyDescent="0.2">
      <c r="A1956" s="2">
        <v>45302</v>
      </c>
      <c r="B1956">
        <v>4792.1298828125</v>
      </c>
      <c r="C1956">
        <v>4798.5</v>
      </c>
      <c r="D1956">
        <v>4739.580078125</v>
      </c>
      <c r="E1956">
        <v>4780.240234375</v>
      </c>
      <c r="F1956">
        <v>4780.240234375</v>
      </c>
      <c r="G1956">
        <v>3759890000</v>
      </c>
      <c r="H1956">
        <v>0</v>
      </c>
      <c r="I1956">
        <v>0</v>
      </c>
      <c r="K1956" s="11">
        <f t="shared" si="30"/>
        <v>-6.7105557838686991E-4</v>
      </c>
    </row>
    <row r="1957" spans="1:11" x14ac:dyDescent="0.2">
      <c r="A1957" s="2">
        <v>45303</v>
      </c>
      <c r="B1957">
        <v>4791.18017578125</v>
      </c>
      <c r="C1957">
        <v>4802.39990234375</v>
      </c>
      <c r="D1957">
        <v>4768.97998046875</v>
      </c>
      <c r="E1957">
        <v>4783.830078125</v>
      </c>
      <c r="F1957">
        <v>4783.830078125</v>
      </c>
      <c r="G1957">
        <v>3486340000</v>
      </c>
      <c r="H1957">
        <v>0</v>
      </c>
      <c r="I1957">
        <v>0</v>
      </c>
      <c r="K1957" s="11">
        <f t="shared" si="30"/>
        <v>7.5097559411041459E-4</v>
      </c>
    </row>
    <row r="1958" spans="1:11" x14ac:dyDescent="0.2">
      <c r="A1958" s="2">
        <v>45307</v>
      </c>
      <c r="B1958">
        <v>4772.35009765625</v>
      </c>
      <c r="C1958">
        <v>4782.33984375</v>
      </c>
      <c r="D1958">
        <v>4747.1201171875</v>
      </c>
      <c r="E1958">
        <v>4765.97998046875</v>
      </c>
      <c r="F1958">
        <v>4765.97998046875</v>
      </c>
      <c r="G1958">
        <v>4260550000</v>
      </c>
      <c r="H1958">
        <v>0</v>
      </c>
      <c r="I1958">
        <v>0</v>
      </c>
      <c r="K1958" s="11">
        <f t="shared" si="30"/>
        <v>-3.7313402367431525E-3</v>
      </c>
    </row>
    <row r="1959" spans="1:11" x14ac:dyDescent="0.2">
      <c r="A1959" s="2">
        <v>45308</v>
      </c>
      <c r="B1959">
        <v>4739.1298828125</v>
      </c>
      <c r="C1959">
        <v>4744.22998046875</v>
      </c>
      <c r="D1959">
        <v>4714.81982421875</v>
      </c>
      <c r="E1959">
        <v>4739.2099609375</v>
      </c>
      <c r="F1959">
        <v>4739.2099609375</v>
      </c>
      <c r="G1959">
        <v>3928600000</v>
      </c>
      <c r="H1959">
        <v>0</v>
      </c>
      <c r="I1959">
        <v>0</v>
      </c>
      <c r="K1959" s="11">
        <f t="shared" si="30"/>
        <v>-5.6168971839904991E-3</v>
      </c>
    </row>
    <row r="1960" spans="1:11" x14ac:dyDescent="0.2">
      <c r="A1960" s="2">
        <v>45309</v>
      </c>
      <c r="B1960">
        <v>4760.10009765625</v>
      </c>
      <c r="C1960">
        <v>4785.7900390625</v>
      </c>
      <c r="D1960">
        <v>4740.56982421875</v>
      </c>
      <c r="E1960">
        <v>4780.93994140625</v>
      </c>
      <c r="F1960">
        <v>4780.93994140625</v>
      </c>
      <c r="G1960">
        <v>4019000000</v>
      </c>
      <c r="H1960">
        <v>0</v>
      </c>
      <c r="I1960">
        <v>0</v>
      </c>
      <c r="K1960" s="11">
        <f t="shared" si="30"/>
        <v>8.805260963896E-3</v>
      </c>
    </row>
    <row r="1961" spans="1:11" x14ac:dyDescent="0.2">
      <c r="A1961" s="2">
        <v>45310</v>
      </c>
      <c r="B1961">
        <v>4796.27978515625</v>
      </c>
      <c r="C1961">
        <v>4842.06982421875</v>
      </c>
      <c r="D1961">
        <v>4785.8701171875</v>
      </c>
      <c r="E1961">
        <v>4839.81005859375</v>
      </c>
      <c r="F1961">
        <v>4839.81005859375</v>
      </c>
      <c r="G1961">
        <v>4287200000</v>
      </c>
      <c r="H1961">
        <v>0</v>
      </c>
      <c r="I1961">
        <v>0</v>
      </c>
      <c r="K1961" s="11">
        <f t="shared" si="30"/>
        <v>1.2313502764936146E-2</v>
      </c>
    </row>
    <row r="1962" spans="1:11" x14ac:dyDescent="0.2">
      <c r="A1962" s="2">
        <v>45313</v>
      </c>
      <c r="B1962">
        <v>4853.419921875</v>
      </c>
      <c r="C1962">
        <v>4868.41015625</v>
      </c>
      <c r="D1962">
        <v>4844.0498046875</v>
      </c>
      <c r="E1962">
        <v>4850.43017578125</v>
      </c>
      <c r="F1962">
        <v>4850.43017578125</v>
      </c>
      <c r="G1962">
        <v>4297610000</v>
      </c>
      <c r="H1962">
        <v>0</v>
      </c>
      <c r="I1962">
        <v>0</v>
      </c>
      <c r="K1962" s="11">
        <f t="shared" si="30"/>
        <v>2.1943252026270788E-3</v>
      </c>
    </row>
    <row r="1963" spans="1:11" x14ac:dyDescent="0.2">
      <c r="A1963" s="2">
        <v>45314</v>
      </c>
      <c r="B1963">
        <v>4856.7998046875</v>
      </c>
      <c r="C1963">
        <v>4866.47998046875</v>
      </c>
      <c r="D1963">
        <v>4844.3701171875</v>
      </c>
      <c r="E1963">
        <v>4864.60009765625</v>
      </c>
      <c r="F1963">
        <v>4864.60009765625</v>
      </c>
      <c r="G1963">
        <v>3912800000</v>
      </c>
      <c r="H1963">
        <v>0</v>
      </c>
      <c r="I1963">
        <v>0</v>
      </c>
      <c r="K1963" s="11">
        <f t="shared" si="30"/>
        <v>2.921374261968035E-3</v>
      </c>
    </row>
    <row r="1964" spans="1:11" x14ac:dyDescent="0.2">
      <c r="A1964" s="2">
        <v>45315</v>
      </c>
      <c r="B1964">
        <v>4888.56005859375</v>
      </c>
      <c r="C1964">
        <v>4903.68017578125</v>
      </c>
      <c r="D1964">
        <v>4865.93994140625</v>
      </c>
      <c r="E1964">
        <v>4868.5498046875</v>
      </c>
      <c r="F1964">
        <v>4868.5498046875</v>
      </c>
      <c r="G1964">
        <v>4330030000</v>
      </c>
      <c r="H1964">
        <v>0</v>
      </c>
      <c r="I1964">
        <v>0</v>
      </c>
      <c r="K1964" s="11">
        <f t="shared" si="30"/>
        <v>8.1192841178312491E-4</v>
      </c>
    </row>
    <row r="1965" spans="1:11" x14ac:dyDescent="0.2">
      <c r="A1965" s="2">
        <v>45316</v>
      </c>
      <c r="B1965">
        <v>4886.66015625</v>
      </c>
      <c r="C1965">
        <v>4898.14990234375</v>
      </c>
      <c r="D1965">
        <v>4869.33984375</v>
      </c>
      <c r="E1965">
        <v>4894.16015625</v>
      </c>
      <c r="F1965">
        <v>4894.16015625</v>
      </c>
      <c r="G1965">
        <v>4020430000</v>
      </c>
      <c r="H1965">
        <v>0</v>
      </c>
      <c r="I1965">
        <v>0</v>
      </c>
      <c r="K1965" s="11">
        <f t="shared" si="30"/>
        <v>5.2603655277063677E-3</v>
      </c>
    </row>
    <row r="1966" spans="1:11" x14ac:dyDescent="0.2">
      <c r="A1966" s="2">
        <v>45317</v>
      </c>
      <c r="B1966">
        <v>4888.91015625</v>
      </c>
      <c r="C1966">
        <v>4906.68994140625</v>
      </c>
      <c r="D1966">
        <v>4881.47021484375</v>
      </c>
      <c r="E1966">
        <v>4890.97021484375</v>
      </c>
      <c r="F1966">
        <v>4890.97021484375</v>
      </c>
      <c r="G1966">
        <v>3353400000</v>
      </c>
      <c r="H1966">
        <v>0</v>
      </c>
      <c r="I1966">
        <v>0</v>
      </c>
      <c r="K1966" s="11">
        <f t="shared" si="30"/>
        <v>-6.5178525107645324E-4</v>
      </c>
    </row>
    <row r="1967" spans="1:11" x14ac:dyDescent="0.2">
      <c r="A1967" s="2">
        <v>45320</v>
      </c>
      <c r="B1967">
        <v>4892.9501953125</v>
      </c>
      <c r="C1967">
        <v>4929.31005859375</v>
      </c>
      <c r="D1967">
        <v>4887.39990234375</v>
      </c>
      <c r="E1967">
        <v>4927.93017578125</v>
      </c>
      <c r="F1967">
        <v>4927.93017578125</v>
      </c>
      <c r="G1967">
        <v>3525160000</v>
      </c>
      <c r="H1967">
        <v>0</v>
      </c>
      <c r="I1967">
        <v>0</v>
      </c>
      <c r="K1967" s="11">
        <f t="shared" si="30"/>
        <v>7.5567748961808956E-3</v>
      </c>
    </row>
    <row r="1968" spans="1:11" x14ac:dyDescent="0.2">
      <c r="A1968" s="2">
        <v>45321</v>
      </c>
      <c r="B1968">
        <v>4925.89013671875</v>
      </c>
      <c r="C1968">
        <v>4931.08984375</v>
      </c>
      <c r="D1968">
        <v>4916.27001953125</v>
      </c>
      <c r="E1968">
        <v>4924.97021484375</v>
      </c>
      <c r="F1968">
        <v>4924.97021484375</v>
      </c>
      <c r="G1968">
        <v>3836130000</v>
      </c>
      <c r="H1968">
        <v>0</v>
      </c>
      <c r="I1968">
        <v>0</v>
      </c>
      <c r="K1968" s="11">
        <f t="shared" si="30"/>
        <v>-6.0064993453989857E-4</v>
      </c>
    </row>
    <row r="1969" spans="1:11" x14ac:dyDescent="0.2">
      <c r="A1969" s="2">
        <v>45322</v>
      </c>
      <c r="B1969">
        <v>4899.18994140625</v>
      </c>
      <c r="C1969">
        <v>4906.75</v>
      </c>
      <c r="D1969">
        <v>4845.14990234375</v>
      </c>
      <c r="E1969">
        <v>4845.64990234375</v>
      </c>
      <c r="F1969">
        <v>4845.64990234375</v>
      </c>
      <c r="G1969">
        <v>4696120000</v>
      </c>
      <c r="H1969">
        <v>0</v>
      </c>
      <c r="I1969">
        <v>0</v>
      </c>
      <c r="K1969" s="11">
        <f t="shared" si="30"/>
        <v>-1.6105744611597972E-2</v>
      </c>
    </row>
    <row r="1970" spans="1:11" x14ac:dyDescent="0.2">
      <c r="A1970" s="2">
        <v>45323</v>
      </c>
      <c r="B1970">
        <v>4861.10986328125</v>
      </c>
      <c r="C1970">
        <v>4906.97021484375</v>
      </c>
      <c r="D1970">
        <v>4853.52001953125</v>
      </c>
      <c r="E1970">
        <v>4906.18994140625</v>
      </c>
      <c r="F1970">
        <v>4906.18994140625</v>
      </c>
      <c r="G1970">
        <v>4386090000</v>
      </c>
      <c r="H1970">
        <v>0</v>
      </c>
      <c r="I1970">
        <v>0</v>
      </c>
      <c r="K1970" s="11">
        <f t="shared" si="30"/>
        <v>1.2493688211609788E-2</v>
      </c>
    </row>
    <row r="1971" spans="1:11" x14ac:dyDescent="0.2">
      <c r="A1971" s="2">
        <v>45324</v>
      </c>
      <c r="B1971">
        <v>4916.06005859375</v>
      </c>
      <c r="C1971">
        <v>4975.2900390625</v>
      </c>
      <c r="D1971">
        <v>4907.990234375</v>
      </c>
      <c r="E1971">
        <v>4958.60986328125</v>
      </c>
      <c r="F1971">
        <v>4958.60986328125</v>
      </c>
      <c r="G1971">
        <v>3974350000</v>
      </c>
      <c r="H1971">
        <v>0</v>
      </c>
      <c r="I1971">
        <v>0</v>
      </c>
      <c r="K1971" s="11">
        <f t="shared" si="30"/>
        <v>1.068444607751462E-2</v>
      </c>
    </row>
    <row r="1972" spans="1:11" x14ac:dyDescent="0.2">
      <c r="A1972" s="2">
        <v>45327</v>
      </c>
      <c r="B1972">
        <v>4957.18994140625</v>
      </c>
      <c r="C1972">
        <v>4957.18994140625</v>
      </c>
      <c r="D1972">
        <v>4918.08984375</v>
      </c>
      <c r="E1972">
        <v>4942.81005859375</v>
      </c>
      <c r="F1972">
        <v>4942.81005859375</v>
      </c>
      <c r="G1972">
        <v>4023640000</v>
      </c>
      <c r="H1972">
        <v>0</v>
      </c>
      <c r="I1972">
        <v>0</v>
      </c>
      <c r="K1972" s="11">
        <f t="shared" si="30"/>
        <v>-3.1863375266721894E-3</v>
      </c>
    </row>
    <row r="1973" spans="1:11" x14ac:dyDescent="0.2">
      <c r="A1973" s="2">
        <v>45328</v>
      </c>
      <c r="B1973">
        <v>4950.16015625</v>
      </c>
      <c r="C1973">
        <v>4957.77001953125</v>
      </c>
      <c r="D1973">
        <v>4934.8798828125</v>
      </c>
      <c r="E1973">
        <v>4954.22998046875</v>
      </c>
      <c r="F1973">
        <v>4954.22998046875</v>
      </c>
      <c r="G1973">
        <v>4440880000</v>
      </c>
      <c r="H1973">
        <v>0</v>
      </c>
      <c r="I1973">
        <v>0</v>
      </c>
      <c r="K1973" s="11">
        <f t="shared" si="30"/>
        <v>2.3104108269635937E-3</v>
      </c>
    </row>
    <row r="1974" spans="1:11" x14ac:dyDescent="0.2">
      <c r="A1974" s="2">
        <v>45329</v>
      </c>
      <c r="B1974">
        <v>4973.0498046875</v>
      </c>
      <c r="C1974">
        <v>4999.89013671875</v>
      </c>
      <c r="D1974">
        <v>4969.0498046875</v>
      </c>
      <c r="E1974">
        <v>4995.06005859375</v>
      </c>
      <c r="F1974">
        <v>4995.06005859375</v>
      </c>
      <c r="G1974">
        <v>4895590000</v>
      </c>
      <c r="H1974">
        <v>0</v>
      </c>
      <c r="I1974">
        <v>0</v>
      </c>
      <c r="K1974" s="11">
        <f t="shared" si="30"/>
        <v>8.241457963390042E-3</v>
      </c>
    </row>
    <row r="1975" spans="1:11" x14ac:dyDescent="0.2">
      <c r="A1975" s="2">
        <v>45330</v>
      </c>
      <c r="B1975">
        <v>4995.16015625</v>
      </c>
      <c r="C1975">
        <v>5000.39990234375</v>
      </c>
      <c r="D1975">
        <v>4987.08984375</v>
      </c>
      <c r="E1975">
        <v>4997.91015625</v>
      </c>
      <c r="F1975">
        <v>4997.91015625</v>
      </c>
      <c r="G1975">
        <v>4341860000</v>
      </c>
      <c r="H1975">
        <v>0</v>
      </c>
      <c r="I1975">
        <v>0</v>
      </c>
      <c r="K1975" s="11">
        <f t="shared" si="30"/>
        <v>5.7058326082515265E-4</v>
      </c>
    </row>
    <row r="1976" spans="1:11" x14ac:dyDescent="0.2">
      <c r="A1976" s="2">
        <v>45331</v>
      </c>
      <c r="B1976">
        <v>5004.169921875</v>
      </c>
      <c r="C1976">
        <v>5030.06005859375</v>
      </c>
      <c r="D1976">
        <v>5000.33984375</v>
      </c>
      <c r="E1976">
        <v>5026.60986328125</v>
      </c>
      <c r="F1976">
        <v>5026.60986328125</v>
      </c>
      <c r="G1976">
        <v>3912990000</v>
      </c>
      <c r="H1976">
        <v>0</v>
      </c>
      <c r="I1976">
        <v>0</v>
      </c>
      <c r="K1976" s="11">
        <f t="shared" si="30"/>
        <v>5.7423415255595245E-3</v>
      </c>
    </row>
    <row r="1977" spans="1:11" x14ac:dyDescent="0.2">
      <c r="A1977" s="2">
        <v>45334</v>
      </c>
      <c r="B1977">
        <v>5026.830078125</v>
      </c>
      <c r="C1977">
        <v>5048.39013671875</v>
      </c>
      <c r="D1977">
        <v>5016.830078125</v>
      </c>
      <c r="E1977">
        <v>5021.83984375</v>
      </c>
      <c r="F1977">
        <v>5021.83984375</v>
      </c>
      <c r="G1977">
        <v>3805740000</v>
      </c>
      <c r="H1977">
        <v>0</v>
      </c>
      <c r="I1977">
        <v>0</v>
      </c>
      <c r="K1977" s="11">
        <f t="shared" si="30"/>
        <v>-9.489536011326738E-4</v>
      </c>
    </row>
    <row r="1978" spans="1:11" x14ac:dyDescent="0.2">
      <c r="A1978" s="2">
        <v>45335</v>
      </c>
      <c r="B1978">
        <v>4967.93994140625</v>
      </c>
      <c r="C1978">
        <v>4971.2998046875</v>
      </c>
      <c r="D1978">
        <v>4920.31005859375</v>
      </c>
      <c r="E1978">
        <v>4953.169921875</v>
      </c>
      <c r="F1978">
        <v>4953.169921875</v>
      </c>
      <c r="G1978">
        <v>4302190000</v>
      </c>
      <c r="H1978">
        <v>0</v>
      </c>
      <c r="I1978">
        <v>0</v>
      </c>
      <c r="K1978" s="11">
        <f t="shared" si="30"/>
        <v>-1.3674255653625456E-2</v>
      </c>
    </row>
    <row r="1979" spans="1:11" x14ac:dyDescent="0.2">
      <c r="A1979" s="2">
        <v>45336</v>
      </c>
      <c r="B1979">
        <v>4976.43994140625</v>
      </c>
      <c r="C1979">
        <v>5002.52001953125</v>
      </c>
      <c r="D1979">
        <v>4956.4501953125</v>
      </c>
      <c r="E1979">
        <v>5000.6201171875</v>
      </c>
      <c r="F1979">
        <v>5000.6201171875</v>
      </c>
      <c r="G1979">
        <v>3845600000</v>
      </c>
      <c r="H1979">
        <v>0</v>
      </c>
      <c r="I1979">
        <v>0</v>
      </c>
      <c r="K1979" s="11">
        <f t="shared" si="30"/>
        <v>9.5797632750176387E-3</v>
      </c>
    </row>
    <row r="1980" spans="1:11" x14ac:dyDescent="0.2">
      <c r="A1980" s="2">
        <v>45337</v>
      </c>
      <c r="B1980">
        <v>5003.14013671875</v>
      </c>
      <c r="C1980">
        <v>5032.72021484375</v>
      </c>
      <c r="D1980">
        <v>4999.43994140625</v>
      </c>
      <c r="E1980">
        <v>5029.72998046875</v>
      </c>
      <c r="F1980">
        <v>5029.72998046875</v>
      </c>
      <c r="G1980">
        <v>4137970000</v>
      </c>
      <c r="H1980">
        <v>0</v>
      </c>
      <c r="I1980">
        <v>0</v>
      </c>
      <c r="K1980" s="11">
        <f t="shared" si="30"/>
        <v>5.8212506847294954E-3</v>
      </c>
    </row>
    <row r="1981" spans="1:11" x14ac:dyDescent="0.2">
      <c r="A1981" s="2">
        <v>45338</v>
      </c>
      <c r="B1981">
        <v>5031.1298828125</v>
      </c>
      <c r="C1981">
        <v>5038.7001953125</v>
      </c>
      <c r="D1981">
        <v>4999.52001953125</v>
      </c>
      <c r="E1981">
        <v>5005.56982421875</v>
      </c>
      <c r="F1981">
        <v>5005.56982421875</v>
      </c>
      <c r="G1981">
        <v>3833270000</v>
      </c>
      <c r="H1981">
        <v>0</v>
      </c>
      <c r="I1981">
        <v>0</v>
      </c>
      <c r="K1981" s="11">
        <f t="shared" si="30"/>
        <v>-4.8034698371121065E-3</v>
      </c>
    </row>
    <row r="1982" spans="1:11" x14ac:dyDescent="0.2">
      <c r="A1982" s="2">
        <v>45342</v>
      </c>
      <c r="B1982">
        <v>4989.31982421875</v>
      </c>
      <c r="C1982">
        <v>4993.7099609375</v>
      </c>
      <c r="D1982">
        <v>4955.02001953125</v>
      </c>
      <c r="E1982">
        <v>4975.509765625</v>
      </c>
      <c r="F1982">
        <v>4975.509765625</v>
      </c>
      <c r="G1982">
        <v>4034880000</v>
      </c>
      <c r="H1982">
        <v>0</v>
      </c>
      <c r="I1982">
        <v>0</v>
      </c>
      <c r="K1982" s="11">
        <f t="shared" si="30"/>
        <v>-6.0053220011653252E-3</v>
      </c>
    </row>
    <row r="1983" spans="1:11" x14ac:dyDescent="0.2">
      <c r="A1983" s="2">
        <v>45343</v>
      </c>
      <c r="B1983">
        <v>4963.02978515625</v>
      </c>
      <c r="C1983">
        <v>4983.2099609375</v>
      </c>
      <c r="D1983">
        <v>4946</v>
      </c>
      <c r="E1983">
        <v>4981.7998046875</v>
      </c>
      <c r="F1983">
        <v>4981.7998046875</v>
      </c>
      <c r="G1983">
        <v>3788390000</v>
      </c>
      <c r="H1983">
        <v>0</v>
      </c>
      <c r="I1983">
        <v>0</v>
      </c>
      <c r="K1983" s="11">
        <f t="shared" si="30"/>
        <v>1.264199922982101E-3</v>
      </c>
    </row>
    <row r="1984" spans="1:11" x14ac:dyDescent="0.2">
      <c r="A1984" s="2">
        <v>45344</v>
      </c>
      <c r="B1984">
        <v>5038.830078125</v>
      </c>
      <c r="C1984">
        <v>5094.39013671875</v>
      </c>
      <c r="D1984">
        <v>5038.830078125</v>
      </c>
      <c r="E1984">
        <v>5087.02978515625</v>
      </c>
      <c r="F1984">
        <v>5087.02978515625</v>
      </c>
      <c r="G1984">
        <v>4051710000</v>
      </c>
      <c r="H1984">
        <v>0</v>
      </c>
      <c r="I1984">
        <v>0</v>
      </c>
      <c r="K1984" s="11">
        <f t="shared" si="30"/>
        <v>2.112288421741404E-2</v>
      </c>
    </row>
    <row r="1985" spans="1:11" x14ac:dyDescent="0.2">
      <c r="A1985" s="2">
        <v>45345</v>
      </c>
      <c r="B1985">
        <v>5100.919921875</v>
      </c>
      <c r="C1985">
        <v>5111.06005859375</v>
      </c>
      <c r="D1985">
        <v>5081.4599609375</v>
      </c>
      <c r="E1985">
        <v>5088.7998046875</v>
      </c>
      <c r="F1985">
        <v>5088.7998046875</v>
      </c>
      <c r="G1985">
        <v>3672790000</v>
      </c>
      <c r="H1985">
        <v>0</v>
      </c>
      <c r="I1985">
        <v>0</v>
      </c>
      <c r="K1985" s="11">
        <f t="shared" si="30"/>
        <v>3.4794754621159107E-4</v>
      </c>
    </row>
    <row r="1986" spans="1:11" x14ac:dyDescent="0.2">
      <c r="A1986" s="2">
        <v>45348</v>
      </c>
      <c r="B1986">
        <v>5093</v>
      </c>
      <c r="C1986">
        <v>5097.66015625</v>
      </c>
      <c r="D1986">
        <v>5068.91015625</v>
      </c>
      <c r="E1986">
        <v>5069.52978515625</v>
      </c>
      <c r="F1986">
        <v>5069.52978515625</v>
      </c>
      <c r="G1986">
        <v>3683930000</v>
      </c>
      <c r="H1986">
        <v>0</v>
      </c>
      <c r="I1986">
        <v>0</v>
      </c>
      <c r="K1986" s="11">
        <f t="shared" si="30"/>
        <v>-3.7867513501905758E-3</v>
      </c>
    </row>
    <row r="1987" spans="1:11" x14ac:dyDescent="0.2">
      <c r="A1987" s="2">
        <v>45349</v>
      </c>
      <c r="B1987">
        <v>5074.60009765625</v>
      </c>
      <c r="C1987">
        <v>5080.68994140625</v>
      </c>
      <c r="D1987">
        <v>5057.2900390625</v>
      </c>
      <c r="E1987">
        <v>5078.18017578125</v>
      </c>
      <c r="F1987">
        <v>5078.18017578125</v>
      </c>
      <c r="G1987">
        <v>3925950000</v>
      </c>
      <c r="H1987">
        <v>0</v>
      </c>
      <c r="I1987">
        <v>0</v>
      </c>
      <c r="K1987" s="11">
        <f t="shared" si="30"/>
        <v>1.7063496993998672E-3</v>
      </c>
    </row>
    <row r="1988" spans="1:11" x14ac:dyDescent="0.2">
      <c r="A1988" s="2">
        <v>45350</v>
      </c>
      <c r="B1988">
        <v>5067.2001953125</v>
      </c>
      <c r="C1988">
        <v>5077.3701171875</v>
      </c>
      <c r="D1988">
        <v>5058.35009765625</v>
      </c>
      <c r="E1988">
        <v>5069.759765625</v>
      </c>
      <c r="F1988">
        <v>5069.759765625</v>
      </c>
      <c r="G1988">
        <v>3789370000</v>
      </c>
      <c r="H1988">
        <v>0</v>
      </c>
      <c r="I1988">
        <v>0</v>
      </c>
      <c r="K1988" s="11">
        <f t="shared" ref="K1988:K2051" si="31">(E1988/E1987)-1</f>
        <v>-1.6581550604305439E-3</v>
      </c>
    </row>
    <row r="1989" spans="1:11" x14ac:dyDescent="0.2">
      <c r="A1989" s="2">
        <v>45351</v>
      </c>
      <c r="B1989">
        <v>5085.35986328125</v>
      </c>
      <c r="C1989">
        <v>5104.990234375</v>
      </c>
      <c r="D1989">
        <v>5061.89013671875</v>
      </c>
      <c r="E1989">
        <v>5096.27001953125</v>
      </c>
      <c r="F1989">
        <v>5096.27001953125</v>
      </c>
      <c r="G1989">
        <v>5219740000</v>
      </c>
      <c r="H1989">
        <v>0</v>
      </c>
      <c r="I1989">
        <v>0</v>
      </c>
      <c r="K1989" s="11">
        <f t="shared" si="31"/>
        <v>5.2290946971491614E-3</v>
      </c>
    </row>
    <row r="1990" spans="1:11" x14ac:dyDescent="0.2">
      <c r="A1990" s="2">
        <v>45352</v>
      </c>
      <c r="B1990">
        <v>5098.509765625</v>
      </c>
      <c r="C1990">
        <v>5140.330078125</v>
      </c>
      <c r="D1990">
        <v>5094.16015625</v>
      </c>
      <c r="E1990">
        <v>5137.080078125</v>
      </c>
      <c r="F1990">
        <v>5137.080078125</v>
      </c>
      <c r="G1990">
        <v>4748110000</v>
      </c>
      <c r="H1990">
        <v>0</v>
      </c>
      <c r="I1990">
        <v>0</v>
      </c>
      <c r="K1990" s="11">
        <f t="shared" si="31"/>
        <v>8.0078289488876297E-3</v>
      </c>
    </row>
    <row r="1991" spans="1:11" x14ac:dyDescent="0.2">
      <c r="A1991" s="2">
        <v>45355</v>
      </c>
      <c r="B1991">
        <v>5130.990234375</v>
      </c>
      <c r="C1991">
        <v>5149.669921875</v>
      </c>
      <c r="D1991">
        <v>5127.18017578125</v>
      </c>
      <c r="E1991">
        <v>5130.9501953125</v>
      </c>
      <c r="F1991">
        <v>5130.9501953125</v>
      </c>
      <c r="G1991">
        <v>4758440000</v>
      </c>
      <c r="H1991">
        <v>0</v>
      </c>
      <c r="I1991">
        <v>0</v>
      </c>
      <c r="K1991" s="11">
        <f t="shared" si="31"/>
        <v>-1.1932620709189656E-3</v>
      </c>
    </row>
    <row r="1992" spans="1:11" x14ac:dyDescent="0.2">
      <c r="A1992" s="2">
        <v>45356</v>
      </c>
      <c r="B1992">
        <v>5110.52001953125</v>
      </c>
      <c r="C1992">
        <v>5114.5400390625</v>
      </c>
      <c r="D1992">
        <v>5056.81982421875</v>
      </c>
      <c r="E1992">
        <v>5078.64990234375</v>
      </c>
      <c r="F1992">
        <v>5078.64990234375</v>
      </c>
      <c r="G1992">
        <v>4418410000</v>
      </c>
      <c r="H1992">
        <v>0</v>
      </c>
      <c r="I1992">
        <v>0</v>
      </c>
      <c r="K1992" s="11">
        <f t="shared" si="31"/>
        <v>-1.0193100883444606E-2</v>
      </c>
    </row>
    <row r="1993" spans="1:11" x14ac:dyDescent="0.2">
      <c r="A1993" s="2">
        <v>45357</v>
      </c>
      <c r="B1993">
        <v>5108.02978515625</v>
      </c>
      <c r="C1993">
        <v>5127.97021484375</v>
      </c>
      <c r="D1993">
        <v>5092.22021484375</v>
      </c>
      <c r="E1993">
        <v>5104.759765625</v>
      </c>
      <c r="F1993">
        <v>5104.759765625</v>
      </c>
      <c r="G1993">
        <v>4559050000</v>
      </c>
      <c r="H1993">
        <v>0</v>
      </c>
      <c r="I1993">
        <v>0</v>
      </c>
      <c r="K1993" s="11">
        <f t="shared" si="31"/>
        <v>5.1411032032746551E-3</v>
      </c>
    </row>
    <row r="1994" spans="1:11" x14ac:dyDescent="0.2">
      <c r="A1994" s="2">
        <v>45358</v>
      </c>
      <c r="B1994">
        <v>5132.3798828125</v>
      </c>
      <c r="C1994">
        <v>5165.6201171875</v>
      </c>
      <c r="D1994">
        <v>5128.2099609375</v>
      </c>
      <c r="E1994">
        <v>5157.35986328125</v>
      </c>
      <c r="F1994">
        <v>5157.35986328125</v>
      </c>
      <c r="G1994">
        <v>4137980000</v>
      </c>
      <c r="H1994">
        <v>0</v>
      </c>
      <c r="I1994">
        <v>0</v>
      </c>
      <c r="K1994" s="11">
        <f t="shared" si="31"/>
        <v>1.0304127925951478E-2</v>
      </c>
    </row>
    <row r="1995" spans="1:11" x14ac:dyDescent="0.2">
      <c r="A1995" s="2">
        <v>45359</v>
      </c>
      <c r="B1995">
        <v>5164.4599609375</v>
      </c>
      <c r="C1995">
        <v>5189.259765625</v>
      </c>
      <c r="D1995">
        <v>5117.5</v>
      </c>
      <c r="E1995">
        <v>5123.68994140625</v>
      </c>
      <c r="F1995">
        <v>5123.68994140625</v>
      </c>
      <c r="G1995">
        <v>4208870000</v>
      </c>
      <c r="H1995">
        <v>0</v>
      </c>
      <c r="I1995">
        <v>0</v>
      </c>
      <c r="K1995" s="11">
        <f t="shared" si="31"/>
        <v>-6.5285190034379825E-3</v>
      </c>
    </row>
    <row r="1996" spans="1:11" x14ac:dyDescent="0.2">
      <c r="A1996" s="2">
        <v>45362</v>
      </c>
      <c r="B1996">
        <v>5111.9599609375</v>
      </c>
      <c r="C1996">
        <v>5124.66015625</v>
      </c>
      <c r="D1996">
        <v>5091.14013671875</v>
      </c>
      <c r="E1996">
        <v>5117.93994140625</v>
      </c>
      <c r="F1996">
        <v>5117.93994140625</v>
      </c>
      <c r="G1996">
        <v>3896430000</v>
      </c>
      <c r="H1996">
        <v>0</v>
      </c>
      <c r="I1996">
        <v>0</v>
      </c>
      <c r="K1996" s="11">
        <f t="shared" si="31"/>
        <v>-1.122238087346461E-3</v>
      </c>
    </row>
    <row r="1997" spans="1:11" x14ac:dyDescent="0.2">
      <c r="A1997" s="2">
        <v>45363</v>
      </c>
      <c r="B1997">
        <v>5134.2998046875</v>
      </c>
      <c r="C1997">
        <v>5179.8701171875</v>
      </c>
      <c r="D1997">
        <v>5114.47998046875</v>
      </c>
      <c r="E1997">
        <v>5175.27001953125</v>
      </c>
      <c r="F1997">
        <v>5175.27001953125</v>
      </c>
      <c r="G1997">
        <v>4080510000</v>
      </c>
      <c r="H1997">
        <v>0</v>
      </c>
      <c r="I1997">
        <v>0</v>
      </c>
      <c r="K1997" s="11">
        <f t="shared" si="31"/>
        <v>1.1201787981366396E-2</v>
      </c>
    </row>
    <row r="1998" spans="1:11" x14ac:dyDescent="0.2">
      <c r="A1998" s="2">
        <v>45364</v>
      </c>
      <c r="B1998">
        <v>5173.490234375</v>
      </c>
      <c r="C1998">
        <v>5179.14013671875</v>
      </c>
      <c r="D1998">
        <v>5151.8798828125</v>
      </c>
      <c r="E1998">
        <v>5165.31005859375</v>
      </c>
      <c r="F1998">
        <v>5165.31005859375</v>
      </c>
      <c r="G1998">
        <v>4282890000</v>
      </c>
      <c r="H1998">
        <v>0</v>
      </c>
      <c r="I1998">
        <v>0</v>
      </c>
      <c r="K1998" s="11">
        <f t="shared" si="31"/>
        <v>-1.9245297153407392E-3</v>
      </c>
    </row>
    <row r="1999" spans="1:11" x14ac:dyDescent="0.2">
      <c r="A1999" s="2">
        <v>45365</v>
      </c>
      <c r="B1999">
        <v>5175.14013671875</v>
      </c>
      <c r="C1999">
        <v>5176.85009765625</v>
      </c>
      <c r="D1999">
        <v>5123.2998046875</v>
      </c>
      <c r="E1999">
        <v>5150.47998046875</v>
      </c>
      <c r="F1999">
        <v>5150.47998046875</v>
      </c>
      <c r="G1999">
        <v>4687970000</v>
      </c>
      <c r="H1999">
        <v>0</v>
      </c>
      <c r="I1999">
        <v>0</v>
      </c>
      <c r="K1999" s="11">
        <f t="shared" si="31"/>
        <v>-2.8710915621273925E-3</v>
      </c>
    </row>
    <row r="2000" spans="1:11" x14ac:dyDescent="0.2">
      <c r="A2000" s="2">
        <v>45366</v>
      </c>
      <c r="B2000">
        <v>5123.31005859375</v>
      </c>
      <c r="C2000">
        <v>5136.85986328125</v>
      </c>
      <c r="D2000">
        <v>5104.35009765625</v>
      </c>
      <c r="E2000">
        <v>5117.08984375</v>
      </c>
      <c r="F2000">
        <v>5117.08984375</v>
      </c>
      <c r="G2000">
        <v>7753670000</v>
      </c>
      <c r="H2000">
        <v>0</v>
      </c>
      <c r="I2000">
        <v>0</v>
      </c>
      <c r="K2000" s="11">
        <f t="shared" si="31"/>
        <v>-6.4829174844615034E-3</v>
      </c>
    </row>
    <row r="2001" spans="1:11" x14ac:dyDescent="0.2">
      <c r="A2001" s="2">
        <v>45369</v>
      </c>
      <c r="B2001">
        <v>5154.77001953125</v>
      </c>
      <c r="C2001">
        <v>5175.60009765625</v>
      </c>
      <c r="D2001">
        <v>5145.47021484375</v>
      </c>
      <c r="E2001">
        <v>5149.419921875</v>
      </c>
      <c r="F2001">
        <v>5149.419921875</v>
      </c>
      <c r="G2001">
        <v>4036220000</v>
      </c>
      <c r="H2001">
        <v>0</v>
      </c>
      <c r="I2001">
        <v>0</v>
      </c>
      <c r="K2001" s="11">
        <f t="shared" si="31"/>
        <v>6.3180595049523447E-3</v>
      </c>
    </row>
    <row r="2002" spans="1:11" x14ac:dyDescent="0.2">
      <c r="A2002" s="2">
        <v>45370</v>
      </c>
      <c r="B2002">
        <v>5139.08984375</v>
      </c>
      <c r="C2002">
        <v>5180.31005859375</v>
      </c>
      <c r="D2002">
        <v>5131.58984375</v>
      </c>
      <c r="E2002">
        <v>5178.509765625</v>
      </c>
      <c r="F2002">
        <v>5178.509765625</v>
      </c>
      <c r="G2002">
        <v>4031760000</v>
      </c>
      <c r="H2002">
        <v>0</v>
      </c>
      <c r="I2002">
        <v>0</v>
      </c>
      <c r="K2002" s="11">
        <f t="shared" si="31"/>
        <v>5.6491496501236416E-3</v>
      </c>
    </row>
    <row r="2003" spans="1:11" x14ac:dyDescent="0.2">
      <c r="A2003" s="2">
        <v>45371</v>
      </c>
      <c r="B2003">
        <v>5181.68994140625</v>
      </c>
      <c r="C2003">
        <v>5226.18994140625</v>
      </c>
      <c r="D2003">
        <v>5171.5498046875</v>
      </c>
      <c r="E2003">
        <v>5224.6201171875</v>
      </c>
      <c r="F2003">
        <v>5224.6201171875</v>
      </c>
      <c r="G2003">
        <v>4064850000</v>
      </c>
      <c r="H2003">
        <v>0</v>
      </c>
      <c r="I2003">
        <v>0</v>
      </c>
      <c r="K2003" s="11">
        <f t="shared" si="31"/>
        <v>8.9041739128465913E-3</v>
      </c>
    </row>
    <row r="2004" spans="1:11" x14ac:dyDescent="0.2">
      <c r="A2004" s="2">
        <v>45372</v>
      </c>
      <c r="B2004">
        <v>5253.43017578125</v>
      </c>
      <c r="C2004">
        <v>5261.10009765625</v>
      </c>
      <c r="D2004">
        <v>5240.66015625</v>
      </c>
      <c r="E2004">
        <v>5241.52978515625</v>
      </c>
      <c r="F2004">
        <v>5241.52978515625</v>
      </c>
      <c r="G2004">
        <v>4207730000</v>
      </c>
      <c r="H2004">
        <v>0</v>
      </c>
      <c r="I2004">
        <v>0</v>
      </c>
      <c r="K2004" s="11">
        <f t="shared" si="31"/>
        <v>3.2365354015160275E-3</v>
      </c>
    </row>
    <row r="2005" spans="1:11" x14ac:dyDescent="0.2">
      <c r="A2005" s="2">
        <v>45373</v>
      </c>
      <c r="B2005">
        <v>5242.47998046875</v>
      </c>
      <c r="C2005">
        <v>5246.08984375</v>
      </c>
      <c r="D2005">
        <v>5229.8701171875</v>
      </c>
      <c r="E2005">
        <v>5234.18017578125</v>
      </c>
      <c r="F2005">
        <v>5234.18017578125</v>
      </c>
      <c r="G2005">
        <v>3374700000</v>
      </c>
      <c r="H2005">
        <v>0</v>
      </c>
      <c r="I2005">
        <v>0</v>
      </c>
      <c r="K2005" s="11">
        <f t="shared" si="31"/>
        <v>-1.4021878490156903E-3</v>
      </c>
    </row>
    <row r="2006" spans="1:11" x14ac:dyDescent="0.2">
      <c r="A2006" s="2">
        <v>45376</v>
      </c>
      <c r="B2006">
        <v>5219.52001953125</v>
      </c>
      <c r="C2006">
        <v>5229.08984375</v>
      </c>
      <c r="D2006">
        <v>5216.08984375</v>
      </c>
      <c r="E2006">
        <v>5218.18994140625</v>
      </c>
      <c r="F2006">
        <v>5218.18994140625</v>
      </c>
      <c r="G2006">
        <v>3331360000</v>
      </c>
      <c r="H2006">
        <v>0</v>
      </c>
      <c r="I2006">
        <v>0</v>
      </c>
      <c r="K2006" s="11">
        <f t="shared" si="31"/>
        <v>-3.0549644525015296E-3</v>
      </c>
    </row>
    <row r="2007" spans="1:11" x14ac:dyDescent="0.2">
      <c r="A2007" s="2">
        <v>45377</v>
      </c>
      <c r="B2007">
        <v>5228.85009765625</v>
      </c>
      <c r="C2007">
        <v>5235.16015625</v>
      </c>
      <c r="D2007">
        <v>5203.419921875</v>
      </c>
      <c r="E2007">
        <v>5203.580078125</v>
      </c>
      <c r="F2007">
        <v>5203.580078125</v>
      </c>
      <c r="G2007">
        <v>3871790000</v>
      </c>
      <c r="H2007">
        <v>0</v>
      </c>
      <c r="I2007">
        <v>0</v>
      </c>
      <c r="K2007" s="11">
        <f t="shared" si="31"/>
        <v>-2.799795225030266E-3</v>
      </c>
    </row>
    <row r="2008" spans="1:11" x14ac:dyDescent="0.2">
      <c r="A2008" s="2">
        <v>45378</v>
      </c>
      <c r="B2008">
        <v>5226.31005859375</v>
      </c>
      <c r="C2008">
        <v>5249.259765625</v>
      </c>
      <c r="D2008">
        <v>5213.919921875</v>
      </c>
      <c r="E2008">
        <v>5248.490234375</v>
      </c>
      <c r="F2008">
        <v>5248.490234375</v>
      </c>
      <c r="G2008">
        <v>3850500000</v>
      </c>
      <c r="H2008">
        <v>0</v>
      </c>
      <c r="I2008">
        <v>0</v>
      </c>
      <c r="K2008" s="11">
        <f t="shared" si="31"/>
        <v>8.6306265255329251E-3</v>
      </c>
    </row>
    <row r="2009" spans="1:11" x14ac:dyDescent="0.2">
      <c r="A2009" s="2">
        <v>45379</v>
      </c>
      <c r="B2009">
        <v>5248.02978515625</v>
      </c>
      <c r="C2009">
        <v>5264.85009765625</v>
      </c>
      <c r="D2009">
        <v>5245.81982421875</v>
      </c>
      <c r="E2009">
        <v>5254.35009765625</v>
      </c>
      <c r="F2009">
        <v>5254.35009765625</v>
      </c>
      <c r="G2009">
        <v>3998270000</v>
      </c>
      <c r="H2009">
        <v>0</v>
      </c>
      <c r="I2009">
        <v>0</v>
      </c>
      <c r="K2009" s="11">
        <f t="shared" si="31"/>
        <v>1.1164855071790214E-3</v>
      </c>
    </row>
    <row r="2010" spans="1:11" x14ac:dyDescent="0.2">
      <c r="A2010" s="2">
        <v>45383</v>
      </c>
      <c r="B2010">
        <v>5257.97021484375</v>
      </c>
      <c r="C2010">
        <v>5263.9501953125</v>
      </c>
      <c r="D2010">
        <v>5229.2001953125</v>
      </c>
      <c r="E2010">
        <v>5243.77001953125</v>
      </c>
      <c r="F2010">
        <v>5243.77001953125</v>
      </c>
      <c r="G2010">
        <v>3325930000</v>
      </c>
      <c r="H2010">
        <v>0</v>
      </c>
      <c r="I2010">
        <v>0</v>
      </c>
      <c r="K2010" s="11">
        <f t="shared" si="31"/>
        <v>-2.0135845401164643E-3</v>
      </c>
    </row>
    <row r="2011" spans="1:11" x14ac:dyDescent="0.2">
      <c r="A2011" s="2">
        <v>45384</v>
      </c>
      <c r="B2011">
        <v>5204.2900390625</v>
      </c>
      <c r="C2011">
        <v>5208.33984375</v>
      </c>
      <c r="D2011">
        <v>5184.0498046875</v>
      </c>
      <c r="E2011">
        <v>5205.81005859375</v>
      </c>
      <c r="F2011">
        <v>5205.81005859375</v>
      </c>
      <c r="G2011">
        <v>3886590000</v>
      </c>
      <c r="H2011">
        <v>0</v>
      </c>
      <c r="I2011">
        <v>0</v>
      </c>
      <c r="K2011" s="11">
        <f t="shared" si="31"/>
        <v>-7.2390590731691296E-3</v>
      </c>
    </row>
    <row r="2012" spans="1:11" x14ac:dyDescent="0.2">
      <c r="A2012" s="2">
        <v>45385</v>
      </c>
      <c r="B2012">
        <v>5194.3701171875</v>
      </c>
      <c r="C2012">
        <v>5228.75</v>
      </c>
      <c r="D2012">
        <v>5194.3701171875</v>
      </c>
      <c r="E2012">
        <v>5211.490234375</v>
      </c>
      <c r="F2012">
        <v>5211.490234375</v>
      </c>
      <c r="G2012">
        <v>3703250000</v>
      </c>
      <c r="H2012">
        <v>0</v>
      </c>
      <c r="I2012">
        <v>0</v>
      </c>
      <c r="K2012" s="11">
        <f t="shared" si="31"/>
        <v>1.091122364688113E-3</v>
      </c>
    </row>
    <row r="2013" spans="1:11" x14ac:dyDescent="0.2">
      <c r="A2013" s="2">
        <v>45386</v>
      </c>
      <c r="B2013">
        <v>5244.0498046875</v>
      </c>
      <c r="C2013">
        <v>5256.58984375</v>
      </c>
      <c r="D2013">
        <v>5146.06005859375</v>
      </c>
      <c r="E2013">
        <v>5147.2099609375</v>
      </c>
      <c r="F2013">
        <v>5147.2099609375</v>
      </c>
      <c r="G2013">
        <v>4075680000</v>
      </c>
      <c r="H2013">
        <v>0</v>
      </c>
      <c r="I2013">
        <v>0</v>
      </c>
      <c r="K2013" s="11">
        <f t="shared" si="31"/>
        <v>-1.2334336350379616E-2</v>
      </c>
    </row>
    <row r="2014" spans="1:11" x14ac:dyDescent="0.2">
      <c r="A2014" s="2">
        <v>45387</v>
      </c>
      <c r="B2014">
        <v>5158.9501953125</v>
      </c>
      <c r="C2014">
        <v>5222.18017578125</v>
      </c>
      <c r="D2014">
        <v>5157.2099609375</v>
      </c>
      <c r="E2014">
        <v>5204.33984375</v>
      </c>
      <c r="F2014">
        <v>5204.33984375</v>
      </c>
      <c r="G2014">
        <v>3386780000</v>
      </c>
      <c r="H2014">
        <v>0</v>
      </c>
      <c r="I2014">
        <v>0</v>
      </c>
      <c r="K2014" s="11">
        <f t="shared" si="31"/>
        <v>1.1099194174331695E-2</v>
      </c>
    </row>
    <row r="2015" spans="1:11" x14ac:dyDescent="0.2">
      <c r="A2015" s="2">
        <v>45390</v>
      </c>
      <c r="B2015">
        <v>5211.3701171875</v>
      </c>
      <c r="C2015">
        <v>5219.56982421875</v>
      </c>
      <c r="D2015">
        <v>5197.35009765625</v>
      </c>
      <c r="E2015">
        <v>5202.39013671875</v>
      </c>
      <c r="F2015">
        <v>5202.39013671875</v>
      </c>
      <c r="G2015">
        <v>3278180000</v>
      </c>
      <c r="H2015">
        <v>0</v>
      </c>
      <c r="I2015">
        <v>0</v>
      </c>
      <c r="K2015" s="11">
        <f t="shared" si="31"/>
        <v>-3.7463099831791524E-4</v>
      </c>
    </row>
    <row r="2016" spans="1:11" x14ac:dyDescent="0.2">
      <c r="A2016" s="2">
        <v>45391</v>
      </c>
      <c r="B2016">
        <v>5217.02978515625</v>
      </c>
      <c r="C2016">
        <v>5224.81005859375</v>
      </c>
      <c r="D2016">
        <v>5160.77978515625</v>
      </c>
      <c r="E2016">
        <v>5209.91015625</v>
      </c>
      <c r="F2016">
        <v>5209.91015625</v>
      </c>
      <c r="G2016">
        <v>3400680000</v>
      </c>
      <c r="H2016">
        <v>0</v>
      </c>
      <c r="I2016">
        <v>0</v>
      </c>
      <c r="K2016" s="11">
        <f t="shared" si="31"/>
        <v>1.4454931932483817E-3</v>
      </c>
    </row>
    <row r="2017" spans="1:11" x14ac:dyDescent="0.2">
      <c r="A2017" s="2">
        <v>45392</v>
      </c>
      <c r="B2017">
        <v>5167.8798828125</v>
      </c>
      <c r="C2017">
        <v>5178.43017578125</v>
      </c>
      <c r="D2017">
        <v>5138.7001953125</v>
      </c>
      <c r="E2017">
        <v>5160.64013671875</v>
      </c>
      <c r="F2017">
        <v>5160.64013671875</v>
      </c>
      <c r="G2017">
        <v>3845930000</v>
      </c>
      <c r="H2017">
        <v>0</v>
      </c>
      <c r="I2017">
        <v>0</v>
      </c>
      <c r="K2017" s="11">
        <f t="shared" si="31"/>
        <v>-9.4569806491084929E-3</v>
      </c>
    </row>
    <row r="2018" spans="1:11" x14ac:dyDescent="0.2">
      <c r="A2018" s="2">
        <v>45393</v>
      </c>
      <c r="B2018">
        <v>5172.9501953125</v>
      </c>
      <c r="C2018">
        <v>5211.77978515625</v>
      </c>
      <c r="D2018">
        <v>5138.77001953125</v>
      </c>
      <c r="E2018">
        <v>5199.06005859375</v>
      </c>
      <c r="F2018">
        <v>5199.06005859375</v>
      </c>
      <c r="G2018">
        <v>3509380000</v>
      </c>
      <c r="H2018">
        <v>0</v>
      </c>
      <c r="I2018">
        <v>0</v>
      </c>
      <c r="K2018" s="11">
        <f t="shared" si="31"/>
        <v>7.4447977105855934E-3</v>
      </c>
    </row>
    <row r="2019" spans="1:11" x14ac:dyDescent="0.2">
      <c r="A2019" s="2">
        <v>45394</v>
      </c>
      <c r="B2019">
        <v>5171.509765625</v>
      </c>
      <c r="C2019">
        <v>5175.02978515625</v>
      </c>
      <c r="D2019">
        <v>5107.93994140625</v>
      </c>
      <c r="E2019">
        <v>5123.41015625</v>
      </c>
      <c r="F2019">
        <v>5123.41015625</v>
      </c>
      <c r="G2019">
        <v>3963220000</v>
      </c>
      <c r="H2019">
        <v>0</v>
      </c>
      <c r="I2019">
        <v>0</v>
      </c>
      <c r="K2019" s="11">
        <f t="shared" si="31"/>
        <v>-1.4550688295801639E-2</v>
      </c>
    </row>
    <row r="2020" spans="1:11" x14ac:dyDescent="0.2">
      <c r="A2020" s="2">
        <v>45397</v>
      </c>
      <c r="B2020">
        <v>5149.669921875</v>
      </c>
      <c r="C2020">
        <v>5168.43017578125</v>
      </c>
      <c r="D2020">
        <v>5052.47021484375</v>
      </c>
      <c r="E2020">
        <v>5061.81982421875</v>
      </c>
      <c r="F2020">
        <v>5061.81982421875</v>
      </c>
      <c r="G2020">
        <v>3950210000</v>
      </c>
      <c r="H2020">
        <v>0</v>
      </c>
      <c r="I2020">
        <v>0</v>
      </c>
      <c r="K2020" s="11">
        <f t="shared" si="31"/>
        <v>-1.202135494776202E-2</v>
      </c>
    </row>
    <row r="2021" spans="1:11" x14ac:dyDescent="0.2">
      <c r="A2021" s="2">
        <v>45398</v>
      </c>
      <c r="B2021">
        <v>5064.58984375</v>
      </c>
      <c r="C2021">
        <v>5079.83984375</v>
      </c>
      <c r="D2021">
        <v>5039.830078125</v>
      </c>
      <c r="E2021">
        <v>5051.41015625</v>
      </c>
      <c r="F2021">
        <v>5051.41015625</v>
      </c>
      <c r="G2021">
        <v>4006200000</v>
      </c>
      <c r="H2021">
        <v>0</v>
      </c>
      <c r="I2021">
        <v>0</v>
      </c>
      <c r="K2021" s="11">
        <f t="shared" si="31"/>
        <v>-2.0565070133361507E-3</v>
      </c>
    </row>
    <row r="2022" spans="1:11" x14ac:dyDescent="0.2">
      <c r="A2022" s="2">
        <v>45399</v>
      </c>
      <c r="B2022">
        <v>5068.97021484375</v>
      </c>
      <c r="C2022">
        <v>5077.9599609375</v>
      </c>
      <c r="D2022">
        <v>5007.25</v>
      </c>
      <c r="E2022">
        <v>5022.2099609375</v>
      </c>
      <c r="F2022">
        <v>5022.2099609375</v>
      </c>
      <c r="G2022">
        <v>3596130000</v>
      </c>
      <c r="H2022">
        <v>0</v>
      </c>
      <c r="I2022">
        <v>0</v>
      </c>
      <c r="K2022" s="11">
        <f t="shared" si="31"/>
        <v>-5.780602724641426E-3</v>
      </c>
    </row>
    <row r="2023" spans="1:11" x14ac:dyDescent="0.2">
      <c r="A2023" s="2">
        <v>45400</v>
      </c>
      <c r="B2023">
        <v>5031.52001953125</v>
      </c>
      <c r="C2023">
        <v>5056.66015625</v>
      </c>
      <c r="D2023">
        <v>5001.89013671875</v>
      </c>
      <c r="E2023">
        <v>5011.1201171875</v>
      </c>
      <c r="F2023">
        <v>5011.1201171875</v>
      </c>
      <c r="G2023">
        <v>3619760000</v>
      </c>
      <c r="H2023">
        <v>0</v>
      </c>
      <c r="I2023">
        <v>0</v>
      </c>
      <c r="K2023" s="11">
        <f t="shared" si="31"/>
        <v>-2.2081601199982481E-3</v>
      </c>
    </row>
    <row r="2024" spans="1:11" x14ac:dyDescent="0.2">
      <c r="A2024" s="2">
        <v>45401</v>
      </c>
      <c r="B2024">
        <v>5005.43994140625</v>
      </c>
      <c r="C2024">
        <v>5019.02001953125</v>
      </c>
      <c r="D2024">
        <v>4953.56005859375</v>
      </c>
      <c r="E2024">
        <v>4967.22998046875</v>
      </c>
      <c r="F2024">
        <v>4967.22998046875</v>
      </c>
      <c r="G2024">
        <v>3878750000</v>
      </c>
      <c r="H2024">
        <v>0</v>
      </c>
      <c r="I2024">
        <v>0</v>
      </c>
      <c r="K2024" s="11">
        <f t="shared" si="31"/>
        <v>-8.7585481274361499E-3</v>
      </c>
    </row>
    <row r="2025" spans="1:11" x14ac:dyDescent="0.2">
      <c r="A2025" s="2">
        <v>45404</v>
      </c>
      <c r="B2025">
        <v>4987.330078125</v>
      </c>
      <c r="C2025">
        <v>5038.83984375</v>
      </c>
      <c r="D2025">
        <v>4969.39990234375</v>
      </c>
      <c r="E2025">
        <v>5010.60009765625</v>
      </c>
      <c r="F2025">
        <v>5010.60009765625</v>
      </c>
      <c r="G2025">
        <v>3820250000</v>
      </c>
      <c r="H2025">
        <v>0</v>
      </c>
      <c r="I2025">
        <v>0</v>
      </c>
      <c r="K2025" s="11">
        <f t="shared" si="31"/>
        <v>8.7312480714667462E-3</v>
      </c>
    </row>
    <row r="2026" spans="1:11" x14ac:dyDescent="0.2">
      <c r="A2026" s="2">
        <v>45405</v>
      </c>
      <c r="B2026">
        <v>5028.85009765625</v>
      </c>
      <c r="C2026">
        <v>5076.1201171875</v>
      </c>
      <c r="D2026">
        <v>5027.9599609375</v>
      </c>
      <c r="E2026">
        <v>5070.5498046875</v>
      </c>
      <c r="F2026">
        <v>5070.5498046875</v>
      </c>
      <c r="G2026">
        <v>3751400000</v>
      </c>
      <c r="H2026">
        <v>0</v>
      </c>
      <c r="I2026">
        <v>0</v>
      </c>
      <c r="K2026" s="11">
        <f t="shared" si="31"/>
        <v>1.1964576270872662E-2</v>
      </c>
    </row>
    <row r="2027" spans="1:11" x14ac:dyDescent="0.2">
      <c r="A2027" s="2">
        <v>45406</v>
      </c>
      <c r="B2027">
        <v>5084.85986328125</v>
      </c>
      <c r="C2027">
        <v>5089.47998046875</v>
      </c>
      <c r="D2027">
        <v>5047.02001953125</v>
      </c>
      <c r="E2027">
        <v>5071.6298828125</v>
      </c>
      <c r="F2027">
        <v>5071.6298828125</v>
      </c>
      <c r="G2027">
        <v>3656740000</v>
      </c>
      <c r="H2027">
        <v>0</v>
      </c>
      <c r="I2027">
        <v>0</v>
      </c>
      <c r="K2027" s="11">
        <f t="shared" si="31"/>
        <v>2.130100613548791E-4</v>
      </c>
    </row>
    <row r="2028" spans="1:11" x14ac:dyDescent="0.2">
      <c r="A2028" s="2">
        <v>45407</v>
      </c>
      <c r="B2028">
        <v>5019.8798828125</v>
      </c>
      <c r="C2028">
        <v>5057.75</v>
      </c>
      <c r="D2028">
        <v>4990.580078125</v>
      </c>
      <c r="E2028">
        <v>5048.419921875</v>
      </c>
      <c r="F2028">
        <v>5048.419921875</v>
      </c>
      <c r="G2028">
        <v>3958050000</v>
      </c>
      <c r="H2028">
        <v>0</v>
      </c>
      <c r="I2028">
        <v>0</v>
      </c>
      <c r="K2028" s="11">
        <f t="shared" si="31"/>
        <v>-4.5764303535156259E-3</v>
      </c>
    </row>
    <row r="2029" spans="1:11" x14ac:dyDescent="0.2">
      <c r="A2029" s="2">
        <v>45408</v>
      </c>
      <c r="B2029">
        <v>5084.64990234375</v>
      </c>
      <c r="C2029">
        <v>5114.6201171875</v>
      </c>
      <c r="D2029">
        <v>5073.14013671875</v>
      </c>
      <c r="E2029">
        <v>5099.9599609375</v>
      </c>
      <c r="F2029">
        <v>5099.9599609375</v>
      </c>
      <c r="G2029">
        <v>3604140000</v>
      </c>
      <c r="H2029">
        <v>0</v>
      </c>
      <c r="I2029">
        <v>0</v>
      </c>
      <c r="K2029" s="11">
        <f t="shared" si="31"/>
        <v>1.020914263474304E-2</v>
      </c>
    </row>
    <row r="2030" spans="1:11" x14ac:dyDescent="0.2">
      <c r="A2030" s="2">
        <v>45411</v>
      </c>
      <c r="B2030">
        <v>5114.1298828125</v>
      </c>
      <c r="C2030">
        <v>5123.490234375</v>
      </c>
      <c r="D2030">
        <v>5088.64990234375</v>
      </c>
      <c r="E2030">
        <v>5116.169921875</v>
      </c>
      <c r="F2030">
        <v>5116.169921875</v>
      </c>
      <c r="G2030">
        <v>3447450000</v>
      </c>
      <c r="H2030">
        <v>0</v>
      </c>
      <c r="I2030">
        <v>0</v>
      </c>
      <c r="K2030" s="11">
        <f t="shared" si="31"/>
        <v>3.1784486665891176E-3</v>
      </c>
    </row>
    <row r="2031" spans="1:11" x14ac:dyDescent="0.2">
      <c r="A2031" s="2">
        <v>45412</v>
      </c>
      <c r="B2031">
        <v>5103.77978515625</v>
      </c>
      <c r="C2031">
        <v>5110.830078125</v>
      </c>
      <c r="D2031">
        <v>5035.31005859375</v>
      </c>
      <c r="E2031">
        <v>5035.68994140625</v>
      </c>
      <c r="F2031">
        <v>5035.68994140625</v>
      </c>
      <c r="G2031">
        <v>4082470000</v>
      </c>
      <c r="H2031">
        <v>0</v>
      </c>
      <c r="I2031">
        <v>0</v>
      </c>
      <c r="K2031" s="11">
        <f t="shared" si="31"/>
        <v>-1.5730513586862171E-2</v>
      </c>
    </row>
    <row r="2032" spans="1:11" x14ac:dyDescent="0.2">
      <c r="A2032" s="2">
        <v>45413</v>
      </c>
      <c r="B2032">
        <v>5029.02978515625</v>
      </c>
      <c r="C2032">
        <v>5096.1201171875</v>
      </c>
      <c r="D2032">
        <v>5013.4501953125</v>
      </c>
      <c r="E2032">
        <v>5018.39013671875</v>
      </c>
      <c r="F2032">
        <v>5018.39013671875</v>
      </c>
      <c r="G2032">
        <v>4544170000</v>
      </c>
      <c r="H2032">
        <v>0</v>
      </c>
      <c r="I2032">
        <v>0</v>
      </c>
      <c r="K2032" s="11">
        <f t="shared" si="31"/>
        <v>-3.4354388154940185E-3</v>
      </c>
    </row>
    <row r="2033" spans="1:11" x14ac:dyDescent="0.2">
      <c r="A2033" s="2">
        <v>45414</v>
      </c>
      <c r="B2033">
        <v>5049.31982421875</v>
      </c>
      <c r="C2033">
        <v>5073.2099609375</v>
      </c>
      <c r="D2033">
        <v>5011.0498046875</v>
      </c>
      <c r="E2033">
        <v>5064.2001953125</v>
      </c>
      <c r="F2033">
        <v>5064.2001953125</v>
      </c>
      <c r="G2033">
        <v>4381660000</v>
      </c>
      <c r="H2033">
        <v>0</v>
      </c>
      <c r="I2033">
        <v>0</v>
      </c>
      <c r="K2033" s="11">
        <f t="shared" si="31"/>
        <v>9.1284370775730483E-3</v>
      </c>
    </row>
    <row r="2034" spans="1:11" x14ac:dyDescent="0.2">
      <c r="A2034" s="2">
        <v>45415</v>
      </c>
      <c r="B2034">
        <v>5122.77978515625</v>
      </c>
      <c r="C2034">
        <v>5139.1201171875</v>
      </c>
      <c r="D2034">
        <v>5101.22021484375</v>
      </c>
      <c r="E2034">
        <v>5127.7900390625</v>
      </c>
      <c r="F2034">
        <v>5127.7900390625</v>
      </c>
      <c r="G2034">
        <v>3924990000</v>
      </c>
      <c r="H2034">
        <v>0</v>
      </c>
      <c r="I2034">
        <v>0</v>
      </c>
      <c r="K2034" s="11">
        <f t="shared" si="31"/>
        <v>1.2556739721478527E-2</v>
      </c>
    </row>
    <row r="2035" spans="1:11" x14ac:dyDescent="0.2">
      <c r="A2035" s="2">
        <v>45418</v>
      </c>
      <c r="B2035">
        <v>5142.419921875</v>
      </c>
      <c r="C2035">
        <v>5181</v>
      </c>
      <c r="D2035">
        <v>5142.419921875</v>
      </c>
      <c r="E2035">
        <v>5180.740234375</v>
      </c>
      <c r="F2035">
        <v>5180.740234375</v>
      </c>
      <c r="G2035">
        <v>3683250000</v>
      </c>
      <c r="H2035">
        <v>0</v>
      </c>
      <c r="I2035">
        <v>0</v>
      </c>
      <c r="K2035" s="11">
        <f t="shared" si="31"/>
        <v>1.0326123907011819E-2</v>
      </c>
    </row>
    <row r="2036" spans="1:11" x14ac:dyDescent="0.2">
      <c r="A2036" s="2">
        <v>45419</v>
      </c>
      <c r="B2036">
        <v>5187.2001953125</v>
      </c>
      <c r="C2036">
        <v>5200.22998046875</v>
      </c>
      <c r="D2036">
        <v>5178.9599609375</v>
      </c>
      <c r="E2036">
        <v>5187.7001953125</v>
      </c>
      <c r="F2036">
        <v>5187.7001953125</v>
      </c>
      <c r="G2036">
        <v>3987890000</v>
      </c>
      <c r="H2036">
        <v>0</v>
      </c>
      <c r="I2036">
        <v>0</v>
      </c>
      <c r="K2036" s="11">
        <f t="shared" si="31"/>
        <v>1.3434298232750663E-3</v>
      </c>
    </row>
    <row r="2037" spans="1:11" x14ac:dyDescent="0.2">
      <c r="A2037" s="2">
        <v>45420</v>
      </c>
      <c r="B2037">
        <v>5168.97998046875</v>
      </c>
      <c r="C2037">
        <v>5191.9501953125</v>
      </c>
      <c r="D2037">
        <v>5165.85986328125</v>
      </c>
      <c r="E2037">
        <v>5187.669921875</v>
      </c>
      <c r="F2037">
        <v>5187.669921875</v>
      </c>
      <c r="G2037">
        <v>3842100000</v>
      </c>
      <c r="H2037">
        <v>0</v>
      </c>
      <c r="I2037">
        <v>0</v>
      </c>
      <c r="K2037" s="11">
        <f t="shared" si="31"/>
        <v>-5.8356181661389783E-6</v>
      </c>
    </row>
    <row r="2038" spans="1:11" x14ac:dyDescent="0.2">
      <c r="A2038" s="2">
        <v>45421</v>
      </c>
      <c r="B2038">
        <v>5189.02978515625</v>
      </c>
      <c r="C2038">
        <v>5215.2998046875</v>
      </c>
      <c r="D2038">
        <v>5180.41015625</v>
      </c>
      <c r="E2038">
        <v>5214.080078125</v>
      </c>
      <c r="F2038">
        <v>5214.080078125</v>
      </c>
      <c r="G2038">
        <v>3727370000</v>
      </c>
      <c r="H2038">
        <v>0</v>
      </c>
      <c r="I2038">
        <v>0</v>
      </c>
      <c r="K2038" s="11">
        <f t="shared" si="31"/>
        <v>5.0909476986258362E-3</v>
      </c>
    </row>
    <row r="2039" spans="1:11" x14ac:dyDescent="0.2">
      <c r="A2039" s="2">
        <v>45422</v>
      </c>
      <c r="B2039">
        <v>5225.490234375</v>
      </c>
      <c r="C2039">
        <v>5239.66015625</v>
      </c>
      <c r="D2039">
        <v>5209.68017578125</v>
      </c>
      <c r="E2039">
        <v>5222.68017578125</v>
      </c>
      <c r="F2039">
        <v>5222.68017578125</v>
      </c>
      <c r="G2039">
        <v>3617900000</v>
      </c>
      <c r="H2039">
        <v>0</v>
      </c>
      <c r="I2039">
        <v>0</v>
      </c>
      <c r="K2039" s="11">
        <f t="shared" si="31"/>
        <v>1.6493988445498431E-3</v>
      </c>
    </row>
    <row r="2040" spans="1:11" x14ac:dyDescent="0.2">
      <c r="A2040" s="2">
        <v>45425</v>
      </c>
      <c r="B2040">
        <v>5233.080078125</v>
      </c>
      <c r="C2040">
        <v>5237.259765625</v>
      </c>
      <c r="D2040">
        <v>5211.16015625</v>
      </c>
      <c r="E2040">
        <v>5221.419921875</v>
      </c>
      <c r="F2040">
        <v>5221.419921875</v>
      </c>
      <c r="G2040">
        <v>4255710000</v>
      </c>
      <c r="H2040">
        <v>0</v>
      </c>
      <c r="I2040">
        <v>0</v>
      </c>
      <c r="K2040" s="11">
        <f t="shared" si="31"/>
        <v>-2.4130405535727206E-4</v>
      </c>
    </row>
    <row r="2041" spans="1:11" x14ac:dyDescent="0.2">
      <c r="A2041" s="2">
        <v>45426</v>
      </c>
      <c r="B2041">
        <v>5221.10009765625</v>
      </c>
      <c r="C2041">
        <v>5250.3701171875</v>
      </c>
      <c r="D2041">
        <v>5217.97998046875</v>
      </c>
      <c r="E2041">
        <v>5246.68017578125</v>
      </c>
      <c r="F2041">
        <v>5246.68017578125</v>
      </c>
      <c r="G2041">
        <v>4763580000</v>
      </c>
      <c r="H2041">
        <v>0</v>
      </c>
      <c r="I2041">
        <v>0</v>
      </c>
      <c r="K2041" s="11">
        <f t="shared" si="31"/>
        <v>4.8378131397597279E-3</v>
      </c>
    </row>
    <row r="2042" spans="1:11" x14ac:dyDescent="0.2">
      <c r="A2042" s="2">
        <v>45427</v>
      </c>
      <c r="B2042">
        <v>5263.259765625</v>
      </c>
      <c r="C2042">
        <v>5311.759765625</v>
      </c>
      <c r="D2042">
        <v>5263.259765625</v>
      </c>
      <c r="E2042">
        <v>5308.14990234375</v>
      </c>
      <c r="F2042">
        <v>5308.14990234375</v>
      </c>
      <c r="G2042">
        <v>4360810000</v>
      </c>
      <c r="H2042">
        <v>0</v>
      </c>
      <c r="I2042">
        <v>0</v>
      </c>
      <c r="K2042" s="11">
        <f t="shared" si="31"/>
        <v>1.1715927882596233E-2</v>
      </c>
    </row>
    <row r="2043" spans="1:11" x14ac:dyDescent="0.2">
      <c r="A2043" s="2">
        <v>45428</v>
      </c>
      <c r="B2043">
        <v>5310.06982421875</v>
      </c>
      <c r="C2043">
        <v>5325.490234375</v>
      </c>
      <c r="D2043">
        <v>5296.18994140625</v>
      </c>
      <c r="E2043">
        <v>5297.10009765625</v>
      </c>
      <c r="F2043">
        <v>5297.10009765625</v>
      </c>
      <c r="G2043">
        <v>3817470000</v>
      </c>
      <c r="H2043">
        <v>0</v>
      </c>
      <c r="I2043">
        <v>0</v>
      </c>
      <c r="K2043" s="11">
        <f t="shared" si="31"/>
        <v>-2.0816677921287052E-3</v>
      </c>
    </row>
    <row r="2044" spans="1:11" x14ac:dyDescent="0.2">
      <c r="A2044" s="2">
        <v>45429</v>
      </c>
      <c r="B2044">
        <v>5303.10009765625</v>
      </c>
      <c r="C2044">
        <v>5305.4501953125</v>
      </c>
      <c r="D2044">
        <v>5283.58984375</v>
      </c>
      <c r="E2044">
        <v>5303.27001953125</v>
      </c>
      <c r="F2044">
        <v>5303.27001953125</v>
      </c>
      <c r="G2044">
        <v>3578120000</v>
      </c>
      <c r="H2044">
        <v>0</v>
      </c>
      <c r="I2044">
        <v>0</v>
      </c>
      <c r="K2044" s="11">
        <f t="shared" si="31"/>
        <v>1.1647735102702228E-3</v>
      </c>
    </row>
    <row r="2045" spans="1:11" x14ac:dyDescent="0.2">
      <c r="A2045" s="2">
        <v>45432</v>
      </c>
      <c r="B2045">
        <v>5305.35009765625</v>
      </c>
      <c r="C2045">
        <v>5325.31982421875</v>
      </c>
      <c r="D2045">
        <v>5302.39990234375</v>
      </c>
      <c r="E2045">
        <v>5308.1298828125</v>
      </c>
      <c r="F2045">
        <v>5308.1298828125</v>
      </c>
      <c r="G2045">
        <v>3420100000</v>
      </c>
      <c r="H2045">
        <v>0</v>
      </c>
      <c r="I2045">
        <v>0</v>
      </c>
      <c r="K2045" s="11">
        <f t="shared" si="31"/>
        <v>9.163899374069473E-4</v>
      </c>
    </row>
    <row r="2046" spans="1:11" x14ac:dyDescent="0.2">
      <c r="A2046" s="2">
        <v>45433</v>
      </c>
      <c r="B2046">
        <v>5298.68994140625</v>
      </c>
      <c r="C2046">
        <v>5324.31982421875</v>
      </c>
      <c r="D2046">
        <v>5297.8701171875</v>
      </c>
      <c r="E2046">
        <v>5321.41015625</v>
      </c>
      <c r="F2046">
        <v>5321.41015625</v>
      </c>
      <c r="G2046">
        <v>3662240000</v>
      </c>
      <c r="H2046">
        <v>0</v>
      </c>
      <c r="I2046">
        <v>0</v>
      </c>
      <c r="K2046" s="11">
        <f t="shared" si="31"/>
        <v>2.501874243978186E-3</v>
      </c>
    </row>
    <row r="2047" spans="1:11" x14ac:dyDescent="0.2">
      <c r="A2047" s="2">
        <v>45434</v>
      </c>
      <c r="B2047">
        <v>5319.27978515625</v>
      </c>
      <c r="C2047">
        <v>5323.18017578125</v>
      </c>
      <c r="D2047">
        <v>5286.009765625</v>
      </c>
      <c r="E2047">
        <v>5307.009765625</v>
      </c>
      <c r="F2047">
        <v>5307.009765625</v>
      </c>
      <c r="G2047">
        <v>3847130000</v>
      </c>
      <c r="H2047">
        <v>0</v>
      </c>
      <c r="I2047">
        <v>0</v>
      </c>
      <c r="K2047" s="11">
        <f t="shared" si="31"/>
        <v>-2.7061230392261271E-3</v>
      </c>
    </row>
    <row r="2048" spans="1:11" x14ac:dyDescent="0.2">
      <c r="A2048" s="2">
        <v>45435</v>
      </c>
      <c r="B2048">
        <v>5340.259765625</v>
      </c>
      <c r="C2048">
        <v>5341.8798828125</v>
      </c>
      <c r="D2048">
        <v>5256.93017578125</v>
      </c>
      <c r="E2048">
        <v>5267.83984375</v>
      </c>
      <c r="F2048">
        <v>5267.83984375</v>
      </c>
      <c r="G2048">
        <v>3869520000</v>
      </c>
      <c r="H2048">
        <v>0</v>
      </c>
      <c r="I2048">
        <v>0</v>
      </c>
      <c r="K2048" s="11">
        <f t="shared" si="31"/>
        <v>-7.3807894850155265E-3</v>
      </c>
    </row>
    <row r="2049" spans="1:11" x14ac:dyDescent="0.2">
      <c r="A2049" s="2">
        <v>45436</v>
      </c>
      <c r="B2049">
        <v>5281.4501953125</v>
      </c>
      <c r="C2049">
        <v>5311.64990234375</v>
      </c>
      <c r="D2049">
        <v>5278.39013671875</v>
      </c>
      <c r="E2049">
        <v>5304.72021484375</v>
      </c>
      <c r="F2049">
        <v>5304.72021484375</v>
      </c>
      <c r="G2049">
        <v>3005510000</v>
      </c>
      <c r="H2049">
        <v>0</v>
      </c>
      <c r="I2049">
        <v>0</v>
      </c>
      <c r="K2049" s="11">
        <f t="shared" si="31"/>
        <v>7.0010425881694704E-3</v>
      </c>
    </row>
    <row r="2050" spans="1:11" x14ac:dyDescent="0.2">
      <c r="A2050" s="2">
        <v>45440</v>
      </c>
      <c r="B2050">
        <v>5315.91015625</v>
      </c>
      <c r="C2050">
        <v>5315.91015625</v>
      </c>
      <c r="D2050">
        <v>5280.89013671875</v>
      </c>
      <c r="E2050">
        <v>5306.0400390625</v>
      </c>
      <c r="F2050">
        <v>5306.0400390625</v>
      </c>
      <c r="G2050">
        <v>3751540000</v>
      </c>
      <c r="H2050">
        <v>0</v>
      </c>
      <c r="I2050">
        <v>0</v>
      </c>
      <c r="K2050" s="11">
        <f t="shared" si="31"/>
        <v>2.4880185293407742E-4</v>
      </c>
    </row>
    <row r="2051" spans="1:11" x14ac:dyDescent="0.2">
      <c r="A2051" s="2">
        <v>45441</v>
      </c>
      <c r="B2051">
        <v>5278.72998046875</v>
      </c>
      <c r="C2051">
        <v>5282.27001953125</v>
      </c>
      <c r="D2051">
        <v>5262.7001953125</v>
      </c>
      <c r="E2051">
        <v>5266.9501953125</v>
      </c>
      <c r="F2051">
        <v>5266.9501953125</v>
      </c>
      <c r="G2051">
        <v>3552750000</v>
      </c>
      <c r="H2051">
        <v>0</v>
      </c>
      <c r="I2051">
        <v>0</v>
      </c>
      <c r="K2051" s="11">
        <f t="shared" si="31"/>
        <v>-7.3670465096804527E-3</v>
      </c>
    </row>
    <row r="2052" spans="1:11" x14ac:dyDescent="0.2">
      <c r="A2052" s="2">
        <v>45442</v>
      </c>
      <c r="B2052">
        <v>5259.77001953125</v>
      </c>
      <c r="C2052">
        <v>5260.2099609375</v>
      </c>
      <c r="D2052">
        <v>5222.10009765625</v>
      </c>
      <c r="E2052">
        <v>5235.47998046875</v>
      </c>
      <c r="F2052">
        <v>5235.47998046875</v>
      </c>
      <c r="G2052">
        <v>3818750000</v>
      </c>
      <c r="H2052">
        <v>0</v>
      </c>
      <c r="I2052">
        <v>0</v>
      </c>
      <c r="K2052" s="11">
        <f t="shared" ref="K2052:K2115" si="32">(E2052/E2051)-1</f>
        <v>-5.9750355854433224E-3</v>
      </c>
    </row>
    <row r="2053" spans="1:11" x14ac:dyDescent="0.2">
      <c r="A2053" s="2">
        <v>45443</v>
      </c>
      <c r="B2053">
        <v>5243.2099609375</v>
      </c>
      <c r="C2053">
        <v>5280.330078125</v>
      </c>
      <c r="D2053">
        <v>5191.68017578125</v>
      </c>
      <c r="E2053">
        <v>5277.509765625</v>
      </c>
      <c r="F2053">
        <v>5277.509765625</v>
      </c>
      <c r="G2053">
        <v>5437160000</v>
      </c>
      <c r="H2053">
        <v>0</v>
      </c>
      <c r="I2053">
        <v>0</v>
      </c>
      <c r="K2053" s="11">
        <f t="shared" si="32"/>
        <v>8.0278762048646701E-3</v>
      </c>
    </row>
    <row r="2054" spans="1:11" x14ac:dyDescent="0.2">
      <c r="A2054" s="2">
        <v>45446</v>
      </c>
      <c r="B2054">
        <v>5297.14990234375</v>
      </c>
      <c r="C2054">
        <v>5302.10986328125</v>
      </c>
      <c r="D2054">
        <v>5234.31982421875</v>
      </c>
      <c r="E2054">
        <v>5283.39990234375</v>
      </c>
      <c r="F2054">
        <v>5283.39990234375</v>
      </c>
      <c r="G2054">
        <v>4046920000</v>
      </c>
      <c r="H2054">
        <v>0</v>
      </c>
      <c r="I2054">
        <v>0</v>
      </c>
      <c r="K2054" s="11">
        <f t="shared" si="32"/>
        <v>1.1160825806737495E-3</v>
      </c>
    </row>
    <row r="2055" spans="1:11" x14ac:dyDescent="0.2">
      <c r="A2055" s="2">
        <v>45447</v>
      </c>
      <c r="B2055">
        <v>5278.240234375</v>
      </c>
      <c r="C2055">
        <v>5298.7998046875</v>
      </c>
      <c r="D2055">
        <v>5257.6298828125</v>
      </c>
      <c r="E2055">
        <v>5291.33984375</v>
      </c>
      <c r="F2055">
        <v>5291.33984375</v>
      </c>
      <c r="G2055">
        <v>3707900000</v>
      </c>
      <c r="H2055">
        <v>0</v>
      </c>
      <c r="I2055">
        <v>0</v>
      </c>
      <c r="K2055" s="11">
        <f t="shared" si="32"/>
        <v>1.5028090913065117E-3</v>
      </c>
    </row>
    <row r="2056" spans="1:11" x14ac:dyDescent="0.2">
      <c r="A2056" s="2">
        <v>45448</v>
      </c>
      <c r="B2056">
        <v>5314.47998046875</v>
      </c>
      <c r="C2056">
        <v>5354.16015625</v>
      </c>
      <c r="D2056">
        <v>5297.64013671875</v>
      </c>
      <c r="E2056">
        <v>5354.02978515625</v>
      </c>
      <c r="F2056">
        <v>5354.02978515625</v>
      </c>
      <c r="G2056">
        <v>3591460000</v>
      </c>
      <c r="H2056">
        <v>0</v>
      </c>
      <c r="I2056">
        <v>0</v>
      </c>
      <c r="K2056" s="11">
        <f t="shared" si="32"/>
        <v>1.1847649793331305E-2</v>
      </c>
    </row>
    <row r="2057" spans="1:11" x14ac:dyDescent="0.2">
      <c r="A2057" s="2">
        <v>45449</v>
      </c>
      <c r="B2057">
        <v>5357.7998046875</v>
      </c>
      <c r="C2057">
        <v>5362.35009765625</v>
      </c>
      <c r="D2057">
        <v>5335.35986328125</v>
      </c>
      <c r="E2057">
        <v>5352.9599609375</v>
      </c>
      <c r="F2057">
        <v>5352.9599609375</v>
      </c>
      <c r="G2057">
        <v>3609990000</v>
      </c>
      <c r="H2057">
        <v>0</v>
      </c>
      <c r="I2057">
        <v>0</v>
      </c>
      <c r="K2057" s="11">
        <f t="shared" si="32"/>
        <v>-1.9981663563317653E-4</v>
      </c>
    </row>
    <row r="2058" spans="1:11" x14ac:dyDescent="0.2">
      <c r="A2058" s="2">
        <v>45450</v>
      </c>
      <c r="B2058">
        <v>5343.81005859375</v>
      </c>
      <c r="C2058">
        <v>5375.080078125</v>
      </c>
      <c r="D2058">
        <v>5331.330078125</v>
      </c>
      <c r="E2058">
        <v>5346.990234375</v>
      </c>
      <c r="F2058">
        <v>5346.990234375</v>
      </c>
      <c r="G2058">
        <v>3692760000</v>
      </c>
      <c r="H2058">
        <v>0</v>
      </c>
      <c r="I2058">
        <v>0</v>
      </c>
      <c r="K2058" s="11">
        <f t="shared" si="32"/>
        <v>-1.1152197300303701E-3</v>
      </c>
    </row>
    <row r="2059" spans="1:11" x14ac:dyDescent="0.2">
      <c r="A2059" s="2">
        <v>45453</v>
      </c>
      <c r="B2059">
        <v>5341.22021484375</v>
      </c>
      <c r="C2059">
        <v>5365.7900390625</v>
      </c>
      <c r="D2059">
        <v>5331.52001953125</v>
      </c>
      <c r="E2059">
        <v>5360.7900390625</v>
      </c>
      <c r="F2059">
        <v>5360.7900390625</v>
      </c>
      <c r="G2059">
        <v>3622280000</v>
      </c>
      <c r="H2059">
        <v>0</v>
      </c>
      <c r="I2059">
        <v>0</v>
      </c>
      <c r="K2059" s="11">
        <f t="shared" si="32"/>
        <v>2.5808546645145203E-3</v>
      </c>
    </row>
    <row r="2060" spans="1:11" x14ac:dyDescent="0.2">
      <c r="A2060" s="2">
        <v>45454</v>
      </c>
      <c r="B2060">
        <v>5353</v>
      </c>
      <c r="C2060">
        <v>5375.9501953125</v>
      </c>
      <c r="D2060">
        <v>5327.25</v>
      </c>
      <c r="E2060">
        <v>5375.31982421875</v>
      </c>
      <c r="F2060">
        <v>5375.31982421875</v>
      </c>
      <c r="G2060">
        <v>3568030000</v>
      </c>
      <c r="H2060">
        <v>0</v>
      </c>
      <c r="I2060">
        <v>0</v>
      </c>
      <c r="K2060" s="11">
        <f t="shared" si="32"/>
        <v>2.7103813151374556E-3</v>
      </c>
    </row>
    <row r="2061" spans="1:11" x14ac:dyDescent="0.2">
      <c r="A2061" s="2">
        <v>45455</v>
      </c>
      <c r="B2061">
        <v>5409.1298828125</v>
      </c>
      <c r="C2061">
        <v>5447.25</v>
      </c>
      <c r="D2061">
        <v>5409.1298828125</v>
      </c>
      <c r="E2061">
        <v>5421.02978515625</v>
      </c>
      <c r="F2061">
        <v>5421.02978515625</v>
      </c>
      <c r="G2061">
        <v>3962840000</v>
      </c>
      <c r="H2061">
        <v>0</v>
      </c>
      <c r="I2061">
        <v>0</v>
      </c>
      <c r="K2061" s="11">
        <f t="shared" si="32"/>
        <v>8.5036727919987065E-3</v>
      </c>
    </row>
    <row r="2062" spans="1:11" x14ac:dyDescent="0.2">
      <c r="A2062" s="2">
        <v>45456</v>
      </c>
      <c r="B2062">
        <v>5441.93017578125</v>
      </c>
      <c r="C2062">
        <v>5441.93017578125</v>
      </c>
      <c r="D2062">
        <v>5402.509765625</v>
      </c>
      <c r="E2062">
        <v>5433.740234375</v>
      </c>
      <c r="F2062">
        <v>5433.740234375</v>
      </c>
      <c r="G2062">
        <v>3530380000</v>
      </c>
      <c r="H2062">
        <v>0</v>
      </c>
      <c r="I2062">
        <v>0</v>
      </c>
      <c r="K2062" s="11">
        <f t="shared" si="32"/>
        <v>2.3446558536817097E-3</v>
      </c>
    </row>
    <row r="2063" spans="1:11" x14ac:dyDescent="0.2">
      <c r="A2063" s="2">
        <v>45457</v>
      </c>
      <c r="B2063">
        <v>5424.080078125</v>
      </c>
      <c r="C2063">
        <v>5432.39013671875</v>
      </c>
      <c r="D2063">
        <v>5403.75</v>
      </c>
      <c r="E2063">
        <v>5431.60009765625</v>
      </c>
      <c r="F2063">
        <v>5431.60009765625</v>
      </c>
      <c r="G2063">
        <v>3438650000</v>
      </c>
      <c r="H2063">
        <v>0</v>
      </c>
      <c r="I2063">
        <v>0</v>
      </c>
      <c r="K2063" s="11">
        <f t="shared" si="32"/>
        <v>-3.9386069750091401E-4</v>
      </c>
    </row>
    <row r="2064" spans="1:11" x14ac:dyDescent="0.2">
      <c r="A2064" s="2">
        <v>45460</v>
      </c>
      <c r="B2064">
        <v>5431.10986328125</v>
      </c>
      <c r="C2064">
        <v>5488.5</v>
      </c>
      <c r="D2064">
        <v>5420.39990234375</v>
      </c>
      <c r="E2064">
        <v>5473.22998046875</v>
      </c>
      <c r="F2064">
        <v>5473.22998046875</v>
      </c>
      <c r="G2064">
        <v>3447840000</v>
      </c>
      <c r="H2064">
        <v>0</v>
      </c>
      <c r="I2064">
        <v>0</v>
      </c>
      <c r="K2064" s="11">
        <f t="shared" si="32"/>
        <v>7.6643865645527054E-3</v>
      </c>
    </row>
    <row r="2065" spans="1:11" x14ac:dyDescent="0.2">
      <c r="A2065" s="2">
        <v>45461</v>
      </c>
      <c r="B2065">
        <v>5476.14990234375</v>
      </c>
      <c r="C2065">
        <v>5490.3798828125</v>
      </c>
      <c r="D2065">
        <v>5471.31982421875</v>
      </c>
      <c r="E2065">
        <v>5487.02978515625</v>
      </c>
      <c r="F2065">
        <v>5487.02978515625</v>
      </c>
      <c r="G2065">
        <v>3544330000</v>
      </c>
      <c r="H2065">
        <v>0</v>
      </c>
      <c r="I2065">
        <v>0</v>
      </c>
      <c r="K2065" s="11">
        <f t="shared" si="32"/>
        <v>2.5213273947457537E-3</v>
      </c>
    </row>
    <row r="2066" spans="1:11" x14ac:dyDescent="0.2">
      <c r="A2066" s="2">
        <v>45463</v>
      </c>
      <c r="B2066">
        <v>5499.990234375</v>
      </c>
      <c r="C2066">
        <v>5505.52978515625</v>
      </c>
      <c r="D2066">
        <v>5455.56005859375</v>
      </c>
      <c r="E2066">
        <v>5473.169921875</v>
      </c>
      <c r="F2066">
        <v>5473.169921875</v>
      </c>
      <c r="G2066">
        <v>3847060000</v>
      </c>
      <c r="H2066">
        <v>0</v>
      </c>
      <c r="I2066">
        <v>0</v>
      </c>
      <c r="K2066" s="11">
        <f t="shared" si="32"/>
        <v>-2.5259318472709014E-3</v>
      </c>
    </row>
    <row r="2067" spans="1:11" x14ac:dyDescent="0.2">
      <c r="A2067" s="2">
        <v>45464</v>
      </c>
      <c r="B2067">
        <v>5466.77001953125</v>
      </c>
      <c r="C2067">
        <v>5478.31005859375</v>
      </c>
      <c r="D2067">
        <v>5452.02978515625</v>
      </c>
      <c r="E2067">
        <v>5464.6201171875</v>
      </c>
      <c r="F2067">
        <v>5464.6201171875</v>
      </c>
      <c r="G2067">
        <v>6773800000</v>
      </c>
      <c r="H2067">
        <v>0</v>
      </c>
      <c r="I2067">
        <v>0</v>
      </c>
      <c r="K2067" s="11">
        <f t="shared" si="32"/>
        <v>-1.5621303211011961E-3</v>
      </c>
    </row>
    <row r="2068" spans="1:11" x14ac:dyDescent="0.2">
      <c r="A2068" s="2">
        <v>45467</v>
      </c>
      <c r="B2068">
        <v>5459.580078125</v>
      </c>
      <c r="C2068">
        <v>5490.66015625</v>
      </c>
      <c r="D2068">
        <v>5447.58984375</v>
      </c>
      <c r="E2068">
        <v>5447.8701171875</v>
      </c>
      <c r="F2068">
        <v>5447.8701171875</v>
      </c>
      <c r="G2068">
        <v>3696750000</v>
      </c>
      <c r="H2068">
        <v>0</v>
      </c>
      <c r="I2068">
        <v>0</v>
      </c>
      <c r="K2068" s="11">
        <f t="shared" si="32"/>
        <v>-3.0651718949900042E-3</v>
      </c>
    </row>
    <row r="2069" spans="1:11" x14ac:dyDescent="0.2">
      <c r="A2069" s="2">
        <v>45468</v>
      </c>
      <c r="B2069">
        <v>5460.72998046875</v>
      </c>
      <c r="C2069">
        <v>5472.8798828125</v>
      </c>
      <c r="D2069">
        <v>5446.56005859375</v>
      </c>
      <c r="E2069">
        <v>5469.2998046875</v>
      </c>
      <c r="F2069">
        <v>5469.2998046875</v>
      </c>
      <c r="G2069">
        <v>3591960000</v>
      </c>
      <c r="H2069">
        <v>0</v>
      </c>
      <c r="I2069">
        <v>0</v>
      </c>
      <c r="K2069" s="11">
        <f t="shared" si="32"/>
        <v>3.9335900157368986E-3</v>
      </c>
    </row>
    <row r="2070" spans="1:11" x14ac:dyDescent="0.2">
      <c r="A2070" s="2">
        <v>45469</v>
      </c>
      <c r="B2070">
        <v>5460.7099609375</v>
      </c>
      <c r="C2070">
        <v>5483.14013671875</v>
      </c>
      <c r="D2070">
        <v>5451.8701171875</v>
      </c>
      <c r="E2070">
        <v>5477.89990234375</v>
      </c>
      <c r="F2070">
        <v>5477.89990234375</v>
      </c>
      <c r="G2070">
        <v>3563920000</v>
      </c>
      <c r="H2070">
        <v>0</v>
      </c>
      <c r="I2070">
        <v>0</v>
      </c>
      <c r="K2070" s="11">
        <f t="shared" si="32"/>
        <v>1.5724312002203256E-3</v>
      </c>
    </row>
    <row r="2071" spans="1:11" x14ac:dyDescent="0.2">
      <c r="A2071" s="2">
        <v>45470</v>
      </c>
      <c r="B2071">
        <v>5473.58984375</v>
      </c>
      <c r="C2071">
        <v>5490.81005859375</v>
      </c>
      <c r="D2071">
        <v>5467.5400390625</v>
      </c>
      <c r="E2071">
        <v>5482.8701171875</v>
      </c>
      <c r="F2071">
        <v>5482.8701171875</v>
      </c>
      <c r="G2071">
        <v>3589530000</v>
      </c>
      <c r="H2071">
        <v>0</v>
      </c>
      <c r="I2071">
        <v>0</v>
      </c>
      <c r="K2071" s="11">
        <f t="shared" si="32"/>
        <v>9.073212238914774E-4</v>
      </c>
    </row>
    <row r="2072" spans="1:11" x14ac:dyDescent="0.2">
      <c r="A2072" s="2">
        <v>45471</v>
      </c>
      <c r="B2072">
        <v>5488.47998046875</v>
      </c>
      <c r="C2072">
        <v>5523.64013671875</v>
      </c>
      <c r="D2072">
        <v>5451.1201171875</v>
      </c>
      <c r="E2072">
        <v>5460.47998046875</v>
      </c>
      <c r="F2072">
        <v>5460.47998046875</v>
      </c>
      <c r="G2072">
        <v>7199220000</v>
      </c>
      <c r="H2072">
        <v>0</v>
      </c>
      <c r="I2072">
        <v>0</v>
      </c>
      <c r="K2072" s="11">
        <f t="shared" si="32"/>
        <v>-4.0836525834456738E-3</v>
      </c>
    </row>
    <row r="2073" spans="1:11" x14ac:dyDescent="0.2">
      <c r="A2073" s="2">
        <v>45474</v>
      </c>
      <c r="B2073">
        <v>5471.080078125</v>
      </c>
      <c r="C2073">
        <v>5479.5498046875</v>
      </c>
      <c r="D2073">
        <v>5446.52978515625</v>
      </c>
      <c r="E2073">
        <v>5475.08984375</v>
      </c>
      <c r="F2073">
        <v>5475.08984375</v>
      </c>
      <c r="G2073">
        <v>3488760000</v>
      </c>
      <c r="H2073">
        <v>0</v>
      </c>
      <c r="I2073">
        <v>0</v>
      </c>
      <c r="K2073" s="11">
        <f t="shared" si="32"/>
        <v>2.6755639309195001E-3</v>
      </c>
    </row>
    <row r="2074" spans="1:11" x14ac:dyDescent="0.2">
      <c r="A2074" s="2">
        <v>45475</v>
      </c>
      <c r="B2074">
        <v>5461.83984375</v>
      </c>
      <c r="C2074">
        <v>5509.68994140625</v>
      </c>
      <c r="D2074">
        <v>5458.43017578125</v>
      </c>
      <c r="E2074">
        <v>5509.009765625</v>
      </c>
      <c r="F2074">
        <v>5509.009765625</v>
      </c>
      <c r="G2074">
        <v>3329950000</v>
      </c>
      <c r="H2074">
        <v>0</v>
      </c>
      <c r="I2074">
        <v>0</v>
      </c>
      <c r="K2074" s="11">
        <f t="shared" si="32"/>
        <v>6.1953178565135048E-3</v>
      </c>
    </row>
    <row r="2075" spans="1:11" x14ac:dyDescent="0.2">
      <c r="A2075" s="2">
        <v>45476</v>
      </c>
      <c r="B2075">
        <v>5507.43994140625</v>
      </c>
      <c r="C2075">
        <v>5539.27001953125</v>
      </c>
      <c r="D2075">
        <v>5507.419921875</v>
      </c>
      <c r="E2075">
        <v>5537.02001953125</v>
      </c>
      <c r="F2075">
        <v>5537.02001953125</v>
      </c>
      <c r="G2075">
        <v>2179470000</v>
      </c>
      <c r="H2075">
        <v>0</v>
      </c>
      <c r="I2075">
        <v>0</v>
      </c>
      <c r="K2075" s="11">
        <f t="shared" si="32"/>
        <v>5.0844444097790653E-3</v>
      </c>
    </row>
    <row r="2076" spans="1:11" x14ac:dyDescent="0.2">
      <c r="A2076" s="2">
        <v>45478</v>
      </c>
      <c r="B2076">
        <v>5537.91015625</v>
      </c>
      <c r="C2076">
        <v>5570.330078125</v>
      </c>
      <c r="D2076">
        <v>5531.6298828125</v>
      </c>
      <c r="E2076">
        <v>5567.18994140625</v>
      </c>
      <c r="F2076">
        <v>5567.18994140625</v>
      </c>
      <c r="G2076">
        <v>3253080000</v>
      </c>
      <c r="H2076">
        <v>0</v>
      </c>
      <c r="I2076">
        <v>0</v>
      </c>
      <c r="K2076" s="11">
        <f t="shared" si="32"/>
        <v>5.4487651784855817E-3</v>
      </c>
    </row>
    <row r="2077" spans="1:11" x14ac:dyDescent="0.2">
      <c r="A2077" s="2">
        <v>45481</v>
      </c>
      <c r="B2077">
        <v>5572.75</v>
      </c>
      <c r="C2077">
        <v>5583.10986328125</v>
      </c>
      <c r="D2077">
        <v>5562.509765625</v>
      </c>
      <c r="E2077">
        <v>5572.85009765625</v>
      </c>
      <c r="F2077">
        <v>5572.85009765625</v>
      </c>
      <c r="G2077">
        <v>3185670000</v>
      </c>
      <c r="H2077">
        <v>0</v>
      </c>
      <c r="I2077">
        <v>0</v>
      </c>
      <c r="K2077" s="11">
        <f t="shared" si="32"/>
        <v>1.0166989647510949E-3</v>
      </c>
    </row>
    <row r="2078" spans="1:11" x14ac:dyDescent="0.2">
      <c r="A2078" s="2">
        <v>45482</v>
      </c>
      <c r="B2078">
        <v>5584.240234375</v>
      </c>
      <c r="C2078">
        <v>5590.75</v>
      </c>
      <c r="D2078">
        <v>5574.56982421875</v>
      </c>
      <c r="E2078">
        <v>5576.97998046875</v>
      </c>
      <c r="F2078">
        <v>5576.97998046875</v>
      </c>
      <c r="G2078">
        <v>3232920000</v>
      </c>
      <c r="H2078">
        <v>0</v>
      </c>
      <c r="I2078">
        <v>0</v>
      </c>
      <c r="K2078" s="11">
        <f t="shared" si="32"/>
        <v>7.4107193628569767E-4</v>
      </c>
    </row>
    <row r="2079" spans="1:11" x14ac:dyDescent="0.2">
      <c r="A2079" s="2">
        <v>45483</v>
      </c>
      <c r="B2079">
        <v>5591.259765625</v>
      </c>
      <c r="C2079">
        <v>5635.39013671875</v>
      </c>
      <c r="D2079">
        <v>5586.43994140625</v>
      </c>
      <c r="E2079">
        <v>5633.91015625</v>
      </c>
      <c r="F2079">
        <v>5633.91015625</v>
      </c>
      <c r="G2079">
        <v>3336100000</v>
      </c>
      <c r="H2079">
        <v>0</v>
      </c>
      <c r="I2079">
        <v>0</v>
      </c>
      <c r="K2079" s="11">
        <f t="shared" si="32"/>
        <v>1.0208065293514812E-2</v>
      </c>
    </row>
    <row r="2080" spans="1:11" x14ac:dyDescent="0.2">
      <c r="A2080" s="2">
        <v>45484</v>
      </c>
      <c r="B2080">
        <v>5635.2099609375</v>
      </c>
      <c r="C2080">
        <v>5642.4501953125</v>
      </c>
      <c r="D2080">
        <v>5576.52978515625</v>
      </c>
      <c r="E2080">
        <v>5584.5400390625</v>
      </c>
      <c r="F2080">
        <v>5584.5400390625</v>
      </c>
      <c r="G2080">
        <v>4020950000</v>
      </c>
      <c r="H2080">
        <v>0</v>
      </c>
      <c r="I2080">
        <v>0</v>
      </c>
      <c r="K2080" s="11">
        <f t="shared" si="32"/>
        <v>-8.7630288411204571E-3</v>
      </c>
    </row>
    <row r="2081" spans="1:11" x14ac:dyDescent="0.2">
      <c r="A2081" s="2">
        <v>45485</v>
      </c>
      <c r="B2081">
        <v>5590.759765625</v>
      </c>
      <c r="C2081">
        <v>5655.56005859375</v>
      </c>
      <c r="D2081">
        <v>5590.43994140625</v>
      </c>
      <c r="E2081">
        <v>5615.35009765625</v>
      </c>
      <c r="F2081">
        <v>5615.35009765625</v>
      </c>
      <c r="G2081">
        <v>3700280000</v>
      </c>
      <c r="H2081">
        <v>0</v>
      </c>
      <c r="I2081">
        <v>0</v>
      </c>
      <c r="K2081" s="11">
        <f t="shared" si="32"/>
        <v>5.5170270744306915E-3</v>
      </c>
    </row>
    <row r="2082" spans="1:11" x14ac:dyDescent="0.2">
      <c r="A2082" s="2">
        <v>45488</v>
      </c>
      <c r="B2082">
        <v>5638.16015625</v>
      </c>
      <c r="C2082">
        <v>5666.93994140625</v>
      </c>
      <c r="D2082">
        <v>5614.75</v>
      </c>
      <c r="E2082">
        <v>5631.22021484375</v>
      </c>
      <c r="F2082">
        <v>5631.22021484375</v>
      </c>
      <c r="G2082">
        <v>3620470000</v>
      </c>
      <c r="H2082">
        <v>0</v>
      </c>
      <c r="I2082">
        <v>0</v>
      </c>
      <c r="K2082" s="11">
        <f t="shared" si="32"/>
        <v>2.8262026252154904E-3</v>
      </c>
    </row>
    <row r="2083" spans="1:11" x14ac:dyDescent="0.2">
      <c r="A2083" s="2">
        <v>45489</v>
      </c>
      <c r="B2083">
        <v>5644.08984375</v>
      </c>
      <c r="C2083">
        <v>5669.669921875</v>
      </c>
      <c r="D2083">
        <v>5639.02001953125</v>
      </c>
      <c r="E2083">
        <v>5667.2001953125</v>
      </c>
      <c r="F2083">
        <v>5667.2001953125</v>
      </c>
      <c r="G2083">
        <v>4041760000</v>
      </c>
      <c r="H2083">
        <v>0</v>
      </c>
      <c r="I2083">
        <v>0</v>
      </c>
      <c r="K2083" s="11">
        <f t="shared" si="32"/>
        <v>6.3893754987431883E-3</v>
      </c>
    </row>
    <row r="2084" spans="1:11" x14ac:dyDescent="0.2">
      <c r="A2084" s="2">
        <v>45490</v>
      </c>
      <c r="B2084">
        <v>5610.06982421875</v>
      </c>
      <c r="C2084">
        <v>5622.490234375</v>
      </c>
      <c r="D2084">
        <v>5584.81005859375</v>
      </c>
      <c r="E2084">
        <v>5588.27001953125</v>
      </c>
      <c r="F2084">
        <v>5588.27001953125</v>
      </c>
      <c r="G2084">
        <v>4246450000</v>
      </c>
      <c r="H2084">
        <v>0</v>
      </c>
      <c r="I2084">
        <v>0</v>
      </c>
      <c r="K2084" s="11">
        <f t="shared" si="32"/>
        <v>-1.3927543241993745E-2</v>
      </c>
    </row>
    <row r="2085" spans="1:11" x14ac:dyDescent="0.2">
      <c r="A2085" s="2">
        <v>45491</v>
      </c>
      <c r="B2085">
        <v>5608.56005859375</v>
      </c>
      <c r="C2085">
        <v>5614.0498046875</v>
      </c>
      <c r="D2085">
        <v>5522.81005859375</v>
      </c>
      <c r="E2085">
        <v>5544.58984375</v>
      </c>
      <c r="F2085">
        <v>5544.58984375</v>
      </c>
      <c r="G2085">
        <v>4007510000</v>
      </c>
      <c r="H2085">
        <v>0</v>
      </c>
      <c r="I2085">
        <v>0</v>
      </c>
      <c r="K2085" s="11">
        <f t="shared" si="32"/>
        <v>-7.8164039369225113E-3</v>
      </c>
    </row>
    <row r="2086" spans="1:11" x14ac:dyDescent="0.2">
      <c r="A2086" s="2">
        <v>45492</v>
      </c>
      <c r="B2086">
        <v>5543.3701171875</v>
      </c>
      <c r="C2086">
        <v>5557.5</v>
      </c>
      <c r="D2086">
        <v>5497.0400390625</v>
      </c>
      <c r="E2086">
        <v>5505</v>
      </c>
      <c r="F2086">
        <v>5505</v>
      </c>
      <c r="G2086">
        <v>3760570000</v>
      </c>
      <c r="H2086">
        <v>0</v>
      </c>
      <c r="I2086">
        <v>0</v>
      </c>
      <c r="K2086" s="11">
        <f t="shared" si="32"/>
        <v>-7.1402655319269259E-3</v>
      </c>
    </row>
    <row r="2087" spans="1:11" x14ac:dyDescent="0.2">
      <c r="A2087" s="2">
        <v>45495</v>
      </c>
      <c r="B2087">
        <v>5544.5400390625</v>
      </c>
      <c r="C2087">
        <v>5570.35986328125</v>
      </c>
      <c r="D2087">
        <v>5529.0400390625</v>
      </c>
      <c r="E2087">
        <v>5564.41015625</v>
      </c>
      <c r="F2087">
        <v>5564.41015625</v>
      </c>
      <c r="G2087">
        <v>3375180000</v>
      </c>
      <c r="H2087">
        <v>0</v>
      </c>
      <c r="I2087">
        <v>0</v>
      </c>
      <c r="K2087" s="11">
        <f t="shared" si="32"/>
        <v>1.0792035649409559E-2</v>
      </c>
    </row>
    <row r="2088" spans="1:11" x14ac:dyDescent="0.2">
      <c r="A2088" s="2">
        <v>45496</v>
      </c>
      <c r="B2088">
        <v>5565.2998046875</v>
      </c>
      <c r="C2088">
        <v>5585.33984375</v>
      </c>
      <c r="D2088">
        <v>5550.89990234375</v>
      </c>
      <c r="E2088">
        <v>5555.740234375</v>
      </c>
      <c r="F2088">
        <v>5555.740234375</v>
      </c>
      <c r="G2088">
        <v>3500210000</v>
      </c>
      <c r="H2088">
        <v>0</v>
      </c>
      <c r="I2088">
        <v>0</v>
      </c>
      <c r="K2088" s="11">
        <f t="shared" si="32"/>
        <v>-1.5581025897707379E-3</v>
      </c>
    </row>
    <row r="2089" spans="1:11" x14ac:dyDescent="0.2">
      <c r="A2089" s="2">
        <v>45497</v>
      </c>
      <c r="B2089">
        <v>5505.83984375</v>
      </c>
      <c r="C2089">
        <v>5508.0400390625</v>
      </c>
      <c r="D2089">
        <v>5419.97998046875</v>
      </c>
      <c r="E2089">
        <v>5427.1298828125</v>
      </c>
      <c r="F2089">
        <v>5427.1298828125</v>
      </c>
      <c r="G2089">
        <v>3945550000</v>
      </c>
      <c r="H2089">
        <v>0</v>
      </c>
      <c r="I2089">
        <v>0</v>
      </c>
      <c r="K2089" s="11">
        <f t="shared" si="32"/>
        <v>-2.3149093754734951E-2</v>
      </c>
    </row>
    <row r="2090" spans="1:11" x14ac:dyDescent="0.2">
      <c r="A2090" s="2">
        <v>45498</v>
      </c>
      <c r="B2090">
        <v>5428.7001953125</v>
      </c>
      <c r="C2090">
        <v>5491.58984375</v>
      </c>
      <c r="D2090">
        <v>5390.9501953125</v>
      </c>
      <c r="E2090">
        <v>5399.22021484375</v>
      </c>
      <c r="F2090">
        <v>5399.22021484375</v>
      </c>
      <c r="G2090">
        <v>4592120000</v>
      </c>
      <c r="H2090">
        <v>0</v>
      </c>
      <c r="I2090">
        <v>0</v>
      </c>
      <c r="K2090" s="11">
        <f t="shared" si="32"/>
        <v>-5.1426202378422881E-3</v>
      </c>
    </row>
    <row r="2091" spans="1:11" x14ac:dyDescent="0.2">
      <c r="A2091" s="2">
        <v>45499</v>
      </c>
      <c r="B2091">
        <v>5433.669921875</v>
      </c>
      <c r="C2091">
        <v>5488.31982421875</v>
      </c>
      <c r="D2091">
        <v>5430.7001953125</v>
      </c>
      <c r="E2091">
        <v>5459.10009765625</v>
      </c>
      <c r="F2091">
        <v>5459.10009765625</v>
      </c>
      <c r="G2091">
        <v>3638770000</v>
      </c>
      <c r="H2091">
        <v>0</v>
      </c>
      <c r="I2091">
        <v>0</v>
      </c>
      <c r="K2091" s="11">
        <f t="shared" si="32"/>
        <v>1.1090468702846357E-2</v>
      </c>
    </row>
    <row r="2092" spans="1:11" x14ac:dyDescent="0.2">
      <c r="A2092" s="2">
        <v>45502</v>
      </c>
      <c r="B2092">
        <v>5476.5498046875</v>
      </c>
      <c r="C2092">
        <v>5487.740234375</v>
      </c>
      <c r="D2092">
        <v>5444.43994140625</v>
      </c>
      <c r="E2092">
        <v>5463.5400390625</v>
      </c>
      <c r="F2092">
        <v>5463.5400390625</v>
      </c>
      <c r="G2092">
        <v>3379970000</v>
      </c>
      <c r="H2092">
        <v>0</v>
      </c>
      <c r="I2092">
        <v>0</v>
      </c>
      <c r="K2092" s="11">
        <f t="shared" si="32"/>
        <v>8.1331012929330981E-4</v>
      </c>
    </row>
    <row r="2093" spans="1:11" x14ac:dyDescent="0.2">
      <c r="A2093" s="2">
        <v>45503</v>
      </c>
      <c r="B2093">
        <v>5478.72998046875</v>
      </c>
      <c r="C2093">
        <v>5489.4599609375</v>
      </c>
      <c r="D2093">
        <v>5401.7001953125</v>
      </c>
      <c r="E2093">
        <v>5436.43994140625</v>
      </c>
      <c r="F2093">
        <v>5436.43994140625</v>
      </c>
      <c r="G2093">
        <v>3777740000</v>
      </c>
      <c r="H2093">
        <v>0</v>
      </c>
      <c r="I2093">
        <v>0</v>
      </c>
      <c r="K2093" s="11">
        <f t="shared" si="32"/>
        <v>-4.9601718780302173E-3</v>
      </c>
    </row>
    <row r="2094" spans="1:11" x14ac:dyDescent="0.2">
      <c r="A2094" s="2">
        <v>45504</v>
      </c>
      <c r="B2094">
        <v>5505.58984375</v>
      </c>
      <c r="C2094">
        <v>5551.509765625</v>
      </c>
      <c r="D2094">
        <v>5493.75</v>
      </c>
      <c r="E2094">
        <v>5522.2998046875</v>
      </c>
      <c r="F2094">
        <v>5522.2998046875</v>
      </c>
      <c r="G2094">
        <v>4546910000</v>
      </c>
      <c r="H2094">
        <v>0</v>
      </c>
      <c r="I2094">
        <v>0</v>
      </c>
      <c r="K2094" s="11">
        <f t="shared" si="32"/>
        <v>1.5793398659167401E-2</v>
      </c>
    </row>
    <row r="2095" spans="1:11" x14ac:dyDescent="0.2">
      <c r="A2095" s="2">
        <v>45505</v>
      </c>
      <c r="B2095">
        <v>5537.83984375</v>
      </c>
      <c r="C2095">
        <v>5566.16015625</v>
      </c>
      <c r="D2095">
        <v>5410.419921875</v>
      </c>
      <c r="E2095">
        <v>5446.68017578125</v>
      </c>
      <c r="F2095">
        <v>5446.68017578125</v>
      </c>
      <c r="G2095">
        <v>4703620000</v>
      </c>
      <c r="H2095">
        <v>0</v>
      </c>
      <c r="I2095">
        <v>0</v>
      </c>
      <c r="K2095" s="11">
        <f t="shared" si="32"/>
        <v>-1.3693502993456064E-2</v>
      </c>
    </row>
    <row r="2096" spans="1:11" x14ac:dyDescent="0.2">
      <c r="A2096" s="2">
        <v>45506</v>
      </c>
      <c r="B2096">
        <v>5376.6298828125</v>
      </c>
      <c r="C2096">
        <v>5383.89013671875</v>
      </c>
      <c r="D2096">
        <v>5302.02978515625</v>
      </c>
      <c r="E2096">
        <v>5346.56005859375</v>
      </c>
      <c r="F2096">
        <v>5346.56005859375</v>
      </c>
      <c r="G2096">
        <v>5156450000</v>
      </c>
      <c r="H2096">
        <v>0</v>
      </c>
      <c r="I2096">
        <v>0</v>
      </c>
      <c r="K2096" s="11">
        <f t="shared" si="32"/>
        <v>-1.8381860868696753E-2</v>
      </c>
    </row>
    <row r="2097" spans="1:11" x14ac:dyDescent="0.2">
      <c r="A2097" s="2">
        <v>45509</v>
      </c>
      <c r="B2097">
        <v>5151.14013671875</v>
      </c>
      <c r="C2097">
        <v>5250.89013671875</v>
      </c>
      <c r="D2097">
        <v>5119.259765625</v>
      </c>
      <c r="E2097">
        <v>5186.330078125</v>
      </c>
      <c r="F2097">
        <v>5186.330078125</v>
      </c>
      <c r="G2097">
        <v>5333250000</v>
      </c>
      <c r="H2097">
        <v>0</v>
      </c>
      <c r="I2097">
        <v>0</v>
      </c>
      <c r="K2097" s="11">
        <f t="shared" si="32"/>
        <v>-2.996879838863975E-2</v>
      </c>
    </row>
    <row r="2098" spans="1:11" x14ac:dyDescent="0.2">
      <c r="A2098" s="2">
        <v>45510</v>
      </c>
      <c r="B2098">
        <v>5206.419921875</v>
      </c>
      <c r="C2098">
        <v>5312.33984375</v>
      </c>
      <c r="D2098">
        <v>5193.56005859375</v>
      </c>
      <c r="E2098">
        <v>5240.02978515625</v>
      </c>
      <c r="F2098">
        <v>5240.02978515625</v>
      </c>
      <c r="G2098">
        <v>4690190000</v>
      </c>
      <c r="H2098">
        <v>0</v>
      </c>
      <c r="I2098">
        <v>0</v>
      </c>
      <c r="K2098" s="11">
        <f t="shared" si="32"/>
        <v>1.0354085880061037E-2</v>
      </c>
    </row>
    <row r="2099" spans="1:11" x14ac:dyDescent="0.2">
      <c r="A2099" s="2">
        <v>45511</v>
      </c>
      <c r="B2099">
        <v>5293.1298828125</v>
      </c>
      <c r="C2099">
        <v>5330.64013671875</v>
      </c>
      <c r="D2099">
        <v>5195.5400390625</v>
      </c>
      <c r="E2099">
        <v>5199.5</v>
      </c>
      <c r="F2099">
        <v>5199.5</v>
      </c>
      <c r="G2099">
        <v>4558260000</v>
      </c>
      <c r="H2099">
        <v>0</v>
      </c>
      <c r="I2099">
        <v>0</v>
      </c>
      <c r="K2099" s="11">
        <f t="shared" si="32"/>
        <v>-7.7346478585028633E-3</v>
      </c>
    </row>
    <row r="2100" spans="1:11" x14ac:dyDescent="0.2">
      <c r="A2100" s="2">
        <v>45512</v>
      </c>
      <c r="B2100">
        <v>5252.56982421875</v>
      </c>
      <c r="C2100">
        <v>5328.02978515625</v>
      </c>
      <c r="D2100">
        <v>5233.85009765625</v>
      </c>
      <c r="E2100">
        <v>5319.31005859375</v>
      </c>
      <c r="F2100">
        <v>5319.31005859375</v>
      </c>
      <c r="G2100">
        <v>4016830000</v>
      </c>
      <c r="H2100">
        <v>0</v>
      </c>
      <c r="I2100">
        <v>0</v>
      </c>
      <c r="K2100" s="11">
        <f t="shared" si="32"/>
        <v>2.3042611519136447E-2</v>
      </c>
    </row>
    <row r="2101" spans="1:11" x14ac:dyDescent="0.2">
      <c r="A2101" s="2">
        <v>45513</v>
      </c>
      <c r="B2101">
        <v>5314.66015625</v>
      </c>
      <c r="C2101">
        <v>5358.669921875</v>
      </c>
      <c r="D2101">
        <v>5300.83984375</v>
      </c>
      <c r="E2101">
        <v>5344.16015625</v>
      </c>
      <c r="F2101">
        <v>5344.16015625</v>
      </c>
      <c r="G2101">
        <v>3516400000</v>
      </c>
      <c r="H2101">
        <v>0</v>
      </c>
      <c r="I2101">
        <v>0</v>
      </c>
      <c r="K2101" s="11">
        <f t="shared" si="32"/>
        <v>4.6716768495385086E-3</v>
      </c>
    </row>
    <row r="2102" spans="1:11" x14ac:dyDescent="0.2">
      <c r="A2102" s="2">
        <v>45516</v>
      </c>
      <c r="B2102">
        <v>5351.8798828125</v>
      </c>
      <c r="C2102">
        <v>5371.2001953125</v>
      </c>
      <c r="D2102">
        <v>5324.3701171875</v>
      </c>
      <c r="E2102">
        <v>5344.39013671875</v>
      </c>
      <c r="F2102">
        <v>5344.39013671875</v>
      </c>
      <c r="G2102">
        <v>3360160000</v>
      </c>
      <c r="H2102">
        <v>0</v>
      </c>
      <c r="I2102">
        <v>0</v>
      </c>
      <c r="K2102" s="11">
        <f t="shared" si="32"/>
        <v>4.3033977655149158E-5</v>
      </c>
    </row>
    <row r="2103" spans="1:11" x14ac:dyDescent="0.2">
      <c r="A2103" s="2">
        <v>45517</v>
      </c>
      <c r="B2103">
        <v>5376.97998046875</v>
      </c>
      <c r="C2103">
        <v>5436.5</v>
      </c>
      <c r="D2103">
        <v>5376.97998046875</v>
      </c>
      <c r="E2103">
        <v>5434.43017578125</v>
      </c>
      <c r="F2103">
        <v>5434.43017578125</v>
      </c>
      <c r="G2103">
        <v>3648980000</v>
      </c>
      <c r="H2103">
        <v>0</v>
      </c>
      <c r="I2103">
        <v>0</v>
      </c>
      <c r="K2103" s="11">
        <f t="shared" si="32"/>
        <v>1.6847579753558328E-2</v>
      </c>
    </row>
    <row r="2104" spans="1:11" x14ac:dyDescent="0.2">
      <c r="A2104" s="2">
        <v>45518</v>
      </c>
      <c r="B2104">
        <v>5442.35986328125</v>
      </c>
      <c r="C2104">
        <v>5463.22021484375</v>
      </c>
      <c r="D2104">
        <v>5415.91015625</v>
      </c>
      <c r="E2104">
        <v>5455.2099609375</v>
      </c>
      <c r="F2104">
        <v>5455.2099609375</v>
      </c>
      <c r="G2104">
        <v>3380050000</v>
      </c>
      <c r="H2104">
        <v>0</v>
      </c>
      <c r="I2104">
        <v>0</v>
      </c>
      <c r="K2104" s="11">
        <f t="shared" si="32"/>
        <v>3.8237284285767004E-3</v>
      </c>
    </row>
    <row r="2105" spans="1:11" x14ac:dyDescent="0.2">
      <c r="A2105" s="2">
        <v>45519</v>
      </c>
      <c r="B2105">
        <v>5501.1298828125</v>
      </c>
      <c r="C2105">
        <v>5546.22998046875</v>
      </c>
      <c r="D2105">
        <v>5501.1298828125</v>
      </c>
      <c r="E2105">
        <v>5543.22021484375</v>
      </c>
      <c r="F2105">
        <v>5543.22021484375</v>
      </c>
      <c r="G2105">
        <v>3723310000</v>
      </c>
      <c r="H2105">
        <v>0</v>
      </c>
      <c r="I2105">
        <v>0</v>
      </c>
      <c r="K2105" s="11">
        <f t="shared" si="32"/>
        <v>1.6133247764330783E-2</v>
      </c>
    </row>
    <row r="2106" spans="1:11" x14ac:dyDescent="0.2">
      <c r="A2106" s="2">
        <v>45520</v>
      </c>
      <c r="B2106">
        <v>5530.5</v>
      </c>
      <c r="C2106">
        <v>5561.97998046875</v>
      </c>
      <c r="D2106">
        <v>5525.169921875</v>
      </c>
      <c r="E2106">
        <v>5554.25</v>
      </c>
      <c r="F2106">
        <v>5554.25</v>
      </c>
      <c r="G2106">
        <v>3357690000</v>
      </c>
      <c r="H2106">
        <v>0</v>
      </c>
      <c r="I2106">
        <v>0</v>
      </c>
      <c r="K2106" s="11">
        <f t="shared" si="32"/>
        <v>1.989779357261412E-3</v>
      </c>
    </row>
    <row r="2107" spans="1:11" x14ac:dyDescent="0.2">
      <c r="A2107" s="2">
        <v>45523</v>
      </c>
      <c r="B2107">
        <v>5557.22998046875</v>
      </c>
      <c r="C2107">
        <v>5608.2998046875</v>
      </c>
      <c r="D2107">
        <v>5550.740234375</v>
      </c>
      <c r="E2107">
        <v>5608.25</v>
      </c>
      <c r="F2107">
        <v>5608.25</v>
      </c>
      <c r="G2107">
        <v>3222050000</v>
      </c>
      <c r="H2107">
        <v>0</v>
      </c>
      <c r="I2107">
        <v>0</v>
      </c>
      <c r="K2107" s="11">
        <f t="shared" si="32"/>
        <v>9.7222847369131671E-3</v>
      </c>
    </row>
    <row r="2108" spans="1:11" x14ac:dyDescent="0.2">
      <c r="A2108" s="2">
        <v>45524</v>
      </c>
      <c r="B2108">
        <v>5602.8798828125</v>
      </c>
      <c r="C2108">
        <v>5620.509765625</v>
      </c>
      <c r="D2108">
        <v>5585.5</v>
      </c>
      <c r="E2108">
        <v>5597.1201171875</v>
      </c>
      <c r="F2108">
        <v>5597.1201171875</v>
      </c>
      <c r="G2108">
        <v>2994420000</v>
      </c>
      <c r="H2108">
        <v>0</v>
      </c>
      <c r="I2108">
        <v>0</v>
      </c>
      <c r="K2108" s="11">
        <f t="shared" si="32"/>
        <v>-1.9845553982971165E-3</v>
      </c>
    </row>
    <row r="2109" spans="1:11" x14ac:dyDescent="0.2">
      <c r="A2109" s="2">
        <v>45525</v>
      </c>
      <c r="B2109">
        <v>5603.08984375</v>
      </c>
      <c r="C2109">
        <v>5632.68017578125</v>
      </c>
      <c r="D2109">
        <v>5591.56982421875</v>
      </c>
      <c r="E2109">
        <v>5620.85009765625</v>
      </c>
      <c r="F2109">
        <v>5620.85009765625</v>
      </c>
      <c r="G2109">
        <v>3119670000</v>
      </c>
      <c r="H2109">
        <v>0</v>
      </c>
      <c r="I2109">
        <v>0</v>
      </c>
      <c r="K2109" s="11">
        <f t="shared" si="32"/>
        <v>4.239676828782013E-3</v>
      </c>
    </row>
    <row r="2110" spans="1:11" x14ac:dyDescent="0.2">
      <c r="A2110" s="2">
        <v>45526</v>
      </c>
      <c r="B2110">
        <v>5637.77001953125</v>
      </c>
      <c r="C2110">
        <v>5643.22021484375</v>
      </c>
      <c r="D2110">
        <v>5560.9501953125</v>
      </c>
      <c r="E2110">
        <v>5570.64013671875</v>
      </c>
      <c r="F2110">
        <v>5570.64013671875</v>
      </c>
      <c r="G2110">
        <v>2981530000</v>
      </c>
      <c r="H2110">
        <v>0</v>
      </c>
      <c r="I2110">
        <v>0</v>
      </c>
      <c r="K2110" s="11">
        <f t="shared" si="32"/>
        <v>-8.9328055481209256E-3</v>
      </c>
    </row>
    <row r="2111" spans="1:11" x14ac:dyDescent="0.2">
      <c r="A2111" s="2">
        <v>45527</v>
      </c>
      <c r="B2111">
        <v>5602.490234375</v>
      </c>
      <c r="C2111">
        <v>5641.81982421875</v>
      </c>
      <c r="D2111">
        <v>5585.16015625</v>
      </c>
      <c r="E2111">
        <v>5634.60986328125</v>
      </c>
      <c r="F2111">
        <v>5634.60986328125</v>
      </c>
      <c r="G2111">
        <v>3291940000</v>
      </c>
      <c r="H2111">
        <v>0</v>
      </c>
      <c r="I2111">
        <v>0</v>
      </c>
      <c r="K2111" s="11">
        <f t="shared" si="32"/>
        <v>1.148337085011919E-2</v>
      </c>
    </row>
    <row r="2112" spans="1:11" x14ac:dyDescent="0.2">
      <c r="A2112" s="2">
        <v>45530</v>
      </c>
      <c r="B2112">
        <v>5639.66015625</v>
      </c>
      <c r="C2112">
        <v>5651.6201171875</v>
      </c>
      <c r="D2112">
        <v>5602.33984375</v>
      </c>
      <c r="E2112">
        <v>5616.83984375</v>
      </c>
      <c r="F2112">
        <v>5616.83984375</v>
      </c>
      <c r="G2112">
        <v>2938570000</v>
      </c>
      <c r="H2112">
        <v>0</v>
      </c>
      <c r="I2112">
        <v>0</v>
      </c>
      <c r="K2112" s="11">
        <f t="shared" si="32"/>
        <v>-3.1537266931381813E-3</v>
      </c>
    </row>
    <row r="2113" spans="1:11" x14ac:dyDescent="0.2">
      <c r="A2113" s="2">
        <v>45531</v>
      </c>
      <c r="B2113">
        <v>5602.89013671875</v>
      </c>
      <c r="C2113">
        <v>5631.18017578125</v>
      </c>
      <c r="D2113">
        <v>5593.47998046875</v>
      </c>
      <c r="E2113">
        <v>5625.7998046875</v>
      </c>
      <c r="F2113">
        <v>5625.7998046875</v>
      </c>
      <c r="G2113">
        <v>2798990000</v>
      </c>
      <c r="H2113">
        <v>0</v>
      </c>
      <c r="I2113">
        <v>0</v>
      </c>
      <c r="K2113" s="11">
        <f t="shared" si="32"/>
        <v>1.5951960865450143E-3</v>
      </c>
    </row>
    <row r="2114" spans="1:11" x14ac:dyDescent="0.2">
      <c r="A2114" s="2">
        <v>45532</v>
      </c>
      <c r="B2114">
        <v>5624.509765625</v>
      </c>
      <c r="C2114">
        <v>5627.02978515625</v>
      </c>
      <c r="D2114">
        <v>5560.9501953125</v>
      </c>
      <c r="E2114">
        <v>5592.18017578125</v>
      </c>
      <c r="F2114">
        <v>5592.18017578125</v>
      </c>
      <c r="G2114">
        <v>3053450000</v>
      </c>
      <c r="H2114">
        <v>0</v>
      </c>
      <c r="I2114">
        <v>0</v>
      </c>
      <c r="K2114" s="11">
        <f t="shared" si="32"/>
        <v>-5.9759732079761596E-3</v>
      </c>
    </row>
    <row r="2115" spans="1:11" x14ac:dyDescent="0.2">
      <c r="A2115" s="2">
        <v>45533</v>
      </c>
      <c r="B2115">
        <v>5607.2998046875</v>
      </c>
      <c r="C2115">
        <v>5646.9501953125</v>
      </c>
      <c r="D2115">
        <v>5583.7099609375</v>
      </c>
      <c r="E2115">
        <v>5591.9599609375</v>
      </c>
      <c r="F2115">
        <v>5591.9599609375</v>
      </c>
      <c r="G2115">
        <v>3065640000</v>
      </c>
      <c r="H2115">
        <v>0</v>
      </c>
      <c r="I2115">
        <v>0</v>
      </c>
      <c r="K2115" s="11">
        <f t="shared" si="32"/>
        <v>-3.9379068060729772E-5</v>
      </c>
    </row>
    <row r="2116" spans="1:11" x14ac:dyDescent="0.2">
      <c r="A2116" s="2">
        <v>45534</v>
      </c>
      <c r="B2116">
        <v>5612.740234375</v>
      </c>
      <c r="C2116">
        <v>5651.3701171875</v>
      </c>
      <c r="D2116">
        <v>5581.7900390625</v>
      </c>
      <c r="E2116">
        <v>5648.39990234375</v>
      </c>
      <c r="F2116">
        <v>5648.39990234375</v>
      </c>
      <c r="G2116">
        <v>4185850000</v>
      </c>
      <c r="H2116">
        <v>0</v>
      </c>
      <c r="I2116">
        <v>0</v>
      </c>
      <c r="K2116" s="11">
        <f t="shared" ref="K2116:K2179" si="33">(E2116/E2115)-1</f>
        <v>1.0093051774424433E-2</v>
      </c>
    </row>
    <row r="2117" spans="1:11" x14ac:dyDescent="0.2">
      <c r="A2117" s="2">
        <v>45538</v>
      </c>
      <c r="B2117">
        <v>5623.89013671875</v>
      </c>
      <c r="C2117">
        <v>5623.89013671875</v>
      </c>
      <c r="D2117">
        <v>5504.330078125</v>
      </c>
      <c r="E2117">
        <v>5528.93017578125</v>
      </c>
      <c r="F2117">
        <v>5528.93017578125</v>
      </c>
      <c r="G2117">
        <v>3866350000</v>
      </c>
      <c r="H2117">
        <v>0</v>
      </c>
      <c r="I2117">
        <v>0</v>
      </c>
      <c r="K2117" s="11">
        <f t="shared" si="33"/>
        <v>-2.1151074397711689E-2</v>
      </c>
    </row>
    <row r="2118" spans="1:11" x14ac:dyDescent="0.2">
      <c r="A2118" s="2">
        <v>45539</v>
      </c>
      <c r="B2118">
        <v>5506.68017578125</v>
      </c>
      <c r="C2118">
        <v>5552.990234375</v>
      </c>
      <c r="D2118">
        <v>5503.66015625</v>
      </c>
      <c r="E2118">
        <v>5520.06982421875</v>
      </c>
      <c r="F2118">
        <v>5520.06982421875</v>
      </c>
      <c r="G2118">
        <v>3478140000</v>
      </c>
      <c r="H2118">
        <v>0</v>
      </c>
      <c r="I2118">
        <v>0</v>
      </c>
      <c r="K2118" s="11">
        <f t="shared" si="33"/>
        <v>-1.6025435809103872E-3</v>
      </c>
    </row>
    <row r="2119" spans="1:11" x14ac:dyDescent="0.2">
      <c r="A2119" s="2">
        <v>45540</v>
      </c>
      <c r="B2119">
        <v>5520.080078125</v>
      </c>
      <c r="C2119">
        <v>5546.2998046875</v>
      </c>
      <c r="D2119">
        <v>5480.5400390625</v>
      </c>
      <c r="E2119">
        <v>5503.41015625</v>
      </c>
      <c r="F2119">
        <v>5503.41015625</v>
      </c>
      <c r="G2119">
        <v>3521650000</v>
      </c>
      <c r="H2119">
        <v>0</v>
      </c>
      <c r="I2119">
        <v>0</v>
      </c>
      <c r="K2119" s="11">
        <f t="shared" si="33"/>
        <v>-3.0180176155847338E-3</v>
      </c>
    </row>
    <row r="2120" spans="1:11" x14ac:dyDescent="0.2">
      <c r="A2120" s="2">
        <v>45541</v>
      </c>
      <c r="B2120">
        <v>5507.330078125</v>
      </c>
      <c r="C2120">
        <v>5522.47021484375</v>
      </c>
      <c r="D2120">
        <v>5402.6201171875</v>
      </c>
      <c r="E2120">
        <v>5408.419921875</v>
      </c>
      <c r="F2120">
        <v>5408.419921875</v>
      </c>
      <c r="G2120">
        <v>3822800000</v>
      </c>
      <c r="H2120">
        <v>0</v>
      </c>
      <c r="I2120">
        <v>0</v>
      </c>
      <c r="K2120" s="11">
        <f t="shared" si="33"/>
        <v>-1.7260249859284649E-2</v>
      </c>
    </row>
    <row r="2121" spans="1:11" x14ac:dyDescent="0.2">
      <c r="A2121" s="2">
        <v>45544</v>
      </c>
      <c r="B2121">
        <v>5442.06982421875</v>
      </c>
      <c r="C2121">
        <v>5484.2001953125</v>
      </c>
      <c r="D2121">
        <v>5434.490234375</v>
      </c>
      <c r="E2121">
        <v>5471.0498046875</v>
      </c>
      <c r="F2121">
        <v>5471.0498046875</v>
      </c>
      <c r="G2121">
        <v>3825940000</v>
      </c>
      <c r="H2121">
        <v>0</v>
      </c>
      <c r="I2121">
        <v>0</v>
      </c>
      <c r="K2121" s="11">
        <f t="shared" si="33"/>
        <v>1.1580070282484201E-2</v>
      </c>
    </row>
    <row r="2122" spans="1:11" x14ac:dyDescent="0.2">
      <c r="A2122" s="2">
        <v>45545</v>
      </c>
      <c r="B2122">
        <v>5490.509765625</v>
      </c>
      <c r="C2122">
        <v>5497.91015625</v>
      </c>
      <c r="D2122">
        <v>5441.72021484375</v>
      </c>
      <c r="E2122">
        <v>5495.52001953125</v>
      </c>
      <c r="F2122">
        <v>5495.52001953125</v>
      </c>
      <c r="G2122">
        <v>3848180000</v>
      </c>
      <c r="H2122">
        <v>0</v>
      </c>
      <c r="I2122">
        <v>0</v>
      </c>
      <c r="K2122" s="11">
        <f t="shared" si="33"/>
        <v>4.4726726528396821E-3</v>
      </c>
    </row>
    <row r="2123" spans="1:11" x14ac:dyDescent="0.2">
      <c r="A2123" s="2">
        <v>45546</v>
      </c>
      <c r="B2123">
        <v>5496.419921875</v>
      </c>
      <c r="C2123">
        <v>5560.41015625</v>
      </c>
      <c r="D2123">
        <v>5406.9599609375</v>
      </c>
      <c r="E2123">
        <v>5554.1298828125</v>
      </c>
      <c r="F2123">
        <v>5554.1298828125</v>
      </c>
      <c r="G2123">
        <v>3839450000</v>
      </c>
      <c r="H2123">
        <v>0</v>
      </c>
      <c r="I2123">
        <v>0</v>
      </c>
      <c r="K2123" s="11">
        <f t="shared" si="33"/>
        <v>1.0665025888896507E-2</v>
      </c>
    </row>
    <row r="2124" spans="1:11" x14ac:dyDescent="0.2">
      <c r="A2124" s="2">
        <v>45547</v>
      </c>
      <c r="B2124">
        <v>5557.47998046875</v>
      </c>
      <c r="C2124">
        <v>5600.7099609375</v>
      </c>
      <c r="D2124">
        <v>5535.5</v>
      </c>
      <c r="E2124">
        <v>5595.759765625</v>
      </c>
      <c r="F2124">
        <v>5595.759765625</v>
      </c>
      <c r="G2124">
        <v>3655070000</v>
      </c>
      <c r="H2124">
        <v>0</v>
      </c>
      <c r="I2124">
        <v>0</v>
      </c>
      <c r="K2124" s="11">
        <f t="shared" si="33"/>
        <v>7.4953023589392487E-3</v>
      </c>
    </row>
    <row r="2125" spans="1:11" x14ac:dyDescent="0.2">
      <c r="A2125" s="2">
        <v>45548</v>
      </c>
      <c r="B2125">
        <v>5603.33984375</v>
      </c>
      <c r="C2125">
        <v>5636.27001953125</v>
      </c>
      <c r="D2125">
        <v>5601.64990234375</v>
      </c>
      <c r="E2125">
        <v>5626.02001953125</v>
      </c>
      <c r="F2125">
        <v>5626.02001953125</v>
      </c>
      <c r="G2125">
        <v>3500790000</v>
      </c>
      <c r="H2125">
        <v>0</v>
      </c>
      <c r="I2125">
        <v>0</v>
      </c>
      <c r="K2125" s="11">
        <f t="shared" si="33"/>
        <v>5.407711405364557E-3</v>
      </c>
    </row>
    <row r="2126" spans="1:11" x14ac:dyDescent="0.2">
      <c r="A2126" s="2">
        <v>45551</v>
      </c>
      <c r="B2126">
        <v>5615.2099609375</v>
      </c>
      <c r="C2126">
        <v>5636.0498046875</v>
      </c>
      <c r="D2126">
        <v>5604.52978515625</v>
      </c>
      <c r="E2126">
        <v>5633.08984375</v>
      </c>
      <c r="F2126">
        <v>5633.08984375</v>
      </c>
      <c r="G2126">
        <v>3437070000</v>
      </c>
      <c r="H2126">
        <v>0</v>
      </c>
      <c r="I2126">
        <v>0</v>
      </c>
      <c r="K2126" s="11">
        <f t="shared" si="33"/>
        <v>1.2566297656613212E-3</v>
      </c>
    </row>
    <row r="2127" spans="1:11" x14ac:dyDescent="0.2">
      <c r="A2127" s="2">
        <v>45552</v>
      </c>
      <c r="B2127">
        <v>5655.509765625</v>
      </c>
      <c r="C2127">
        <v>5670.81005859375</v>
      </c>
      <c r="D2127">
        <v>5614.0498046875</v>
      </c>
      <c r="E2127">
        <v>5634.580078125</v>
      </c>
      <c r="F2127">
        <v>5634.580078125</v>
      </c>
      <c r="G2127">
        <v>3443600000</v>
      </c>
      <c r="H2127">
        <v>0</v>
      </c>
      <c r="I2127">
        <v>0</v>
      </c>
      <c r="K2127" s="11">
        <f t="shared" si="33"/>
        <v>2.6455008109871336E-4</v>
      </c>
    </row>
    <row r="2128" spans="1:11" x14ac:dyDescent="0.2">
      <c r="A2128" s="2">
        <v>45553</v>
      </c>
      <c r="B2128">
        <v>5641.68017578125</v>
      </c>
      <c r="C2128">
        <v>5689.75</v>
      </c>
      <c r="D2128">
        <v>5615.080078125</v>
      </c>
      <c r="E2128">
        <v>5618.259765625</v>
      </c>
      <c r="F2128">
        <v>5618.259765625</v>
      </c>
      <c r="G2128">
        <v>3691390000</v>
      </c>
      <c r="H2128">
        <v>0</v>
      </c>
      <c r="I2128">
        <v>0</v>
      </c>
      <c r="K2128" s="11">
        <f t="shared" si="33"/>
        <v>-2.8964558624980929E-3</v>
      </c>
    </row>
    <row r="2129" spans="1:11" x14ac:dyDescent="0.2">
      <c r="A2129" s="2">
        <v>45554</v>
      </c>
      <c r="B2129">
        <v>5702.6298828125</v>
      </c>
      <c r="C2129">
        <v>5733.56982421875</v>
      </c>
      <c r="D2129">
        <v>5686.419921875</v>
      </c>
      <c r="E2129">
        <v>5713.64013671875</v>
      </c>
      <c r="F2129">
        <v>5713.64013671875</v>
      </c>
      <c r="G2129">
        <v>4024530000</v>
      </c>
      <c r="H2129">
        <v>0</v>
      </c>
      <c r="I2129">
        <v>0</v>
      </c>
      <c r="K2129" s="11">
        <f t="shared" si="33"/>
        <v>1.6976853166763339E-2</v>
      </c>
    </row>
    <row r="2130" spans="1:11" x14ac:dyDescent="0.2">
      <c r="A2130" s="2">
        <v>45555</v>
      </c>
      <c r="B2130">
        <v>5709.64013671875</v>
      </c>
      <c r="C2130">
        <v>5715.14013671875</v>
      </c>
      <c r="D2130">
        <v>5674.490234375</v>
      </c>
      <c r="E2130">
        <v>5702.5498046875</v>
      </c>
      <c r="F2130">
        <v>5702.5498046875</v>
      </c>
      <c r="G2130">
        <v>7867260000</v>
      </c>
      <c r="H2130">
        <v>0</v>
      </c>
      <c r="I2130">
        <v>0</v>
      </c>
      <c r="K2130" s="11">
        <f t="shared" si="33"/>
        <v>-1.9410273951238066E-3</v>
      </c>
    </row>
    <row r="2131" spans="1:11" x14ac:dyDescent="0.2">
      <c r="A2131" s="2">
        <v>45558</v>
      </c>
      <c r="B2131">
        <v>5711.89990234375</v>
      </c>
      <c r="C2131">
        <v>5725.35986328125</v>
      </c>
      <c r="D2131">
        <v>5704.22021484375</v>
      </c>
      <c r="E2131">
        <v>5718.56982421875</v>
      </c>
      <c r="F2131">
        <v>5718.56982421875</v>
      </c>
      <c r="G2131">
        <v>3529550000</v>
      </c>
      <c r="H2131">
        <v>0</v>
      </c>
      <c r="I2131">
        <v>0</v>
      </c>
      <c r="K2131" s="11">
        <f t="shared" si="33"/>
        <v>2.8092730585327352E-3</v>
      </c>
    </row>
    <row r="2132" spans="1:11" x14ac:dyDescent="0.2">
      <c r="A2132" s="2">
        <v>45559</v>
      </c>
      <c r="B2132">
        <v>5727.66015625</v>
      </c>
      <c r="C2132">
        <v>5735.31982421875</v>
      </c>
      <c r="D2132">
        <v>5698.990234375</v>
      </c>
      <c r="E2132">
        <v>5732.93017578125</v>
      </c>
      <c r="F2132">
        <v>5732.93017578125</v>
      </c>
      <c r="G2132">
        <v>3872710000</v>
      </c>
      <c r="H2132">
        <v>0</v>
      </c>
      <c r="I2132">
        <v>0</v>
      </c>
      <c r="K2132" s="11">
        <f t="shared" si="33"/>
        <v>2.5111788443470395E-3</v>
      </c>
    </row>
    <row r="2133" spans="1:11" x14ac:dyDescent="0.2">
      <c r="A2133" s="2">
        <v>45560</v>
      </c>
      <c r="B2133">
        <v>5733.64990234375</v>
      </c>
      <c r="C2133">
        <v>5741.02978515625</v>
      </c>
      <c r="D2133">
        <v>5712.06005859375</v>
      </c>
      <c r="E2133">
        <v>5722.259765625</v>
      </c>
      <c r="F2133">
        <v>5722.259765625</v>
      </c>
      <c r="G2133">
        <v>3624910000</v>
      </c>
      <c r="H2133">
        <v>0</v>
      </c>
      <c r="I2133">
        <v>0</v>
      </c>
      <c r="K2133" s="11">
        <f t="shared" si="33"/>
        <v>-1.8612489301417234E-3</v>
      </c>
    </row>
    <row r="2134" spans="1:11" x14ac:dyDescent="0.2">
      <c r="A2134" s="2">
        <v>45561</v>
      </c>
      <c r="B2134">
        <v>5762.22021484375</v>
      </c>
      <c r="C2134">
        <v>5767.3701171875</v>
      </c>
      <c r="D2134">
        <v>5721.009765625</v>
      </c>
      <c r="E2134">
        <v>5745.3701171875</v>
      </c>
      <c r="F2134">
        <v>5745.3701171875</v>
      </c>
      <c r="G2134">
        <v>4391180000</v>
      </c>
      <c r="H2134">
        <v>0</v>
      </c>
      <c r="I2134">
        <v>0</v>
      </c>
      <c r="K2134" s="11">
        <f t="shared" si="33"/>
        <v>4.0386757171231302E-3</v>
      </c>
    </row>
    <row r="2135" spans="1:11" x14ac:dyDescent="0.2">
      <c r="A2135" s="2">
        <v>45562</v>
      </c>
      <c r="B2135">
        <v>5755.35986328125</v>
      </c>
      <c r="C2135">
        <v>5763.77978515625</v>
      </c>
      <c r="D2135">
        <v>5727.33984375</v>
      </c>
      <c r="E2135">
        <v>5738.169921875</v>
      </c>
      <c r="F2135">
        <v>5738.169921875</v>
      </c>
      <c r="G2135">
        <v>3898530000</v>
      </c>
      <c r="H2135">
        <v>0</v>
      </c>
      <c r="I2135">
        <v>0</v>
      </c>
      <c r="K2135" s="11">
        <f t="shared" si="33"/>
        <v>-1.2532169669905446E-3</v>
      </c>
    </row>
    <row r="2136" spans="1:11" x14ac:dyDescent="0.2">
      <c r="A2136" s="2">
        <v>45565</v>
      </c>
      <c r="B2136">
        <v>5726.52001953125</v>
      </c>
      <c r="C2136">
        <v>5765.14013671875</v>
      </c>
      <c r="D2136">
        <v>5703.52978515625</v>
      </c>
      <c r="E2136">
        <v>5762.47998046875</v>
      </c>
      <c r="F2136">
        <v>5762.47998046875</v>
      </c>
      <c r="G2136">
        <v>4425730000</v>
      </c>
      <c r="H2136">
        <v>0</v>
      </c>
      <c r="I2136">
        <v>0</v>
      </c>
      <c r="K2136" s="11">
        <f t="shared" si="33"/>
        <v>4.2365525811767224E-3</v>
      </c>
    </row>
    <row r="2137" spans="1:11" x14ac:dyDescent="0.2">
      <c r="A2137" s="2">
        <v>45566</v>
      </c>
      <c r="B2137">
        <v>5757.72998046875</v>
      </c>
      <c r="C2137">
        <v>5757.72998046875</v>
      </c>
      <c r="D2137">
        <v>5681.27978515625</v>
      </c>
      <c r="E2137">
        <v>5708.75</v>
      </c>
      <c r="F2137">
        <v>5708.75</v>
      </c>
      <c r="G2137">
        <v>4025180000</v>
      </c>
      <c r="H2137">
        <v>0</v>
      </c>
      <c r="I2137">
        <v>0</v>
      </c>
      <c r="K2137" s="11">
        <f t="shared" si="33"/>
        <v>-9.3241070946643578E-3</v>
      </c>
    </row>
    <row r="2138" spans="1:11" x14ac:dyDescent="0.2">
      <c r="A2138" s="2">
        <v>45567</v>
      </c>
      <c r="B2138">
        <v>5698.14013671875</v>
      </c>
      <c r="C2138">
        <v>5719.6298828125</v>
      </c>
      <c r="D2138">
        <v>5674</v>
      </c>
      <c r="E2138">
        <v>5709.5400390625</v>
      </c>
      <c r="F2138">
        <v>5709.5400390625</v>
      </c>
      <c r="G2138">
        <v>3829050000</v>
      </c>
      <c r="H2138">
        <v>0</v>
      </c>
      <c r="I2138">
        <v>0</v>
      </c>
      <c r="K2138" s="11">
        <f t="shared" si="33"/>
        <v>1.3839090212397487E-4</v>
      </c>
    </row>
    <row r="2139" spans="1:11" x14ac:dyDescent="0.2">
      <c r="A2139" s="2">
        <v>45568</v>
      </c>
      <c r="B2139">
        <v>5698.18994140625</v>
      </c>
      <c r="C2139">
        <v>5718.77978515625</v>
      </c>
      <c r="D2139">
        <v>5677.3701171875</v>
      </c>
      <c r="E2139">
        <v>5699.93994140625</v>
      </c>
      <c r="F2139">
        <v>5699.93994140625</v>
      </c>
      <c r="G2139">
        <v>3597450000</v>
      </c>
      <c r="H2139">
        <v>0</v>
      </c>
      <c r="I2139">
        <v>0</v>
      </c>
      <c r="K2139" s="11">
        <f t="shared" si="33"/>
        <v>-1.681413492255035E-3</v>
      </c>
    </row>
    <row r="2140" spans="1:11" x14ac:dyDescent="0.2">
      <c r="A2140" s="2">
        <v>45569</v>
      </c>
      <c r="B2140">
        <v>5737.47998046875</v>
      </c>
      <c r="C2140">
        <v>5753.2099609375</v>
      </c>
      <c r="D2140">
        <v>5702.830078125</v>
      </c>
      <c r="E2140">
        <v>5751.06982421875</v>
      </c>
      <c r="F2140">
        <v>5751.06982421875</v>
      </c>
      <c r="G2140">
        <v>3479400000</v>
      </c>
      <c r="H2140">
        <v>0</v>
      </c>
      <c r="I2140">
        <v>0</v>
      </c>
      <c r="K2140" s="11">
        <f t="shared" si="33"/>
        <v>8.9702493952743545E-3</v>
      </c>
    </row>
    <row r="2141" spans="1:11" x14ac:dyDescent="0.2">
      <c r="A2141" s="2">
        <v>45572</v>
      </c>
      <c r="B2141">
        <v>5737.7998046875</v>
      </c>
      <c r="C2141">
        <v>5739.33984375</v>
      </c>
      <c r="D2141">
        <v>5686.85009765625</v>
      </c>
      <c r="E2141">
        <v>5695.93994140625</v>
      </c>
      <c r="F2141">
        <v>5695.93994140625</v>
      </c>
      <c r="G2141">
        <v>3637790000</v>
      </c>
      <c r="H2141">
        <v>0</v>
      </c>
      <c r="I2141">
        <v>0</v>
      </c>
      <c r="K2141" s="11">
        <f t="shared" si="33"/>
        <v>-9.5860221658826683E-3</v>
      </c>
    </row>
    <row r="2142" spans="1:11" x14ac:dyDescent="0.2">
      <c r="A2142" s="2">
        <v>45573</v>
      </c>
      <c r="B2142">
        <v>5719.14013671875</v>
      </c>
      <c r="C2142">
        <v>5757.60009765625</v>
      </c>
      <c r="D2142">
        <v>5714.56005859375</v>
      </c>
      <c r="E2142">
        <v>5751.1298828125</v>
      </c>
      <c r="F2142">
        <v>5751.1298828125</v>
      </c>
      <c r="G2142">
        <v>3393400000</v>
      </c>
      <c r="H2142">
        <v>0</v>
      </c>
      <c r="I2142">
        <v>0</v>
      </c>
      <c r="K2142" s="11">
        <f t="shared" si="33"/>
        <v>9.6893474955819237E-3</v>
      </c>
    </row>
    <row r="2143" spans="1:11" x14ac:dyDescent="0.2">
      <c r="A2143" s="2">
        <v>45574</v>
      </c>
      <c r="B2143">
        <v>5751.7998046875</v>
      </c>
      <c r="C2143">
        <v>5796.7998046875</v>
      </c>
      <c r="D2143">
        <v>5745.02001953125</v>
      </c>
      <c r="E2143">
        <v>5792.0400390625</v>
      </c>
      <c r="F2143">
        <v>5792.0400390625</v>
      </c>
      <c r="G2143">
        <v>3650340000</v>
      </c>
      <c r="H2143">
        <v>0</v>
      </c>
      <c r="I2143">
        <v>0</v>
      </c>
      <c r="K2143" s="11">
        <f t="shared" si="33"/>
        <v>7.1134119874882717E-3</v>
      </c>
    </row>
    <row r="2144" spans="1:11" x14ac:dyDescent="0.2">
      <c r="A2144" s="2">
        <v>45575</v>
      </c>
      <c r="B2144">
        <v>5778.35986328125</v>
      </c>
      <c r="C2144">
        <v>5795.02978515625</v>
      </c>
      <c r="D2144">
        <v>5764.759765625</v>
      </c>
      <c r="E2144">
        <v>5780.0498046875</v>
      </c>
      <c r="F2144">
        <v>5780.0498046875</v>
      </c>
      <c r="G2144">
        <v>3208790000</v>
      </c>
      <c r="H2144">
        <v>0</v>
      </c>
      <c r="I2144">
        <v>0</v>
      </c>
      <c r="K2144" s="11">
        <f t="shared" si="33"/>
        <v>-2.070122839989974E-3</v>
      </c>
    </row>
    <row r="2145" spans="1:11" x14ac:dyDescent="0.2">
      <c r="A2145" s="2">
        <v>45576</v>
      </c>
      <c r="B2145">
        <v>5775.08984375</v>
      </c>
      <c r="C2145">
        <v>5822.1298828125</v>
      </c>
      <c r="D2145">
        <v>5775.08984375</v>
      </c>
      <c r="E2145">
        <v>5815.02978515625</v>
      </c>
      <c r="F2145">
        <v>5815.02978515625</v>
      </c>
      <c r="G2145">
        <v>3208720000</v>
      </c>
      <c r="H2145">
        <v>0</v>
      </c>
      <c r="I2145">
        <v>0</v>
      </c>
      <c r="K2145" s="11">
        <f t="shared" si="33"/>
        <v>6.0518475879536293E-3</v>
      </c>
    </row>
    <row r="2146" spans="1:11" x14ac:dyDescent="0.2">
      <c r="A2146" s="2">
        <v>45579</v>
      </c>
      <c r="B2146">
        <v>5829.81005859375</v>
      </c>
      <c r="C2146">
        <v>5871.41015625</v>
      </c>
      <c r="D2146">
        <v>5829.56982421875</v>
      </c>
      <c r="E2146">
        <v>5859.85009765625</v>
      </c>
      <c r="F2146">
        <v>5859.85009765625</v>
      </c>
      <c r="G2146">
        <v>3005250000</v>
      </c>
      <c r="H2146">
        <v>0</v>
      </c>
      <c r="I2146">
        <v>0</v>
      </c>
      <c r="K2146" s="11">
        <f t="shared" si="33"/>
        <v>7.7076668832223305E-3</v>
      </c>
    </row>
    <row r="2147" spans="1:11" x14ac:dyDescent="0.2">
      <c r="A2147" s="2">
        <v>45580</v>
      </c>
      <c r="B2147">
        <v>5866.740234375</v>
      </c>
      <c r="C2147">
        <v>5870.35986328125</v>
      </c>
      <c r="D2147">
        <v>5804.47998046875</v>
      </c>
      <c r="E2147">
        <v>5815.259765625</v>
      </c>
      <c r="F2147">
        <v>5815.259765625</v>
      </c>
      <c r="G2147">
        <v>3882120000</v>
      </c>
      <c r="H2147">
        <v>0</v>
      </c>
      <c r="I2147">
        <v>0</v>
      </c>
      <c r="K2147" s="11">
        <f t="shared" si="33"/>
        <v>-7.6094663324381973E-3</v>
      </c>
    </row>
    <row r="2148" spans="1:11" x14ac:dyDescent="0.2">
      <c r="A2148" s="2">
        <v>45581</v>
      </c>
      <c r="B2148">
        <v>5816.580078125</v>
      </c>
      <c r="C2148">
        <v>5846.52001953125</v>
      </c>
      <c r="D2148">
        <v>5808.33984375</v>
      </c>
      <c r="E2148">
        <v>5842.47021484375</v>
      </c>
      <c r="F2148">
        <v>5842.47021484375</v>
      </c>
      <c r="G2148">
        <v>3467230000</v>
      </c>
      <c r="H2148">
        <v>0</v>
      </c>
      <c r="I2148">
        <v>0</v>
      </c>
      <c r="K2148" s="11">
        <f t="shared" si="33"/>
        <v>4.6791459565738158E-3</v>
      </c>
    </row>
    <row r="2149" spans="1:11" x14ac:dyDescent="0.2">
      <c r="A2149" s="2">
        <v>45582</v>
      </c>
      <c r="B2149">
        <v>5875.6201171875</v>
      </c>
      <c r="C2149">
        <v>5878.4599609375</v>
      </c>
      <c r="D2149">
        <v>5840.25</v>
      </c>
      <c r="E2149">
        <v>5841.47021484375</v>
      </c>
      <c r="F2149">
        <v>5841.47021484375</v>
      </c>
      <c r="G2149">
        <v>3480010000</v>
      </c>
      <c r="H2149">
        <v>0</v>
      </c>
      <c r="I2149">
        <v>0</v>
      </c>
      <c r="K2149" s="11">
        <f t="shared" si="33"/>
        <v>-1.7116047891174713E-4</v>
      </c>
    </row>
    <row r="2150" spans="1:11" x14ac:dyDescent="0.2">
      <c r="A2150" s="2">
        <v>45583</v>
      </c>
      <c r="B2150">
        <v>5859.43017578125</v>
      </c>
      <c r="C2150">
        <v>5872.169921875</v>
      </c>
      <c r="D2150">
        <v>5846.10986328125</v>
      </c>
      <c r="E2150">
        <v>5864.669921875</v>
      </c>
      <c r="F2150">
        <v>5864.669921875</v>
      </c>
      <c r="G2150">
        <v>3374490000</v>
      </c>
      <c r="H2150">
        <v>0</v>
      </c>
      <c r="I2150">
        <v>0</v>
      </c>
      <c r="K2150" s="11">
        <f t="shared" si="33"/>
        <v>3.9715527389487804E-3</v>
      </c>
    </row>
    <row r="2151" spans="1:11" x14ac:dyDescent="0.2">
      <c r="A2151" s="2">
        <v>45586</v>
      </c>
      <c r="B2151">
        <v>5857.81982421875</v>
      </c>
      <c r="C2151">
        <v>5866.919921875</v>
      </c>
      <c r="D2151">
        <v>5824.7900390625</v>
      </c>
      <c r="E2151">
        <v>5853.97998046875</v>
      </c>
      <c r="F2151">
        <v>5853.97998046875</v>
      </c>
      <c r="G2151">
        <v>3407010000</v>
      </c>
      <c r="H2151">
        <v>0</v>
      </c>
      <c r="I2151">
        <v>0</v>
      </c>
      <c r="K2151" s="11">
        <f t="shared" si="33"/>
        <v>-1.8227694906369774E-3</v>
      </c>
    </row>
    <row r="2152" spans="1:11" x14ac:dyDescent="0.2">
      <c r="A2152" s="2">
        <v>45587</v>
      </c>
      <c r="B2152">
        <v>5832.7001953125</v>
      </c>
      <c r="C2152">
        <v>5863.0400390625</v>
      </c>
      <c r="D2152">
        <v>5821.169921875</v>
      </c>
      <c r="E2152">
        <v>5851.2001953125</v>
      </c>
      <c r="F2152">
        <v>5851.2001953125</v>
      </c>
      <c r="G2152">
        <v>3342080000</v>
      </c>
      <c r="H2152">
        <v>0</v>
      </c>
      <c r="I2152">
        <v>0</v>
      </c>
      <c r="K2152" s="11">
        <f t="shared" si="33"/>
        <v>-4.7485388838441889E-4</v>
      </c>
    </row>
    <row r="2153" spans="1:11" x14ac:dyDescent="0.2">
      <c r="A2153" s="2">
        <v>45588</v>
      </c>
      <c r="B2153">
        <v>5834.5</v>
      </c>
      <c r="C2153">
        <v>5834.85009765625</v>
      </c>
      <c r="D2153">
        <v>5762.41015625</v>
      </c>
      <c r="E2153">
        <v>5797.419921875</v>
      </c>
      <c r="F2153">
        <v>5797.419921875</v>
      </c>
      <c r="G2153">
        <v>3532650000</v>
      </c>
      <c r="H2153">
        <v>0</v>
      </c>
      <c r="I2153">
        <v>0</v>
      </c>
      <c r="K2153" s="11">
        <f t="shared" si="33"/>
        <v>-9.1913234280693867E-3</v>
      </c>
    </row>
    <row r="2154" spans="1:11" x14ac:dyDescent="0.2">
      <c r="A2154" s="2">
        <v>45589</v>
      </c>
      <c r="B2154">
        <v>5817.7998046875</v>
      </c>
      <c r="C2154">
        <v>5817.7998046875</v>
      </c>
      <c r="D2154">
        <v>5784.919921875</v>
      </c>
      <c r="E2154">
        <v>5809.85986328125</v>
      </c>
      <c r="F2154">
        <v>5809.85986328125</v>
      </c>
      <c r="G2154">
        <v>3543030000</v>
      </c>
      <c r="H2154">
        <v>0</v>
      </c>
      <c r="I2154">
        <v>0</v>
      </c>
      <c r="K2154" s="11">
        <f t="shared" si="33"/>
        <v>2.145772011323821E-3</v>
      </c>
    </row>
    <row r="2155" spans="1:11" x14ac:dyDescent="0.2">
      <c r="A2155" s="2">
        <v>45590</v>
      </c>
      <c r="B2155">
        <v>5826.75</v>
      </c>
      <c r="C2155">
        <v>5862.81982421875</v>
      </c>
      <c r="D2155">
        <v>5799.97998046875</v>
      </c>
      <c r="E2155">
        <v>5808.1201171875</v>
      </c>
      <c r="F2155">
        <v>5808.1201171875</v>
      </c>
      <c r="G2155">
        <v>3501280000</v>
      </c>
      <c r="H2155">
        <v>0</v>
      </c>
      <c r="I2155">
        <v>0</v>
      </c>
      <c r="K2155" s="11">
        <f t="shared" si="33"/>
        <v>-2.9944716993013376E-4</v>
      </c>
    </row>
    <row r="2156" spans="1:11" x14ac:dyDescent="0.2">
      <c r="A2156" s="2">
        <v>45593</v>
      </c>
      <c r="B2156">
        <v>5833.93017578125</v>
      </c>
      <c r="C2156">
        <v>5842.919921875</v>
      </c>
      <c r="D2156">
        <v>5823.080078125</v>
      </c>
      <c r="E2156">
        <v>5823.52001953125</v>
      </c>
      <c r="F2156">
        <v>5823.52001953125</v>
      </c>
      <c r="G2156">
        <v>3691280000</v>
      </c>
      <c r="H2156">
        <v>0</v>
      </c>
      <c r="I2156">
        <v>0</v>
      </c>
      <c r="K2156" s="11">
        <f t="shared" si="33"/>
        <v>2.6514435020339455E-3</v>
      </c>
    </row>
    <row r="2157" spans="1:11" x14ac:dyDescent="0.2">
      <c r="A2157" s="2">
        <v>45594</v>
      </c>
      <c r="B2157">
        <v>5819.68017578125</v>
      </c>
      <c r="C2157">
        <v>5847.18994140625</v>
      </c>
      <c r="D2157">
        <v>5802.169921875</v>
      </c>
      <c r="E2157">
        <v>5832.919921875</v>
      </c>
      <c r="F2157">
        <v>5832.919921875</v>
      </c>
      <c r="G2157">
        <v>3879100000</v>
      </c>
      <c r="H2157">
        <v>0</v>
      </c>
      <c r="I2157">
        <v>0</v>
      </c>
      <c r="K2157" s="11">
        <f t="shared" si="33"/>
        <v>1.614127248163344E-3</v>
      </c>
    </row>
    <row r="2158" spans="1:11" x14ac:dyDescent="0.2">
      <c r="A2158" s="2">
        <v>45595</v>
      </c>
      <c r="B2158">
        <v>5832.64990234375</v>
      </c>
      <c r="C2158">
        <v>5850.93994140625</v>
      </c>
      <c r="D2158">
        <v>5811.27978515625</v>
      </c>
      <c r="E2158">
        <v>5813.669921875</v>
      </c>
      <c r="F2158">
        <v>5813.669921875</v>
      </c>
      <c r="G2158">
        <v>3851120000</v>
      </c>
      <c r="H2158">
        <v>0</v>
      </c>
      <c r="I2158">
        <v>0</v>
      </c>
      <c r="K2158" s="11">
        <f t="shared" si="33"/>
        <v>-3.3002338893437511E-3</v>
      </c>
    </row>
    <row r="2159" spans="1:11" x14ac:dyDescent="0.2">
      <c r="A2159" s="2">
        <v>45596</v>
      </c>
      <c r="B2159">
        <v>5775.33984375</v>
      </c>
      <c r="C2159">
        <v>5775.33984375</v>
      </c>
      <c r="D2159">
        <v>5702.85986328125</v>
      </c>
      <c r="E2159">
        <v>5705.4501953125</v>
      </c>
      <c r="F2159">
        <v>5705.4501953125</v>
      </c>
      <c r="G2159">
        <v>4425660000</v>
      </c>
      <c r="H2159">
        <v>0</v>
      </c>
      <c r="I2159">
        <v>0</v>
      </c>
      <c r="K2159" s="11">
        <f t="shared" si="33"/>
        <v>-1.8614700871699585E-2</v>
      </c>
    </row>
    <row r="2160" spans="1:11" x14ac:dyDescent="0.2">
      <c r="A2160" s="2">
        <v>45597</v>
      </c>
      <c r="B2160">
        <v>5723.22021484375</v>
      </c>
      <c r="C2160">
        <v>5772.52001953125</v>
      </c>
      <c r="D2160">
        <v>5723.22021484375</v>
      </c>
      <c r="E2160">
        <v>5728.7998046875</v>
      </c>
      <c r="F2160">
        <v>5728.7998046875</v>
      </c>
      <c r="G2160">
        <v>3796450000</v>
      </c>
      <c r="H2160">
        <v>0</v>
      </c>
      <c r="I2160">
        <v>0</v>
      </c>
      <c r="K2160" s="11">
        <f t="shared" si="33"/>
        <v>4.092509543626166E-3</v>
      </c>
    </row>
    <row r="2161" spans="1:11" x14ac:dyDescent="0.2">
      <c r="A2161" s="2">
        <v>45600</v>
      </c>
      <c r="B2161">
        <v>5725.14990234375</v>
      </c>
      <c r="C2161">
        <v>5741.43017578125</v>
      </c>
      <c r="D2161">
        <v>5696.509765625</v>
      </c>
      <c r="E2161">
        <v>5712.68994140625</v>
      </c>
      <c r="F2161">
        <v>5712.68994140625</v>
      </c>
      <c r="G2161">
        <v>3602060000</v>
      </c>
      <c r="H2161">
        <v>0</v>
      </c>
      <c r="I2161">
        <v>0</v>
      </c>
      <c r="K2161" s="11">
        <f t="shared" si="33"/>
        <v>-2.812083478299976E-3</v>
      </c>
    </row>
    <row r="2162" spans="1:11" x14ac:dyDescent="0.2">
      <c r="A2162" s="2">
        <v>45601</v>
      </c>
      <c r="B2162">
        <v>5722.43017578125</v>
      </c>
      <c r="C2162">
        <v>5783.43994140625</v>
      </c>
      <c r="D2162">
        <v>5722.10009765625</v>
      </c>
      <c r="E2162">
        <v>5782.759765625</v>
      </c>
      <c r="F2162">
        <v>5782.759765625</v>
      </c>
      <c r="G2162">
        <v>3768310000</v>
      </c>
      <c r="H2162">
        <v>0</v>
      </c>
      <c r="I2162">
        <v>0</v>
      </c>
      <c r="K2162" s="11">
        <f t="shared" si="33"/>
        <v>1.2265644545291332E-2</v>
      </c>
    </row>
    <row r="2163" spans="1:11" x14ac:dyDescent="0.2">
      <c r="A2163" s="2">
        <v>45602</v>
      </c>
      <c r="B2163">
        <v>5864.89013671875</v>
      </c>
      <c r="C2163">
        <v>5936.14013671875</v>
      </c>
      <c r="D2163">
        <v>5864.89013671875</v>
      </c>
      <c r="E2163">
        <v>5929.0400390625</v>
      </c>
      <c r="F2163">
        <v>5929.0400390625</v>
      </c>
      <c r="G2163">
        <v>6329530000</v>
      </c>
      <c r="H2163">
        <v>0</v>
      </c>
      <c r="I2163">
        <v>0</v>
      </c>
      <c r="K2163" s="11">
        <f t="shared" si="33"/>
        <v>2.5295927786425976E-2</v>
      </c>
    </row>
    <row r="2164" spans="1:11" x14ac:dyDescent="0.2">
      <c r="A2164" s="2">
        <v>45603</v>
      </c>
      <c r="B2164">
        <v>5947.2099609375</v>
      </c>
      <c r="C2164">
        <v>5983.83984375</v>
      </c>
      <c r="D2164">
        <v>5947.2099609375</v>
      </c>
      <c r="E2164">
        <v>5973.10009765625</v>
      </c>
      <c r="F2164">
        <v>5973.10009765625</v>
      </c>
      <c r="G2164">
        <v>4925740000</v>
      </c>
      <c r="H2164">
        <v>0</v>
      </c>
      <c r="I2164">
        <v>0</v>
      </c>
      <c r="K2164" s="11">
        <f t="shared" si="33"/>
        <v>7.431229727488331E-3</v>
      </c>
    </row>
    <row r="2165" spans="1:11" x14ac:dyDescent="0.2">
      <c r="A2165" s="2">
        <v>45604</v>
      </c>
      <c r="B2165">
        <v>5976.759765625</v>
      </c>
      <c r="C2165">
        <v>6012.4501953125</v>
      </c>
      <c r="D2165">
        <v>5976.759765625</v>
      </c>
      <c r="E2165">
        <v>5995.5400390625</v>
      </c>
      <c r="F2165">
        <v>5995.5400390625</v>
      </c>
      <c r="G2165">
        <v>4666740000</v>
      </c>
      <c r="H2165">
        <v>0</v>
      </c>
      <c r="I2165">
        <v>0</v>
      </c>
      <c r="K2165" s="11">
        <f t="shared" si="33"/>
        <v>3.7568333092317108E-3</v>
      </c>
    </row>
    <row r="2166" spans="1:11" x14ac:dyDescent="0.2">
      <c r="A2166" s="2">
        <v>45607</v>
      </c>
      <c r="B2166">
        <v>6008.85986328125</v>
      </c>
      <c r="C2166">
        <v>6017.31005859375</v>
      </c>
      <c r="D2166">
        <v>5986.68994140625</v>
      </c>
      <c r="E2166">
        <v>6001.35009765625</v>
      </c>
      <c r="F2166">
        <v>6001.35009765625</v>
      </c>
      <c r="G2166">
        <v>4333000000</v>
      </c>
      <c r="H2166">
        <v>0</v>
      </c>
      <c r="I2166">
        <v>0</v>
      </c>
      <c r="K2166" s="11">
        <f t="shared" si="33"/>
        <v>9.6906342979874438E-4</v>
      </c>
    </row>
    <row r="2167" spans="1:11" x14ac:dyDescent="0.2">
      <c r="A2167" s="2">
        <v>45608</v>
      </c>
      <c r="B2167">
        <v>6003.60009765625</v>
      </c>
      <c r="C2167">
        <v>6009.919921875</v>
      </c>
      <c r="D2167">
        <v>5960.080078125</v>
      </c>
      <c r="E2167">
        <v>5983.990234375</v>
      </c>
      <c r="F2167">
        <v>5983.990234375</v>
      </c>
      <c r="G2167">
        <v>4243400000</v>
      </c>
      <c r="H2167">
        <v>0</v>
      </c>
      <c r="I2167">
        <v>0</v>
      </c>
      <c r="K2167" s="11">
        <f t="shared" si="33"/>
        <v>-2.8926596513724201E-3</v>
      </c>
    </row>
    <row r="2168" spans="1:11" x14ac:dyDescent="0.2">
      <c r="A2168" s="2">
        <v>45609</v>
      </c>
      <c r="B2168">
        <v>5985.75</v>
      </c>
      <c r="C2168">
        <v>6008.18994140625</v>
      </c>
      <c r="D2168">
        <v>5965.91015625</v>
      </c>
      <c r="E2168">
        <v>5985.3798828125</v>
      </c>
      <c r="F2168">
        <v>5985.3798828125</v>
      </c>
      <c r="G2168">
        <v>4220180000</v>
      </c>
      <c r="H2168">
        <v>0</v>
      </c>
      <c r="I2168">
        <v>0</v>
      </c>
      <c r="K2168" s="11">
        <f t="shared" si="33"/>
        <v>2.3222772482434095E-4</v>
      </c>
    </row>
    <row r="2169" spans="1:11" x14ac:dyDescent="0.2">
      <c r="A2169" s="2">
        <v>45610</v>
      </c>
      <c r="B2169">
        <v>5989.68017578125</v>
      </c>
      <c r="C2169">
        <v>5993.8798828125</v>
      </c>
      <c r="D2169">
        <v>5942.27978515625</v>
      </c>
      <c r="E2169">
        <v>5949.169921875</v>
      </c>
      <c r="F2169">
        <v>5949.169921875</v>
      </c>
      <c r="G2169">
        <v>4184570000</v>
      </c>
      <c r="H2169">
        <v>0</v>
      </c>
      <c r="I2169">
        <v>0</v>
      </c>
      <c r="K2169" s="11">
        <f t="shared" si="33"/>
        <v>-6.0497347948590408E-3</v>
      </c>
    </row>
    <row r="2170" spans="1:11" x14ac:dyDescent="0.2">
      <c r="A2170" s="2">
        <v>45611</v>
      </c>
      <c r="B2170">
        <v>5912.7900390625</v>
      </c>
      <c r="C2170">
        <v>5915.31982421875</v>
      </c>
      <c r="D2170">
        <v>5853.009765625</v>
      </c>
      <c r="E2170">
        <v>5870.6201171875</v>
      </c>
      <c r="F2170">
        <v>5870.6201171875</v>
      </c>
      <c r="G2170">
        <v>4590960000</v>
      </c>
      <c r="H2170">
        <v>0</v>
      </c>
      <c r="I2170">
        <v>0</v>
      </c>
      <c r="K2170" s="11">
        <f t="shared" si="33"/>
        <v>-1.3203489851361216E-2</v>
      </c>
    </row>
    <row r="2171" spans="1:11" x14ac:dyDescent="0.2">
      <c r="A2171" s="2">
        <v>45614</v>
      </c>
      <c r="B2171">
        <v>5874.169921875</v>
      </c>
      <c r="C2171">
        <v>5908.1201171875</v>
      </c>
      <c r="D2171">
        <v>5865.9501953125</v>
      </c>
      <c r="E2171">
        <v>5893.6201171875</v>
      </c>
      <c r="F2171">
        <v>5893.6201171875</v>
      </c>
      <c r="G2171">
        <v>3983860000</v>
      </c>
      <c r="H2171">
        <v>0</v>
      </c>
      <c r="I2171">
        <v>0</v>
      </c>
      <c r="K2171" s="11">
        <f t="shared" si="33"/>
        <v>3.9178143945410859E-3</v>
      </c>
    </row>
    <row r="2172" spans="1:11" x14ac:dyDescent="0.2">
      <c r="A2172" s="2">
        <v>45615</v>
      </c>
      <c r="B2172">
        <v>5870.0498046875</v>
      </c>
      <c r="C2172">
        <v>5923.509765625</v>
      </c>
      <c r="D2172">
        <v>5855.2900390625</v>
      </c>
      <c r="E2172">
        <v>5916.97998046875</v>
      </c>
      <c r="F2172">
        <v>5916.97998046875</v>
      </c>
      <c r="G2172">
        <v>4036940000</v>
      </c>
      <c r="H2172">
        <v>0</v>
      </c>
      <c r="I2172">
        <v>0</v>
      </c>
      <c r="K2172" s="11">
        <f t="shared" si="33"/>
        <v>3.9635848284700348E-3</v>
      </c>
    </row>
    <row r="2173" spans="1:11" x14ac:dyDescent="0.2">
      <c r="A2173" s="2">
        <v>45616</v>
      </c>
      <c r="B2173">
        <v>5914.33984375</v>
      </c>
      <c r="C2173">
        <v>5920.669921875</v>
      </c>
      <c r="D2173">
        <v>5860.56005859375</v>
      </c>
      <c r="E2173">
        <v>5917.10986328125</v>
      </c>
      <c r="F2173">
        <v>5917.10986328125</v>
      </c>
      <c r="G2173">
        <v>3772620000</v>
      </c>
      <c r="H2173">
        <v>0</v>
      </c>
      <c r="I2173">
        <v>0</v>
      </c>
      <c r="K2173" s="11">
        <f t="shared" si="33"/>
        <v>2.195086225209586E-5</v>
      </c>
    </row>
    <row r="2174" spans="1:11" x14ac:dyDescent="0.2">
      <c r="A2174" s="2">
        <v>45617</v>
      </c>
      <c r="B2174">
        <v>5940.580078125</v>
      </c>
      <c r="C2174">
        <v>5963.31982421875</v>
      </c>
      <c r="D2174">
        <v>5887.259765625</v>
      </c>
      <c r="E2174">
        <v>5948.7099609375</v>
      </c>
      <c r="F2174">
        <v>5948.7099609375</v>
      </c>
      <c r="G2174">
        <v>4230120000</v>
      </c>
      <c r="H2174">
        <v>0</v>
      </c>
      <c r="I2174">
        <v>0</v>
      </c>
      <c r="K2174" s="11">
        <f t="shared" si="33"/>
        <v>5.3404615405816536E-3</v>
      </c>
    </row>
    <row r="2175" spans="1:11" x14ac:dyDescent="0.2">
      <c r="A2175" s="2">
        <v>45618</v>
      </c>
      <c r="B2175">
        <v>5944.35986328125</v>
      </c>
      <c r="C2175">
        <v>5972.89990234375</v>
      </c>
      <c r="D2175">
        <v>5944.35986328125</v>
      </c>
      <c r="E2175">
        <v>5969.33984375</v>
      </c>
      <c r="F2175">
        <v>5969.33984375</v>
      </c>
      <c r="G2175">
        <v>4141420000</v>
      </c>
      <c r="H2175">
        <v>0</v>
      </c>
      <c r="I2175">
        <v>0</v>
      </c>
      <c r="K2175" s="11">
        <f t="shared" si="33"/>
        <v>3.4679590949915351E-3</v>
      </c>
    </row>
    <row r="2176" spans="1:11" x14ac:dyDescent="0.2">
      <c r="A2176" s="2">
        <v>45621</v>
      </c>
      <c r="B2176">
        <v>5992.27978515625</v>
      </c>
      <c r="C2176">
        <v>6020.75</v>
      </c>
      <c r="D2176">
        <v>5963.91015625</v>
      </c>
      <c r="E2176">
        <v>5987.3701171875</v>
      </c>
      <c r="F2176">
        <v>5987.3701171875</v>
      </c>
      <c r="G2176">
        <v>5633150000</v>
      </c>
      <c r="H2176">
        <v>0</v>
      </c>
      <c r="I2176">
        <v>0</v>
      </c>
      <c r="K2176" s="11">
        <f t="shared" si="33"/>
        <v>3.0204803059383778E-3</v>
      </c>
    </row>
    <row r="2177" spans="1:11" x14ac:dyDescent="0.2">
      <c r="A2177" s="2">
        <v>45622</v>
      </c>
      <c r="B2177">
        <v>6000.02978515625</v>
      </c>
      <c r="C2177">
        <v>6025.419921875</v>
      </c>
      <c r="D2177">
        <v>5992.27001953125</v>
      </c>
      <c r="E2177">
        <v>6021.6298828125</v>
      </c>
      <c r="F2177">
        <v>6021.6298828125</v>
      </c>
      <c r="G2177">
        <v>3835170000</v>
      </c>
      <c r="H2177">
        <v>0</v>
      </c>
      <c r="I2177">
        <v>0</v>
      </c>
      <c r="K2177" s="11">
        <f t="shared" si="33"/>
        <v>5.7220056476303682E-3</v>
      </c>
    </row>
    <row r="2178" spans="1:11" x14ac:dyDescent="0.2">
      <c r="A2178" s="2">
        <v>45623</v>
      </c>
      <c r="B2178">
        <v>6014.10986328125</v>
      </c>
      <c r="C2178">
        <v>6020.16015625</v>
      </c>
      <c r="D2178">
        <v>5984.8701171875</v>
      </c>
      <c r="E2178">
        <v>5998.740234375</v>
      </c>
      <c r="F2178">
        <v>5998.740234375</v>
      </c>
      <c r="G2178">
        <v>3363340000</v>
      </c>
      <c r="H2178">
        <v>0</v>
      </c>
      <c r="I2178">
        <v>0</v>
      </c>
      <c r="K2178" s="11">
        <f t="shared" si="33"/>
        <v>-3.801238017440034E-3</v>
      </c>
    </row>
    <row r="2179" spans="1:11" x14ac:dyDescent="0.2">
      <c r="A2179" s="2">
        <v>45625</v>
      </c>
      <c r="B2179">
        <v>6003.97998046875</v>
      </c>
      <c r="C2179">
        <v>6044.169921875</v>
      </c>
      <c r="D2179">
        <v>6003.97998046875</v>
      </c>
      <c r="E2179">
        <v>6032.3798828125</v>
      </c>
      <c r="F2179">
        <v>6032.3798828125</v>
      </c>
      <c r="G2179">
        <v>2444420000</v>
      </c>
      <c r="H2179">
        <v>0</v>
      </c>
      <c r="I2179">
        <v>0</v>
      </c>
      <c r="K2179" s="11">
        <f t="shared" si="33"/>
        <v>5.6077854888152423E-3</v>
      </c>
    </row>
    <row r="2180" spans="1:11" x14ac:dyDescent="0.2">
      <c r="A2180" s="2">
        <v>45628</v>
      </c>
      <c r="B2180">
        <v>6040.10986328125</v>
      </c>
      <c r="C2180">
        <v>6053.580078125</v>
      </c>
      <c r="D2180">
        <v>6035.330078125</v>
      </c>
      <c r="E2180">
        <v>6047.14990234375</v>
      </c>
      <c r="F2180">
        <v>6047.14990234375</v>
      </c>
      <c r="G2180">
        <v>4412470000</v>
      </c>
      <c r="H2180">
        <v>0</v>
      </c>
      <c r="I2180">
        <v>0</v>
      </c>
      <c r="K2180" s="11">
        <f t="shared" ref="K2180:K2243" si="34">(E2180/E2179)-1</f>
        <v>2.4484564662998753E-3</v>
      </c>
    </row>
    <row r="2181" spans="1:11" x14ac:dyDescent="0.2">
      <c r="A2181" s="2">
        <v>45629</v>
      </c>
      <c r="B2181">
        <v>6042.97021484375</v>
      </c>
      <c r="C2181">
        <v>6052.06982421875</v>
      </c>
      <c r="D2181">
        <v>6033.39013671875</v>
      </c>
      <c r="E2181">
        <v>6049.8798828125</v>
      </c>
      <c r="F2181">
        <v>6049.8798828125</v>
      </c>
      <c r="G2181">
        <v>4095000000</v>
      </c>
      <c r="H2181">
        <v>0</v>
      </c>
      <c r="I2181">
        <v>0</v>
      </c>
      <c r="K2181" s="11">
        <f t="shared" si="34"/>
        <v>4.5144911451466818E-4</v>
      </c>
    </row>
    <row r="2182" spans="1:11" x14ac:dyDescent="0.2">
      <c r="A2182" s="2">
        <v>45630</v>
      </c>
      <c r="B2182">
        <v>6069.39013671875</v>
      </c>
      <c r="C2182">
        <v>6089.83984375</v>
      </c>
      <c r="D2182">
        <v>6061.06005859375</v>
      </c>
      <c r="E2182">
        <v>6086.490234375</v>
      </c>
      <c r="F2182">
        <v>6086.490234375</v>
      </c>
      <c r="G2182">
        <v>4003390000</v>
      </c>
      <c r="H2182">
        <v>0</v>
      </c>
      <c r="I2182">
        <v>0</v>
      </c>
      <c r="K2182" s="11">
        <f t="shared" si="34"/>
        <v>6.0514179242647792E-3</v>
      </c>
    </row>
    <row r="2183" spans="1:11" x14ac:dyDescent="0.2">
      <c r="A2183" s="2">
        <v>45631</v>
      </c>
      <c r="B2183">
        <v>6089.02978515625</v>
      </c>
      <c r="C2183">
        <v>6094.5498046875</v>
      </c>
      <c r="D2183">
        <v>6072.89990234375</v>
      </c>
      <c r="E2183">
        <v>6075.10986328125</v>
      </c>
      <c r="F2183">
        <v>6075.10986328125</v>
      </c>
      <c r="G2183">
        <v>4212020000</v>
      </c>
      <c r="H2183">
        <v>0</v>
      </c>
      <c r="I2183">
        <v>0</v>
      </c>
      <c r="K2183" s="11">
        <f t="shared" si="34"/>
        <v>-1.8697756269248078E-3</v>
      </c>
    </row>
    <row r="2184" spans="1:11" x14ac:dyDescent="0.2">
      <c r="A2184" s="2">
        <v>45632</v>
      </c>
      <c r="B2184">
        <v>6081.3798828125</v>
      </c>
      <c r="C2184">
        <v>6099.97021484375</v>
      </c>
      <c r="D2184">
        <v>6079.97998046875</v>
      </c>
      <c r="E2184">
        <v>6090.27001953125</v>
      </c>
      <c r="F2184">
        <v>6090.27001953125</v>
      </c>
      <c r="G2184">
        <v>3924830000</v>
      </c>
      <c r="H2184">
        <v>0</v>
      </c>
      <c r="I2184">
        <v>0</v>
      </c>
      <c r="K2184" s="11">
        <f t="shared" si="34"/>
        <v>2.4954538421815275E-3</v>
      </c>
    </row>
    <row r="2185" spans="1:11" x14ac:dyDescent="0.2">
      <c r="A2185" s="2">
        <v>45635</v>
      </c>
      <c r="B2185">
        <v>6083.009765625</v>
      </c>
      <c r="C2185">
        <v>6088.509765625</v>
      </c>
      <c r="D2185">
        <v>6048.6298828125</v>
      </c>
      <c r="E2185">
        <v>6052.85009765625</v>
      </c>
      <c r="F2185">
        <v>6052.85009765625</v>
      </c>
      <c r="G2185">
        <v>4556460000</v>
      </c>
      <c r="H2185">
        <v>0</v>
      </c>
      <c r="I2185">
        <v>0</v>
      </c>
      <c r="K2185" s="11">
        <f t="shared" si="34"/>
        <v>-6.1442139272964713E-3</v>
      </c>
    </row>
    <row r="2186" spans="1:11" x14ac:dyDescent="0.2">
      <c r="A2186" s="2">
        <v>45636</v>
      </c>
      <c r="B2186">
        <v>6057.58984375</v>
      </c>
      <c r="C2186">
        <v>6065.39990234375</v>
      </c>
      <c r="D2186">
        <v>6029.89013671875</v>
      </c>
      <c r="E2186">
        <v>6034.91015625</v>
      </c>
      <c r="F2186">
        <v>6034.91015625</v>
      </c>
      <c r="G2186">
        <v>4048410000</v>
      </c>
      <c r="H2186">
        <v>0</v>
      </c>
      <c r="I2186">
        <v>0</v>
      </c>
      <c r="K2186" s="11">
        <f t="shared" si="34"/>
        <v>-2.963883313944371E-3</v>
      </c>
    </row>
    <row r="2187" spans="1:11" x14ac:dyDescent="0.2">
      <c r="A2187" s="2">
        <v>45637</v>
      </c>
      <c r="B2187">
        <v>6060.14990234375</v>
      </c>
      <c r="C2187">
        <v>6092.58984375</v>
      </c>
      <c r="D2187">
        <v>6060.14990234375</v>
      </c>
      <c r="E2187">
        <v>6084.18994140625</v>
      </c>
      <c r="F2187">
        <v>6084.18994140625</v>
      </c>
      <c r="G2187">
        <v>4269950000</v>
      </c>
      <c r="H2187">
        <v>0</v>
      </c>
      <c r="I2187">
        <v>0</v>
      </c>
      <c r="K2187" s="11">
        <f t="shared" si="34"/>
        <v>8.165786048233592E-3</v>
      </c>
    </row>
    <row r="2188" spans="1:11" x14ac:dyDescent="0.2">
      <c r="A2188" s="2">
        <v>45638</v>
      </c>
      <c r="B2188">
        <v>6074.2900390625</v>
      </c>
      <c r="C2188">
        <v>6079.68017578125</v>
      </c>
      <c r="D2188">
        <v>6051.25</v>
      </c>
      <c r="E2188">
        <v>6051.25</v>
      </c>
      <c r="F2188">
        <v>6051.25</v>
      </c>
      <c r="G2188">
        <v>3678010000</v>
      </c>
      <c r="H2188">
        <v>0</v>
      </c>
      <c r="I2188">
        <v>0</v>
      </c>
      <c r="K2188" s="11">
        <f t="shared" si="34"/>
        <v>-5.4140225278102028E-3</v>
      </c>
    </row>
    <row r="2189" spans="1:11" x14ac:dyDescent="0.2">
      <c r="A2189" s="2">
        <v>45639</v>
      </c>
      <c r="B2189">
        <v>6068.169921875</v>
      </c>
      <c r="C2189">
        <v>6078.580078125</v>
      </c>
      <c r="D2189">
        <v>6035.77001953125</v>
      </c>
      <c r="E2189">
        <v>6051.08984375</v>
      </c>
      <c r="F2189">
        <v>6051.08984375</v>
      </c>
      <c r="G2189">
        <v>3584960000</v>
      </c>
      <c r="H2189">
        <v>0</v>
      </c>
      <c r="I2189">
        <v>0</v>
      </c>
      <c r="K2189" s="11">
        <f t="shared" si="34"/>
        <v>-2.6466639124200775E-5</v>
      </c>
    </row>
    <row r="2190" spans="1:11" x14ac:dyDescent="0.2">
      <c r="A2190" s="2">
        <v>45642</v>
      </c>
      <c r="B2190">
        <v>6063.7900390625</v>
      </c>
      <c r="C2190">
        <v>6085.18994140625</v>
      </c>
      <c r="D2190">
        <v>6059.14013671875</v>
      </c>
      <c r="E2190">
        <v>6074.080078125</v>
      </c>
      <c r="F2190">
        <v>6074.080078125</v>
      </c>
      <c r="G2190">
        <v>4391100000</v>
      </c>
      <c r="H2190">
        <v>0</v>
      </c>
      <c r="I2190">
        <v>0</v>
      </c>
      <c r="K2190" s="11">
        <f t="shared" si="34"/>
        <v>3.7993543260221863E-3</v>
      </c>
    </row>
    <row r="2191" spans="1:11" x14ac:dyDescent="0.2">
      <c r="A2191" s="2">
        <v>45643</v>
      </c>
      <c r="B2191">
        <v>6052.5498046875</v>
      </c>
      <c r="C2191">
        <v>6057.68017578125</v>
      </c>
      <c r="D2191">
        <v>6035.18994140625</v>
      </c>
      <c r="E2191">
        <v>6050.60986328125</v>
      </c>
      <c r="F2191">
        <v>6050.60986328125</v>
      </c>
      <c r="G2191">
        <v>4544500000</v>
      </c>
      <c r="H2191">
        <v>0</v>
      </c>
      <c r="I2191">
        <v>0</v>
      </c>
      <c r="K2191" s="11">
        <f t="shared" si="34"/>
        <v>-3.8639949658014761E-3</v>
      </c>
    </row>
    <row r="2192" spans="1:11" x14ac:dyDescent="0.2">
      <c r="A2192" s="2">
        <v>45644</v>
      </c>
      <c r="B2192">
        <v>6047.64990234375</v>
      </c>
      <c r="C2192">
        <v>6070.669921875</v>
      </c>
      <c r="D2192">
        <v>5867.7900390625</v>
      </c>
      <c r="E2192">
        <v>5872.16015625</v>
      </c>
      <c r="F2192">
        <v>5872.16015625</v>
      </c>
      <c r="G2192">
        <v>5246960000</v>
      </c>
      <c r="H2192">
        <v>0</v>
      </c>
      <c r="I2192">
        <v>0</v>
      </c>
      <c r="K2192" s="11">
        <f t="shared" si="34"/>
        <v>-2.949284635160343E-2</v>
      </c>
    </row>
    <row r="2193" spans="1:11" x14ac:dyDescent="0.2">
      <c r="A2193" s="2">
        <v>45645</v>
      </c>
      <c r="B2193">
        <v>5912.7099609375</v>
      </c>
      <c r="C2193">
        <v>5935.52001953125</v>
      </c>
      <c r="D2193">
        <v>5866.06982421875</v>
      </c>
      <c r="E2193">
        <v>5867.080078125</v>
      </c>
      <c r="F2193">
        <v>5867.080078125</v>
      </c>
      <c r="G2193">
        <v>4896880000</v>
      </c>
      <c r="H2193">
        <v>0</v>
      </c>
      <c r="I2193">
        <v>0</v>
      </c>
      <c r="K2193" s="11">
        <f t="shared" si="34"/>
        <v>-8.6511232490704693E-4</v>
      </c>
    </row>
    <row r="2194" spans="1:11" x14ac:dyDescent="0.2">
      <c r="A2194" s="2">
        <v>45646</v>
      </c>
      <c r="B2194">
        <v>5842</v>
      </c>
      <c r="C2194">
        <v>5982.06005859375</v>
      </c>
      <c r="D2194">
        <v>5832.2998046875</v>
      </c>
      <c r="E2194">
        <v>5930.85009765625</v>
      </c>
      <c r="F2194">
        <v>5930.85009765625</v>
      </c>
      <c r="G2194">
        <v>8223220000</v>
      </c>
      <c r="H2194">
        <v>0</v>
      </c>
      <c r="I2194">
        <v>0</v>
      </c>
      <c r="K2194" s="11">
        <f t="shared" si="34"/>
        <v>1.0869123768910471E-2</v>
      </c>
    </row>
    <row r="2195" spans="1:11" x14ac:dyDescent="0.2">
      <c r="A2195" s="2">
        <v>45649</v>
      </c>
      <c r="B2195">
        <v>5940.25</v>
      </c>
      <c r="C2195">
        <v>5978.25</v>
      </c>
      <c r="D2195">
        <v>5902.56982421875</v>
      </c>
      <c r="E2195">
        <v>5974.06982421875</v>
      </c>
      <c r="F2195">
        <v>5974.06982421875</v>
      </c>
      <c r="G2195">
        <v>3593280000</v>
      </c>
      <c r="H2195">
        <v>0</v>
      </c>
      <c r="I2195">
        <v>0</v>
      </c>
      <c r="K2195" s="11">
        <f t="shared" si="34"/>
        <v>7.2872734685336393E-3</v>
      </c>
    </row>
    <row r="2196" spans="1:11" x14ac:dyDescent="0.2">
      <c r="A2196" s="2">
        <v>45650</v>
      </c>
      <c r="B2196">
        <v>5984.6298828125</v>
      </c>
      <c r="C2196">
        <v>6040.10009765625</v>
      </c>
      <c r="D2196">
        <v>5981.43994140625</v>
      </c>
      <c r="E2196">
        <v>6040.0400390625</v>
      </c>
      <c r="F2196">
        <v>6040.0400390625</v>
      </c>
      <c r="G2196">
        <v>1757720000</v>
      </c>
      <c r="H2196">
        <v>0</v>
      </c>
      <c r="I2196">
        <v>0</v>
      </c>
      <c r="K2196" s="11">
        <f t="shared" si="34"/>
        <v>1.1042759255392109E-2</v>
      </c>
    </row>
    <row r="2197" spans="1:11" x14ac:dyDescent="0.2">
      <c r="A2197" s="2">
        <v>45652</v>
      </c>
      <c r="B2197">
        <v>6024.97021484375</v>
      </c>
      <c r="C2197">
        <v>6049.75</v>
      </c>
      <c r="D2197">
        <v>6007.3701171875</v>
      </c>
      <c r="E2197">
        <v>6037.58984375</v>
      </c>
      <c r="F2197">
        <v>6037.58984375</v>
      </c>
      <c r="G2197">
        <v>2904530000</v>
      </c>
      <c r="H2197">
        <v>0</v>
      </c>
      <c r="I2197">
        <v>0</v>
      </c>
      <c r="K2197" s="11">
        <f t="shared" si="34"/>
        <v>-4.0565878647391695E-4</v>
      </c>
    </row>
    <row r="2198" spans="1:11" x14ac:dyDescent="0.2">
      <c r="A2198" s="2">
        <v>45653</v>
      </c>
      <c r="B2198">
        <v>6006.169921875</v>
      </c>
      <c r="C2198">
        <v>6006.169921875</v>
      </c>
      <c r="D2198">
        <v>5932.9501953125</v>
      </c>
      <c r="E2198">
        <v>5970.83984375</v>
      </c>
      <c r="F2198">
        <v>5970.83984375</v>
      </c>
      <c r="G2198">
        <v>3159610000</v>
      </c>
      <c r="H2198">
        <v>0</v>
      </c>
      <c r="I2198">
        <v>0</v>
      </c>
      <c r="K2198" s="11">
        <f t="shared" si="34"/>
        <v>-1.1055736101235558E-2</v>
      </c>
    </row>
    <row r="2199" spans="1:11" x14ac:dyDescent="0.2">
      <c r="A2199" s="2">
        <v>45656</v>
      </c>
      <c r="B2199">
        <v>5920.669921875</v>
      </c>
      <c r="C2199">
        <v>5940.7900390625</v>
      </c>
      <c r="D2199">
        <v>5869.16015625</v>
      </c>
      <c r="E2199">
        <v>5906.93994140625</v>
      </c>
      <c r="F2199">
        <v>5906.93994140625</v>
      </c>
      <c r="G2199">
        <v>3433250000</v>
      </c>
      <c r="H2199">
        <v>0</v>
      </c>
      <c r="I2199">
        <v>0</v>
      </c>
      <c r="K2199" s="11">
        <f t="shared" si="34"/>
        <v>-1.0701995701766776E-2</v>
      </c>
    </row>
    <row r="2200" spans="1:11" x14ac:dyDescent="0.2">
      <c r="A2200" s="2">
        <v>45657</v>
      </c>
      <c r="B2200">
        <v>5919.740234375</v>
      </c>
      <c r="C2200">
        <v>5929.740234375</v>
      </c>
      <c r="D2200">
        <v>5868.85986328125</v>
      </c>
      <c r="E2200">
        <v>5881.6298828125</v>
      </c>
      <c r="F2200">
        <v>5881.6298828125</v>
      </c>
      <c r="G2200">
        <v>3128350000</v>
      </c>
      <c r="H2200">
        <v>0</v>
      </c>
      <c r="I2200">
        <v>0</v>
      </c>
      <c r="K2200" s="11">
        <f t="shared" si="34"/>
        <v>-4.2848003949274016E-3</v>
      </c>
    </row>
    <row r="2201" spans="1:11" x14ac:dyDescent="0.2">
      <c r="A2201" s="2">
        <v>45659</v>
      </c>
      <c r="B2201">
        <v>5903.259765625</v>
      </c>
      <c r="C2201">
        <v>5935.08984375</v>
      </c>
      <c r="D2201">
        <v>5829.52978515625</v>
      </c>
      <c r="E2201">
        <v>5868.5498046875</v>
      </c>
      <c r="F2201">
        <v>5868.5498046875</v>
      </c>
      <c r="G2201">
        <v>3621680000</v>
      </c>
      <c r="H2201">
        <v>0</v>
      </c>
      <c r="I2201">
        <v>0</v>
      </c>
      <c r="K2201" s="11">
        <f t="shared" si="34"/>
        <v>-2.2238866412221947E-3</v>
      </c>
    </row>
    <row r="2202" spans="1:11" x14ac:dyDescent="0.2">
      <c r="A2202" s="2">
        <v>45660</v>
      </c>
      <c r="B2202">
        <v>5891.06982421875</v>
      </c>
      <c r="C2202">
        <v>5949.33984375</v>
      </c>
      <c r="D2202">
        <v>5888.66015625</v>
      </c>
      <c r="E2202">
        <v>5942.47021484375</v>
      </c>
      <c r="F2202">
        <v>5942.47021484375</v>
      </c>
      <c r="G2202">
        <v>3667340000</v>
      </c>
      <c r="H2202">
        <v>0</v>
      </c>
      <c r="I2202">
        <v>0</v>
      </c>
      <c r="K2202" s="11">
        <f t="shared" si="34"/>
        <v>1.259602672149196E-2</v>
      </c>
    </row>
    <row r="2203" spans="1:11" x14ac:dyDescent="0.2">
      <c r="A2203" s="2">
        <v>45663</v>
      </c>
      <c r="B2203">
        <v>5982.81005859375</v>
      </c>
      <c r="C2203">
        <v>6021.0400390625</v>
      </c>
      <c r="D2203">
        <v>5960.009765625</v>
      </c>
      <c r="E2203">
        <v>5975.3798828125</v>
      </c>
      <c r="F2203">
        <v>5975.3798828125</v>
      </c>
      <c r="G2203">
        <v>4940120000</v>
      </c>
      <c r="H2203">
        <v>0</v>
      </c>
      <c r="I2203">
        <v>0</v>
      </c>
      <c r="K2203" s="11">
        <f t="shared" si="34"/>
        <v>5.5380450854503049E-3</v>
      </c>
    </row>
    <row r="2204" spans="1:11" x14ac:dyDescent="0.2">
      <c r="A2204" s="2">
        <v>45664</v>
      </c>
      <c r="B2204">
        <v>5993.259765625</v>
      </c>
      <c r="C2204">
        <v>6000.68017578125</v>
      </c>
      <c r="D2204">
        <v>5890.68017578125</v>
      </c>
      <c r="E2204">
        <v>5909.02978515625</v>
      </c>
      <c r="F2204">
        <v>5909.02978515625</v>
      </c>
      <c r="G2204">
        <v>4517330000</v>
      </c>
      <c r="H2204">
        <v>0</v>
      </c>
      <c r="I2204">
        <v>0</v>
      </c>
      <c r="K2204" s="11">
        <f t="shared" si="34"/>
        <v>-1.110391288210788E-2</v>
      </c>
    </row>
    <row r="2205" spans="1:11" x14ac:dyDescent="0.2">
      <c r="A2205" s="2">
        <v>45665</v>
      </c>
      <c r="B2205">
        <v>5910.66015625</v>
      </c>
      <c r="C2205">
        <v>5927.89013671875</v>
      </c>
      <c r="D2205">
        <v>5874.77978515625</v>
      </c>
      <c r="E2205">
        <v>5918.25</v>
      </c>
      <c r="F2205">
        <v>5918.25</v>
      </c>
      <c r="G2205">
        <v>4441740000</v>
      </c>
      <c r="H2205">
        <v>0</v>
      </c>
      <c r="I2205">
        <v>0</v>
      </c>
      <c r="K2205" s="11">
        <f t="shared" si="34"/>
        <v>1.560360190925314E-3</v>
      </c>
    </row>
    <row r="2206" spans="1:11" x14ac:dyDescent="0.2">
      <c r="A2206" s="2">
        <v>45667</v>
      </c>
      <c r="B2206">
        <v>5890.35009765625</v>
      </c>
      <c r="C2206">
        <v>5890.35009765625</v>
      </c>
      <c r="D2206">
        <v>5807.77978515625</v>
      </c>
      <c r="E2206">
        <v>5827.0400390625</v>
      </c>
      <c r="F2206">
        <v>5827.0400390625</v>
      </c>
      <c r="G2206">
        <v>4751930000</v>
      </c>
      <c r="H2206">
        <v>0</v>
      </c>
      <c r="I2206">
        <v>0</v>
      </c>
      <c r="K2206" s="11">
        <f t="shared" si="34"/>
        <v>-1.541164380306681E-2</v>
      </c>
    </row>
    <row r="2207" spans="1:11" x14ac:dyDescent="0.2">
      <c r="A2207" s="2">
        <v>45670</v>
      </c>
      <c r="B2207">
        <v>5782.02001953125</v>
      </c>
      <c r="C2207">
        <v>5838.60986328125</v>
      </c>
      <c r="D2207">
        <v>5773.31005859375</v>
      </c>
      <c r="E2207">
        <v>5836.22021484375</v>
      </c>
      <c r="F2207">
        <v>5836.22021484375</v>
      </c>
      <c r="G2207">
        <v>4421200000</v>
      </c>
      <c r="H2207">
        <v>0</v>
      </c>
      <c r="I2207">
        <v>0</v>
      </c>
      <c r="K2207" s="11">
        <f t="shared" si="34"/>
        <v>1.5754440882007614E-3</v>
      </c>
    </row>
    <row r="2208" spans="1:11" x14ac:dyDescent="0.2">
      <c r="A2208" s="2">
        <v>45671</v>
      </c>
      <c r="B2208">
        <v>5859.27001953125</v>
      </c>
      <c r="C2208">
        <v>5871.919921875</v>
      </c>
      <c r="D2208">
        <v>5805.419921875</v>
      </c>
      <c r="E2208">
        <v>5842.91015625</v>
      </c>
      <c r="F2208">
        <v>5842.91015625</v>
      </c>
      <c r="G2208">
        <v>4142280000</v>
      </c>
      <c r="H2208">
        <v>0</v>
      </c>
      <c r="I2208">
        <v>0</v>
      </c>
      <c r="K2208" s="11">
        <f t="shared" si="34"/>
        <v>1.1462798112440442E-3</v>
      </c>
    </row>
    <row r="2209" spans="1:11" x14ac:dyDescent="0.2">
      <c r="A2209" s="2">
        <v>45672</v>
      </c>
      <c r="B2209">
        <v>5905.2099609375</v>
      </c>
      <c r="C2209">
        <v>5960.60986328125</v>
      </c>
      <c r="D2209">
        <v>5905.2099609375</v>
      </c>
      <c r="E2209">
        <v>5949.91015625</v>
      </c>
      <c r="F2209">
        <v>5949.91015625</v>
      </c>
      <c r="G2209">
        <v>4544570000</v>
      </c>
      <c r="H2209">
        <v>0</v>
      </c>
      <c r="I2209">
        <v>0</v>
      </c>
      <c r="K2209" s="11">
        <f t="shared" si="34"/>
        <v>1.8312792279639112E-2</v>
      </c>
    </row>
    <row r="2210" spans="1:11" x14ac:dyDescent="0.2">
      <c r="A2210" s="2">
        <v>45673</v>
      </c>
      <c r="B2210">
        <v>5963.60986328125</v>
      </c>
      <c r="C2210">
        <v>5964.68994140625</v>
      </c>
      <c r="D2210">
        <v>5930.72021484375</v>
      </c>
      <c r="E2210">
        <v>5937.33984375</v>
      </c>
      <c r="F2210">
        <v>5937.33984375</v>
      </c>
      <c r="G2210">
        <v>4285810000</v>
      </c>
      <c r="H2210">
        <v>0</v>
      </c>
      <c r="I2210">
        <v>0</v>
      </c>
      <c r="K2210" s="11">
        <f t="shared" si="34"/>
        <v>-2.1126894641922966E-3</v>
      </c>
    </row>
    <row r="2211" spans="1:11" x14ac:dyDescent="0.2">
      <c r="A2211" s="2">
        <v>45674</v>
      </c>
      <c r="B2211">
        <v>5995.39990234375</v>
      </c>
      <c r="C2211">
        <v>6014.9599609375</v>
      </c>
      <c r="D2211">
        <v>5978.43994140625</v>
      </c>
      <c r="E2211">
        <v>5996.66015625</v>
      </c>
      <c r="F2211">
        <v>5996.66015625</v>
      </c>
      <c r="G2211">
        <v>4366830000</v>
      </c>
      <c r="H2211">
        <v>0</v>
      </c>
      <c r="I2211">
        <v>0</v>
      </c>
      <c r="K2211" s="11">
        <f t="shared" si="34"/>
        <v>9.9910589693537055E-3</v>
      </c>
    </row>
    <row r="2212" spans="1:11" x14ac:dyDescent="0.2">
      <c r="A2212" s="2">
        <v>45678</v>
      </c>
      <c r="B2212">
        <v>6014.1201171875</v>
      </c>
      <c r="C2212">
        <v>6051.509765625</v>
      </c>
      <c r="D2212">
        <v>6006.8798828125</v>
      </c>
      <c r="E2212">
        <v>6049.240234375</v>
      </c>
      <c r="F2212">
        <v>6049.240234375</v>
      </c>
      <c r="G2212">
        <v>4702920000</v>
      </c>
      <c r="H2212">
        <v>0</v>
      </c>
      <c r="I2212">
        <v>0</v>
      </c>
      <c r="K2212" s="11">
        <f t="shared" si="34"/>
        <v>8.7682271055828931E-3</v>
      </c>
    </row>
    <row r="2213" spans="1:11" x14ac:dyDescent="0.2">
      <c r="A2213" s="2">
        <v>45679</v>
      </c>
      <c r="B2213">
        <v>6081.39013671875</v>
      </c>
      <c r="C2213">
        <v>6100.81005859375</v>
      </c>
      <c r="D2213">
        <v>6076.1298828125</v>
      </c>
      <c r="E2213">
        <v>6086.3701171875</v>
      </c>
      <c r="F2213">
        <v>6086.3701171875</v>
      </c>
      <c r="G2213">
        <v>4323040000</v>
      </c>
      <c r="H2213">
        <v>0</v>
      </c>
      <c r="I2213">
        <v>0</v>
      </c>
      <c r="K2213" s="11">
        <f t="shared" si="34"/>
        <v>6.1379415222275746E-3</v>
      </c>
    </row>
    <row r="2214" spans="1:11" x14ac:dyDescent="0.2">
      <c r="A2214" s="2">
        <v>45680</v>
      </c>
      <c r="B2214">
        <v>6076.31982421875</v>
      </c>
      <c r="C2214">
        <v>6118.72998046875</v>
      </c>
      <c r="D2214">
        <v>6074.669921875</v>
      </c>
      <c r="E2214">
        <v>6118.7099609375</v>
      </c>
      <c r="F2214">
        <v>6118.7099609375</v>
      </c>
      <c r="G2214">
        <v>4432250000</v>
      </c>
      <c r="H2214">
        <v>0</v>
      </c>
      <c r="I2214">
        <v>0</v>
      </c>
      <c r="K2214" s="11">
        <f t="shared" si="34"/>
        <v>5.3134862204113897E-3</v>
      </c>
    </row>
    <row r="2215" spans="1:11" x14ac:dyDescent="0.2">
      <c r="A2215" s="2">
        <v>45681</v>
      </c>
      <c r="B2215">
        <v>6121.43017578125</v>
      </c>
      <c r="C2215">
        <v>6128.18017578125</v>
      </c>
      <c r="D2215">
        <v>6088.740234375</v>
      </c>
      <c r="E2215">
        <v>6101.240234375</v>
      </c>
      <c r="F2215">
        <v>6101.240234375</v>
      </c>
      <c r="G2215">
        <v>4214250000</v>
      </c>
      <c r="H2215">
        <v>0</v>
      </c>
      <c r="I2215">
        <v>0</v>
      </c>
      <c r="K2215" s="11">
        <f t="shared" si="34"/>
        <v>-2.8551323193988232E-3</v>
      </c>
    </row>
    <row r="2216" spans="1:11" x14ac:dyDescent="0.2">
      <c r="A2216" s="2">
        <v>45684</v>
      </c>
      <c r="B2216">
        <v>5969.0400390625</v>
      </c>
      <c r="C2216">
        <v>6017.169921875</v>
      </c>
      <c r="D2216">
        <v>5962.919921875</v>
      </c>
      <c r="E2216">
        <v>6012.27978515625</v>
      </c>
      <c r="F2216">
        <v>6012.27978515625</v>
      </c>
      <c r="G2216">
        <v>5198750000</v>
      </c>
      <c r="H2216">
        <v>0</v>
      </c>
      <c r="I2216">
        <v>0</v>
      </c>
      <c r="K2216" s="11">
        <f t="shared" si="34"/>
        <v>-1.4580715690809543E-2</v>
      </c>
    </row>
    <row r="2217" spans="1:11" x14ac:dyDescent="0.2">
      <c r="A2217" s="2">
        <v>45685</v>
      </c>
      <c r="B2217">
        <v>6026.97021484375</v>
      </c>
      <c r="C2217">
        <v>6074.5400390625</v>
      </c>
      <c r="D2217">
        <v>5994.6298828125</v>
      </c>
      <c r="E2217">
        <v>6067.7001953125</v>
      </c>
      <c r="F2217">
        <v>6067.7001953125</v>
      </c>
      <c r="G2217">
        <v>4473640000</v>
      </c>
      <c r="H2217">
        <v>0</v>
      </c>
      <c r="I2217">
        <v>0</v>
      </c>
      <c r="K2217" s="11">
        <f t="shared" si="34"/>
        <v>9.2178694499676084E-3</v>
      </c>
    </row>
    <row r="2218" spans="1:11" x14ac:dyDescent="0.2">
      <c r="A2218" s="2">
        <v>45686</v>
      </c>
      <c r="B2218">
        <v>6057.7001953125</v>
      </c>
      <c r="C2218">
        <v>6062.830078125</v>
      </c>
      <c r="D2218">
        <v>6012.9599609375</v>
      </c>
      <c r="E2218">
        <v>6039.31005859375</v>
      </c>
      <c r="F2218">
        <v>6039.31005859375</v>
      </c>
      <c r="G2218">
        <v>4115310000</v>
      </c>
      <c r="H2218">
        <v>0</v>
      </c>
      <c r="I2218">
        <v>0</v>
      </c>
      <c r="K2218" s="11">
        <f t="shared" si="34"/>
        <v>-4.6788957603215442E-3</v>
      </c>
    </row>
    <row r="2219" spans="1:11" x14ac:dyDescent="0.2">
      <c r="A2219" s="2">
        <v>45687</v>
      </c>
      <c r="B2219">
        <v>6050.75</v>
      </c>
      <c r="C2219">
        <v>6086.64013671875</v>
      </c>
      <c r="D2219">
        <v>6027.4599609375</v>
      </c>
      <c r="E2219">
        <v>6071.169921875</v>
      </c>
      <c r="F2219">
        <v>6071.169921875</v>
      </c>
      <c r="G2219">
        <v>4634620000</v>
      </c>
      <c r="H2219">
        <v>0</v>
      </c>
      <c r="I2219">
        <v>0</v>
      </c>
      <c r="K2219" s="11">
        <f t="shared" si="34"/>
        <v>5.2754144053117624E-3</v>
      </c>
    </row>
    <row r="2220" spans="1:11" x14ac:dyDescent="0.2">
      <c r="A2220" s="2">
        <v>45688</v>
      </c>
      <c r="B2220">
        <v>6096.7900390625</v>
      </c>
      <c r="C2220">
        <v>6120.91015625</v>
      </c>
      <c r="D2220">
        <v>6030.93017578125</v>
      </c>
      <c r="E2220">
        <v>6040.52978515625</v>
      </c>
      <c r="F2220">
        <v>6040.52978515625</v>
      </c>
      <c r="G2220">
        <v>4843770000</v>
      </c>
      <c r="H2220">
        <v>0</v>
      </c>
      <c r="I2220">
        <v>0</v>
      </c>
      <c r="K2220" s="11">
        <f t="shared" si="34"/>
        <v>-5.0468257540199346E-3</v>
      </c>
    </row>
    <row r="2221" spans="1:11" x14ac:dyDescent="0.2">
      <c r="A2221" s="2">
        <v>45691</v>
      </c>
      <c r="B2221">
        <v>5969.64990234375</v>
      </c>
      <c r="C2221">
        <v>6022.1298828125</v>
      </c>
      <c r="D2221">
        <v>5923.93017578125</v>
      </c>
      <c r="E2221">
        <v>5994.56982421875</v>
      </c>
      <c r="F2221">
        <v>5994.56982421875</v>
      </c>
      <c r="G2221">
        <v>4797210000</v>
      </c>
      <c r="H2221">
        <v>0</v>
      </c>
      <c r="I2221">
        <v>0</v>
      </c>
      <c r="K2221" s="11">
        <f t="shared" si="34"/>
        <v>-7.6085976846667069E-3</v>
      </c>
    </row>
    <row r="2222" spans="1:11" x14ac:dyDescent="0.2">
      <c r="A2222" s="2">
        <v>45692</v>
      </c>
      <c r="B2222">
        <v>5998.14013671875</v>
      </c>
      <c r="C2222">
        <v>6042.47998046875</v>
      </c>
      <c r="D2222">
        <v>5990.8701171875</v>
      </c>
      <c r="E2222">
        <v>6037.8798828125</v>
      </c>
      <c r="F2222">
        <v>6037.8798828125</v>
      </c>
      <c r="G2222">
        <v>4410160000</v>
      </c>
      <c r="H2222">
        <v>0</v>
      </c>
      <c r="I2222">
        <v>0</v>
      </c>
      <c r="K2222" s="11">
        <f t="shared" si="34"/>
        <v>7.2248818286797523E-3</v>
      </c>
    </row>
    <row r="2223" spans="1:11" x14ac:dyDescent="0.2">
      <c r="A2223" s="2">
        <v>45693</v>
      </c>
      <c r="B2223">
        <v>6020.4501953125</v>
      </c>
      <c r="C2223">
        <v>6062.85986328125</v>
      </c>
      <c r="D2223">
        <v>6007.06005859375</v>
      </c>
      <c r="E2223">
        <v>6061.47998046875</v>
      </c>
      <c r="F2223">
        <v>6061.47998046875</v>
      </c>
      <c r="G2223">
        <v>4756250000</v>
      </c>
      <c r="H2223">
        <v>0</v>
      </c>
      <c r="I2223">
        <v>0</v>
      </c>
      <c r="K2223" s="11">
        <f t="shared" si="34"/>
        <v>3.9086729306143653E-3</v>
      </c>
    </row>
    <row r="2224" spans="1:11" x14ac:dyDescent="0.2">
      <c r="A2224" s="2">
        <v>45694</v>
      </c>
      <c r="B2224">
        <v>6072.22021484375</v>
      </c>
      <c r="C2224">
        <v>6084.02978515625</v>
      </c>
      <c r="D2224">
        <v>6046.830078125</v>
      </c>
      <c r="E2224">
        <v>6083.56982421875</v>
      </c>
      <c r="F2224">
        <v>6083.56982421875</v>
      </c>
      <c r="G2224">
        <v>4847120000</v>
      </c>
      <c r="H2224">
        <v>0</v>
      </c>
      <c r="I2224">
        <v>0</v>
      </c>
      <c r="K2224" s="11">
        <f t="shared" si="34"/>
        <v>3.6442987226186219E-3</v>
      </c>
    </row>
    <row r="2225" spans="1:11" x14ac:dyDescent="0.2">
      <c r="A2225" s="2">
        <v>45695</v>
      </c>
      <c r="B2225">
        <v>6083.1298828125</v>
      </c>
      <c r="C2225">
        <v>6101.27978515625</v>
      </c>
      <c r="D2225">
        <v>6019.9599609375</v>
      </c>
      <c r="E2225">
        <v>6025.990234375</v>
      </c>
      <c r="F2225">
        <v>6025.990234375</v>
      </c>
      <c r="G2225">
        <v>4766900000</v>
      </c>
      <c r="H2225">
        <v>0</v>
      </c>
      <c r="I2225">
        <v>0</v>
      </c>
      <c r="K2225" s="11">
        <f t="shared" si="34"/>
        <v>-9.4647701115428973E-3</v>
      </c>
    </row>
    <row r="2226" spans="1:11" x14ac:dyDescent="0.2">
      <c r="A2226" s="2">
        <v>45698</v>
      </c>
      <c r="B2226">
        <v>6046.39990234375</v>
      </c>
      <c r="C2226">
        <v>6073.3798828125</v>
      </c>
      <c r="D2226">
        <v>6044.83984375</v>
      </c>
      <c r="E2226">
        <v>6066.43994140625</v>
      </c>
      <c r="F2226">
        <v>6066.43994140625</v>
      </c>
      <c r="G2226">
        <v>4458760000</v>
      </c>
      <c r="H2226">
        <v>0</v>
      </c>
      <c r="I2226">
        <v>0</v>
      </c>
      <c r="K2226" s="11">
        <f t="shared" si="34"/>
        <v>6.7125410858628332E-3</v>
      </c>
    </row>
    <row r="2227" spans="1:11" x14ac:dyDescent="0.2">
      <c r="A2227" s="2">
        <v>45699</v>
      </c>
      <c r="B2227">
        <v>6049.31982421875</v>
      </c>
      <c r="C2227">
        <v>6076.27978515625</v>
      </c>
      <c r="D2227">
        <v>6042.33984375</v>
      </c>
      <c r="E2227">
        <v>6068.5</v>
      </c>
      <c r="F2227">
        <v>6068.5</v>
      </c>
      <c r="G2227">
        <v>4324880000</v>
      </c>
      <c r="H2227">
        <v>0</v>
      </c>
      <c r="I2227">
        <v>0</v>
      </c>
      <c r="K2227" s="11">
        <f t="shared" si="34"/>
        <v>3.3958278885926063E-4</v>
      </c>
    </row>
    <row r="2228" spans="1:11" x14ac:dyDescent="0.2">
      <c r="A2228" s="2">
        <v>45700</v>
      </c>
      <c r="B2228">
        <v>6025.080078125</v>
      </c>
      <c r="C2228">
        <v>6063</v>
      </c>
      <c r="D2228">
        <v>6003</v>
      </c>
      <c r="E2228">
        <v>6051.97021484375</v>
      </c>
      <c r="F2228">
        <v>6051.97021484375</v>
      </c>
      <c r="G2228">
        <v>4627960000</v>
      </c>
      <c r="H2228">
        <v>0</v>
      </c>
      <c r="I2228">
        <v>0</v>
      </c>
      <c r="K2228" s="11">
        <f t="shared" si="34"/>
        <v>-2.7238667143857365E-3</v>
      </c>
    </row>
    <row r="2229" spans="1:11" x14ac:dyDescent="0.2">
      <c r="A2229" s="2">
        <v>45701</v>
      </c>
      <c r="B2229">
        <v>6060.58984375</v>
      </c>
      <c r="C2229">
        <v>6116.91015625</v>
      </c>
      <c r="D2229">
        <v>6050.9501953125</v>
      </c>
      <c r="E2229">
        <v>6115.06982421875</v>
      </c>
      <c r="F2229">
        <v>6115.06982421875</v>
      </c>
      <c r="G2229">
        <v>4763800000</v>
      </c>
      <c r="H2229">
        <v>0</v>
      </c>
      <c r="I2229">
        <v>0</v>
      </c>
      <c r="K2229" s="11">
        <f t="shared" si="34"/>
        <v>1.0426292122230674E-2</v>
      </c>
    </row>
    <row r="2230" spans="1:11" x14ac:dyDescent="0.2">
      <c r="A2230" s="2">
        <v>45702</v>
      </c>
      <c r="B2230">
        <v>6115.52001953125</v>
      </c>
      <c r="C2230">
        <v>6127.47021484375</v>
      </c>
      <c r="D2230">
        <v>6107.6201171875</v>
      </c>
      <c r="E2230">
        <v>6114.6298828125</v>
      </c>
      <c r="F2230">
        <v>6114.6298828125</v>
      </c>
      <c r="G2230">
        <v>4335190000</v>
      </c>
      <c r="H2230">
        <v>0</v>
      </c>
      <c r="I2230">
        <v>0</v>
      </c>
      <c r="K2230" s="11">
        <f t="shared" si="34"/>
        <v>-7.1943807494645462E-5</v>
      </c>
    </row>
    <row r="2231" spans="1:11" x14ac:dyDescent="0.2">
      <c r="A2231" s="2">
        <v>45706</v>
      </c>
      <c r="B2231">
        <v>6121.60009765625</v>
      </c>
      <c r="C2231">
        <v>6129.6298828125</v>
      </c>
      <c r="D2231">
        <v>6099.509765625</v>
      </c>
      <c r="E2231">
        <v>6129.580078125</v>
      </c>
      <c r="F2231">
        <v>6129.580078125</v>
      </c>
      <c r="G2231">
        <v>4684980000</v>
      </c>
      <c r="H2231">
        <v>0</v>
      </c>
      <c r="I2231">
        <v>0</v>
      </c>
      <c r="K2231" s="11">
        <f t="shared" si="34"/>
        <v>2.4449877750611915E-3</v>
      </c>
    </row>
    <row r="2232" spans="1:11" x14ac:dyDescent="0.2">
      <c r="A2232" s="2">
        <v>45707</v>
      </c>
      <c r="B2232">
        <v>6117.759765625</v>
      </c>
      <c r="C2232">
        <v>6147.43017578125</v>
      </c>
      <c r="D2232">
        <v>6111.14990234375</v>
      </c>
      <c r="E2232">
        <v>6144.14990234375</v>
      </c>
      <c r="F2232">
        <v>6144.14990234375</v>
      </c>
      <c r="G2232">
        <v>4562330000</v>
      </c>
      <c r="H2232">
        <v>0</v>
      </c>
      <c r="I2232">
        <v>0</v>
      </c>
      <c r="K2232" s="11">
        <f t="shared" si="34"/>
        <v>2.3769693899173827E-3</v>
      </c>
    </row>
    <row r="2233" spans="1:11" x14ac:dyDescent="0.2">
      <c r="A2233" s="2">
        <v>45708</v>
      </c>
      <c r="B2233">
        <v>6134.5</v>
      </c>
      <c r="C2233">
        <v>6134.5</v>
      </c>
      <c r="D2233">
        <v>6084.58984375</v>
      </c>
      <c r="E2233">
        <v>6117.52001953125</v>
      </c>
      <c r="F2233">
        <v>6117.52001953125</v>
      </c>
      <c r="G2233">
        <v>4813690000</v>
      </c>
      <c r="H2233">
        <v>0</v>
      </c>
      <c r="I2233">
        <v>0</v>
      </c>
      <c r="K2233" s="11">
        <f t="shared" si="34"/>
        <v>-4.3341850761716705E-3</v>
      </c>
    </row>
    <row r="2234" spans="1:11" x14ac:dyDescent="0.2">
      <c r="A2234" s="2">
        <v>45709</v>
      </c>
      <c r="B2234">
        <v>6114.10009765625</v>
      </c>
      <c r="C2234">
        <v>6114.81982421875</v>
      </c>
      <c r="D2234">
        <v>6008.56005859375</v>
      </c>
      <c r="E2234">
        <v>6013.1298828125</v>
      </c>
      <c r="F2234">
        <v>6013.1298828125</v>
      </c>
      <c r="G2234">
        <v>5434560000</v>
      </c>
      <c r="H2234">
        <v>0</v>
      </c>
      <c r="I2234">
        <v>0</v>
      </c>
      <c r="K2234" s="11">
        <f t="shared" si="34"/>
        <v>-1.706412670256352E-2</v>
      </c>
    </row>
    <row r="2235" spans="1:11" x14ac:dyDescent="0.2">
      <c r="A2235" s="2">
        <v>45712</v>
      </c>
      <c r="B2235">
        <v>6026.68994140625</v>
      </c>
      <c r="C2235">
        <v>6043.64990234375</v>
      </c>
      <c r="D2235">
        <v>5977.830078125</v>
      </c>
      <c r="E2235">
        <v>5983.25</v>
      </c>
      <c r="F2235">
        <v>5983.25</v>
      </c>
      <c r="G2235">
        <v>4990120000</v>
      </c>
      <c r="H2235">
        <v>0</v>
      </c>
      <c r="I2235">
        <v>0</v>
      </c>
      <c r="K2235" s="11">
        <f t="shared" si="34"/>
        <v>-4.9691065044024096E-3</v>
      </c>
    </row>
    <row r="2236" spans="1:11" x14ac:dyDescent="0.2">
      <c r="A2236" s="2">
        <v>45713</v>
      </c>
      <c r="B2236">
        <v>5982.72998046875</v>
      </c>
      <c r="C2236">
        <v>5992.64990234375</v>
      </c>
      <c r="D2236">
        <v>5908.490234375</v>
      </c>
      <c r="E2236">
        <v>5955.25</v>
      </c>
      <c r="F2236">
        <v>5955.25</v>
      </c>
      <c r="G2236">
        <v>5374690000</v>
      </c>
      <c r="H2236">
        <v>0</v>
      </c>
      <c r="I2236">
        <v>0</v>
      </c>
      <c r="K2236" s="11">
        <f t="shared" si="34"/>
        <v>-4.6797309154723576E-3</v>
      </c>
    </row>
    <row r="2237" spans="1:11" x14ac:dyDescent="0.2">
      <c r="A2237" s="2">
        <v>45714</v>
      </c>
      <c r="B2237">
        <v>5970.8701171875</v>
      </c>
      <c r="C2237">
        <v>6009.81982421875</v>
      </c>
      <c r="D2237">
        <v>5932.68994140625</v>
      </c>
      <c r="E2237">
        <v>5956.06005859375</v>
      </c>
      <c r="F2237">
        <v>5956.06005859375</v>
      </c>
      <c r="G2237">
        <v>4869580000</v>
      </c>
      <c r="H2237">
        <v>0</v>
      </c>
      <c r="I2237">
        <v>0</v>
      </c>
      <c r="K2237" s="11">
        <f t="shared" si="34"/>
        <v>1.3602428004699796E-4</v>
      </c>
    </row>
    <row r="2238" spans="1:11" x14ac:dyDescent="0.2">
      <c r="A2238" s="2">
        <v>45715</v>
      </c>
      <c r="B2238">
        <v>5981.8798828125</v>
      </c>
      <c r="C2238">
        <v>5993.68994140625</v>
      </c>
      <c r="D2238">
        <v>5858.77978515625</v>
      </c>
      <c r="E2238">
        <v>5861.56982421875</v>
      </c>
      <c r="F2238">
        <v>5861.56982421875</v>
      </c>
      <c r="G2238">
        <v>5057680000</v>
      </c>
      <c r="H2238">
        <v>0</v>
      </c>
      <c r="I2238">
        <v>0</v>
      </c>
      <c r="K2238" s="11">
        <f t="shared" si="34"/>
        <v>-1.5864553655509872E-2</v>
      </c>
    </row>
    <row r="2239" spans="1:11" x14ac:dyDescent="0.2">
      <c r="A2239" s="2">
        <v>45716</v>
      </c>
      <c r="B2239">
        <v>5856.740234375</v>
      </c>
      <c r="C2239">
        <v>5959.39990234375</v>
      </c>
      <c r="D2239">
        <v>5837.66015625</v>
      </c>
      <c r="E2239">
        <v>5954.5</v>
      </c>
      <c r="F2239">
        <v>5954.5</v>
      </c>
      <c r="G2239">
        <v>6441140000</v>
      </c>
      <c r="H2239">
        <v>0</v>
      </c>
      <c r="I2239">
        <v>0</v>
      </c>
      <c r="K2239" s="11">
        <f t="shared" si="34"/>
        <v>1.5854144634988909E-2</v>
      </c>
    </row>
    <row r="2240" spans="1:11" x14ac:dyDescent="0.2">
      <c r="A2240" s="2">
        <v>45719</v>
      </c>
      <c r="B2240">
        <v>5968.330078125</v>
      </c>
      <c r="C2240">
        <v>5986.08984375</v>
      </c>
      <c r="D2240">
        <v>5810.91015625</v>
      </c>
      <c r="E2240">
        <v>5849.72021484375</v>
      </c>
      <c r="F2240">
        <v>5849.72021484375</v>
      </c>
      <c r="G2240">
        <v>5613850000</v>
      </c>
      <c r="H2240">
        <v>0</v>
      </c>
      <c r="I2240">
        <v>0</v>
      </c>
      <c r="K2240" s="11">
        <f t="shared" si="34"/>
        <v>-1.75967394669998E-2</v>
      </c>
    </row>
    <row r="2241" spans="1:11" x14ac:dyDescent="0.2">
      <c r="A2241" s="2">
        <v>45720</v>
      </c>
      <c r="B2241">
        <v>5811.97998046875</v>
      </c>
      <c r="C2241">
        <v>5865.080078125</v>
      </c>
      <c r="D2241">
        <v>5732.58984375</v>
      </c>
      <c r="E2241">
        <v>5778.14990234375</v>
      </c>
      <c r="F2241">
        <v>5778.14990234375</v>
      </c>
      <c r="G2241">
        <v>6138110000</v>
      </c>
      <c r="H2241">
        <v>0</v>
      </c>
      <c r="I2241">
        <v>0</v>
      </c>
      <c r="K2241" s="11">
        <f t="shared" si="34"/>
        <v>-1.2234826602200433E-2</v>
      </c>
    </row>
    <row r="2242" spans="1:11" x14ac:dyDescent="0.2">
      <c r="A2242" s="2">
        <v>45721</v>
      </c>
      <c r="B2242">
        <v>5781.35986328125</v>
      </c>
      <c r="C2242">
        <v>5860.58984375</v>
      </c>
      <c r="D2242">
        <v>5742.35009765625</v>
      </c>
      <c r="E2242">
        <v>5842.6298828125</v>
      </c>
      <c r="F2242">
        <v>5842.6298828125</v>
      </c>
      <c r="G2242">
        <v>5285970000</v>
      </c>
      <c r="H2242">
        <v>0</v>
      </c>
      <c r="I2242">
        <v>0</v>
      </c>
      <c r="K2242" s="11">
        <f t="shared" si="34"/>
        <v>1.1159277893187936E-2</v>
      </c>
    </row>
    <row r="2243" spans="1:11" x14ac:dyDescent="0.2">
      <c r="A2243" s="2">
        <v>45722</v>
      </c>
      <c r="B2243">
        <v>5785.8701171875</v>
      </c>
      <c r="C2243">
        <v>5812.080078125</v>
      </c>
      <c r="D2243">
        <v>5711.64013671875</v>
      </c>
      <c r="E2243">
        <v>5738.52001953125</v>
      </c>
      <c r="F2243">
        <v>5738.52001953125</v>
      </c>
      <c r="G2243">
        <v>5165080000</v>
      </c>
      <c r="H2243">
        <v>0</v>
      </c>
      <c r="I2243">
        <v>0</v>
      </c>
      <c r="K2243" s="11">
        <f t="shared" si="34"/>
        <v>-1.7819007085749905E-2</v>
      </c>
    </row>
    <row r="2244" spans="1:11" x14ac:dyDescent="0.2">
      <c r="A2244" s="2">
        <v>45723</v>
      </c>
      <c r="B2244">
        <v>5726.009765625</v>
      </c>
      <c r="C2244">
        <v>5783.009765625</v>
      </c>
      <c r="D2244">
        <v>5666.2900390625</v>
      </c>
      <c r="E2244">
        <v>5770.2001953125</v>
      </c>
      <c r="F2244">
        <v>5770.2001953125</v>
      </c>
      <c r="G2244">
        <v>5705140000</v>
      </c>
      <c r="H2244">
        <v>0</v>
      </c>
      <c r="I2244">
        <v>0</v>
      </c>
      <c r="K2244" s="11">
        <f t="shared" ref="K2244:K2307" si="35">(E2244/E2243)-1</f>
        <v>5.5206178027480401E-3</v>
      </c>
    </row>
    <row r="2245" spans="1:11" x14ac:dyDescent="0.2">
      <c r="A2245" s="2">
        <v>45726</v>
      </c>
      <c r="B2245">
        <v>5705.3701171875</v>
      </c>
      <c r="C2245">
        <v>5705.3701171875</v>
      </c>
      <c r="D2245">
        <v>5564.02001953125</v>
      </c>
      <c r="E2245">
        <v>5614.56005859375</v>
      </c>
      <c r="F2245">
        <v>5614.56005859375</v>
      </c>
      <c r="G2245">
        <v>6409370000</v>
      </c>
      <c r="H2245">
        <v>0</v>
      </c>
      <c r="I2245">
        <v>0</v>
      </c>
      <c r="K2245" s="11">
        <f t="shared" si="35"/>
        <v>-2.69730913054258E-2</v>
      </c>
    </row>
    <row r="2246" spans="1:11" x14ac:dyDescent="0.2">
      <c r="A2246" s="2">
        <v>45727</v>
      </c>
      <c r="B2246">
        <v>5603.64990234375</v>
      </c>
      <c r="C2246">
        <v>5636.2998046875</v>
      </c>
      <c r="D2246">
        <v>5528.41015625</v>
      </c>
      <c r="E2246">
        <v>5572.06982421875</v>
      </c>
      <c r="F2246">
        <v>5572.06982421875</v>
      </c>
      <c r="G2246">
        <v>6221240000</v>
      </c>
      <c r="H2246">
        <v>0</v>
      </c>
      <c r="I2246">
        <v>0</v>
      </c>
      <c r="K2246" s="11">
        <f t="shared" si="35"/>
        <v>-7.5678653236531668E-3</v>
      </c>
    </row>
    <row r="2247" spans="1:11" x14ac:dyDescent="0.2">
      <c r="A2247" s="2">
        <v>45728</v>
      </c>
      <c r="B2247">
        <v>5624.83984375</v>
      </c>
      <c r="C2247">
        <v>5642.18994140625</v>
      </c>
      <c r="D2247">
        <v>5546.08984375</v>
      </c>
      <c r="E2247">
        <v>5599.2998046875</v>
      </c>
      <c r="F2247">
        <v>5599.2998046875</v>
      </c>
      <c r="G2247">
        <v>5219830000</v>
      </c>
      <c r="H2247">
        <v>0</v>
      </c>
      <c r="I2247">
        <v>0</v>
      </c>
      <c r="K2247" s="11">
        <f t="shared" si="35"/>
        <v>4.8868699294464246E-3</v>
      </c>
    </row>
    <row r="2248" spans="1:11" x14ac:dyDescent="0.2">
      <c r="A2248" s="2">
        <v>45729</v>
      </c>
      <c r="B2248">
        <v>5594.4501953125</v>
      </c>
      <c r="C2248">
        <v>5597.77978515625</v>
      </c>
      <c r="D2248">
        <v>5504.64990234375</v>
      </c>
      <c r="E2248">
        <v>5521.52001953125</v>
      </c>
      <c r="F2248">
        <v>5521.52001953125</v>
      </c>
      <c r="G2248">
        <v>5018980000</v>
      </c>
      <c r="H2248">
        <v>0</v>
      </c>
      <c r="I2248">
        <v>0</v>
      </c>
      <c r="K2248" s="11">
        <f t="shared" si="35"/>
        <v>-1.3890984206835322E-2</v>
      </c>
    </row>
    <row r="2249" spans="1:11" x14ac:dyDescent="0.2">
      <c r="A2249" s="2">
        <v>45730</v>
      </c>
      <c r="B2249">
        <v>5563.85009765625</v>
      </c>
      <c r="C2249">
        <v>5645.27001953125</v>
      </c>
      <c r="D2249">
        <v>5563.85009765625</v>
      </c>
      <c r="E2249">
        <v>5638.93994140625</v>
      </c>
      <c r="F2249">
        <v>5638.93994140625</v>
      </c>
      <c r="G2249">
        <v>4863180000</v>
      </c>
      <c r="H2249">
        <v>0</v>
      </c>
      <c r="I2249">
        <v>0</v>
      </c>
      <c r="K2249" s="11">
        <f t="shared" si="35"/>
        <v>2.1265869083087807E-2</v>
      </c>
    </row>
    <row r="2250" spans="1:11" x14ac:dyDescent="0.2">
      <c r="A2250" s="2">
        <v>45733</v>
      </c>
      <c r="B2250">
        <v>5635.60009765625</v>
      </c>
      <c r="C2250">
        <v>5703.52001953125</v>
      </c>
      <c r="D2250">
        <v>5631.1201171875</v>
      </c>
      <c r="E2250">
        <v>5675.1201171875</v>
      </c>
      <c r="F2250">
        <v>5675.1201171875</v>
      </c>
      <c r="G2250">
        <v>5031770000</v>
      </c>
      <c r="H2250">
        <v>0</v>
      </c>
      <c r="I2250">
        <v>0</v>
      </c>
      <c r="K2250" s="11">
        <f t="shared" si="35"/>
        <v>6.4161307191059613E-3</v>
      </c>
    </row>
    <row r="2251" spans="1:11" x14ac:dyDescent="0.2">
      <c r="A2251" s="2">
        <v>45734</v>
      </c>
      <c r="B2251">
        <v>5654.52978515625</v>
      </c>
      <c r="C2251">
        <v>5654.52978515625</v>
      </c>
      <c r="D2251">
        <v>5597.759765625</v>
      </c>
      <c r="E2251">
        <v>5614.66015625</v>
      </c>
      <c r="F2251">
        <v>5614.66015625</v>
      </c>
      <c r="G2251">
        <v>4666270000</v>
      </c>
      <c r="H2251">
        <v>0</v>
      </c>
      <c r="I2251">
        <v>0</v>
      </c>
      <c r="K2251" s="11">
        <f t="shared" si="35"/>
        <v>-1.0653512117636543E-2</v>
      </c>
    </row>
    <row r="2252" spans="1:11" x14ac:dyDescent="0.2">
      <c r="A2252" s="2">
        <v>45735</v>
      </c>
      <c r="B2252">
        <v>5632.3701171875</v>
      </c>
      <c r="C2252">
        <v>5715.330078125</v>
      </c>
      <c r="D2252">
        <v>5622.2001953125</v>
      </c>
      <c r="E2252">
        <v>5675.2900390625</v>
      </c>
      <c r="F2252">
        <v>5675.2900390625</v>
      </c>
      <c r="G2252">
        <v>4660090000</v>
      </c>
      <c r="H2252">
        <v>0</v>
      </c>
      <c r="I2252">
        <v>0</v>
      </c>
      <c r="K2252" s="11">
        <f t="shared" si="35"/>
        <v>1.0798495567894584E-2</v>
      </c>
    </row>
    <row r="2253" spans="1:11" x14ac:dyDescent="0.2">
      <c r="A2253" s="2">
        <v>45736</v>
      </c>
      <c r="B2253">
        <v>5646.919921875</v>
      </c>
      <c r="C2253">
        <v>5711.14990234375</v>
      </c>
      <c r="D2253">
        <v>5632.330078125</v>
      </c>
      <c r="E2253">
        <v>5662.89013671875</v>
      </c>
      <c r="F2253">
        <v>5662.89013671875</v>
      </c>
      <c r="G2253">
        <v>4678420000</v>
      </c>
      <c r="H2253">
        <v>0</v>
      </c>
      <c r="I2253">
        <v>0</v>
      </c>
      <c r="K2253" s="11">
        <f t="shared" si="35"/>
        <v>-2.1848931523151816E-3</v>
      </c>
    </row>
    <row r="2254" spans="1:11" x14ac:dyDescent="0.2">
      <c r="A2254" s="2">
        <v>45737</v>
      </c>
      <c r="B2254">
        <v>5630.72998046875</v>
      </c>
      <c r="C2254">
        <v>5670.83984375</v>
      </c>
      <c r="D2254">
        <v>5603.10009765625</v>
      </c>
      <c r="E2254">
        <v>5667.56005859375</v>
      </c>
      <c r="F2254">
        <v>5667.56005859375</v>
      </c>
      <c r="G2254">
        <v>9367460000</v>
      </c>
      <c r="H2254">
        <v>0</v>
      </c>
      <c r="I2254">
        <v>0</v>
      </c>
      <c r="K2254" s="11">
        <f t="shared" si="35"/>
        <v>8.2465344766613491E-4</v>
      </c>
    </row>
    <row r="2255" spans="1:11" x14ac:dyDescent="0.2">
      <c r="A2255" s="2">
        <v>45740</v>
      </c>
      <c r="B2255">
        <v>5718.080078125</v>
      </c>
      <c r="C2255">
        <v>5775.14013671875</v>
      </c>
      <c r="D2255">
        <v>5718.080078125</v>
      </c>
      <c r="E2255">
        <v>5767.56982421875</v>
      </c>
      <c r="F2255">
        <v>5767.56982421875</v>
      </c>
      <c r="G2255">
        <v>4517990000</v>
      </c>
      <c r="H2255">
        <v>0</v>
      </c>
      <c r="I2255">
        <v>0</v>
      </c>
      <c r="K2255" s="11">
        <f t="shared" si="35"/>
        <v>1.7646000146633645E-2</v>
      </c>
    </row>
    <row r="2256" spans="1:11" x14ac:dyDescent="0.2">
      <c r="A2256" s="2">
        <v>45741</v>
      </c>
      <c r="B2256">
        <v>5775.9599609375</v>
      </c>
      <c r="C2256">
        <v>5786.9501953125</v>
      </c>
      <c r="D2256">
        <v>5760.419921875</v>
      </c>
      <c r="E2256">
        <v>5776.64990234375</v>
      </c>
      <c r="F2256">
        <v>5776.64990234375</v>
      </c>
      <c r="G2256">
        <v>4467340000</v>
      </c>
      <c r="H2256">
        <v>0</v>
      </c>
      <c r="I2256">
        <v>0</v>
      </c>
      <c r="K2256" s="11">
        <f t="shared" si="35"/>
        <v>1.5743334544251475E-3</v>
      </c>
    </row>
    <row r="2257" spans="1:11" x14ac:dyDescent="0.2">
      <c r="A2257" s="2">
        <v>45742</v>
      </c>
      <c r="B2257">
        <v>5771.66015625</v>
      </c>
      <c r="C2257">
        <v>5783.6201171875</v>
      </c>
      <c r="D2257">
        <v>5694.41015625</v>
      </c>
      <c r="E2257">
        <v>5712.2001953125</v>
      </c>
      <c r="F2257">
        <v>5712.2001953125</v>
      </c>
      <c r="G2257">
        <v>4183140000</v>
      </c>
      <c r="H2257">
        <v>0</v>
      </c>
      <c r="I2257">
        <v>0</v>
      </c>
      <c r="K2257" s="11">
        <f t="shared" si="35"/>
        <v>-1.1156934922627149E-2</v>
      </c>
    </row>
    <row r="2258" spans="1:11" x14ac:dyDescent="0.2">
      <c r="A2258" s="2">
        <v>45743</v>
      </c>
      <c r="B2258">
        <v>5695.64013671875</v>
      </c>
      <c r="C2258">
        <v>5732.27978515625</v>
      </c>
      <c r="D2258">
        <v>5670.93994140625</v>
      </c>
      <c r="E2258">
        <v>5693.31005859375</v>
      </c>
      <c r="F2258">
        <v>5693.31005859375</v>
      </c>
      <c r="G2258">
        <v>4403460000</v>
      </c>
      <c r="H2258">
        <v>0</v>
      </c>
      <c r="I2258">
        <v>0</v>
      </c>
      <c r="K2258" s="11">
        <f t="shared" si="35"/>
        <v>-3.306980860763864E-3</v>
      </c>
    </row>
    <row r="2259" spans="1:11" x14ac:dyDescent="0.2">
      <c r="A2259" s="2">
        <v>45744</v>
      </c>
      <c r="B2259">
        <v>5679.2001953125</v>
      </c>
      <c r="C2259">
        <v>5685.89013671875</v>
      </c>
      <c r="D2259">
        <v>5572.419921875</v>
      </c>
      <c r="E2259">
        <v>5580.93994140625</v>
      </c>
      <c r="F2259">
        <v>5580.93994140625</v>
      </c>
      <c r="G2259">
        <v>4513330000</v>
      </c>
      <c r="H2259">
        <v>0</v>
      </c>
      <c r="I2259">
        <v>0</v>
      </c>
      <c r="K2259" s="11">
        <f t="shared" si="35"/>
        <v>-1.973722070834405E-2</v>
      </c>
    </row>
    <row r="2260" spans="1:11" x14ac:dyDescent="0.2">
      <c r="A2260" s="2">
        <v>45747</v>
      </c>
      <c r="B2260">
        <v>5527.91015625</v>
      </c>
      <c r="C2260">
        <v>5627.56005859375</v>
      </c>
      <c r="D2260">
        <v>5488.72998046875</v>
      </c>
      <c r="E2260">
        <v>5611.85009765625</v>
      </c>
      <c r="F2260">
        <v>5611.85009765625</v>
      </c>
      <c r="G2260">
        <v>5257250000</v>
      </c>
      <c r="H2260">
        <v>0</v>
      </c>
      <c r="I2260">
        <v>0</v>
      </c>
      <c r="K2260" s="11">
        <f t="shared" si="35"/>
        <v>5.5385215706533764E-3</v>
      </c>
    </row>
    <row r="2261" spans="1:11" x14ac:dyDescent="0.2">
      <c r="A2261" s="2">
        <v>45748</v>
      </c>
      <c r="B2261">
        <v>5597.52978515625</v>
      </c>
      <c r="C2261">
        <v>5650.56982421875</v>
      </c>
      <c r="D2261">
        <v>5558.52001953125</v>
      </c>
      <c r="E2261">
        <v>5633.06982421875</v>
      </c>
      <c r="F2261">
        <v>5633.06982421875</v>
      </c>
      <c r="G2261">
        <v>4434500000</v>
      </c>
      <c r="H2261">
        <v>0</v>
      </c>
      <c r="I2261">
        <v>0</v>
      </c>
      <c r="K2261" s="11">
        <f t="shared" si="35"/>
        <v>3.7812354559083605E-3</v>
      </c>
    </row>
    <row r="2262" spans="1:11" x14ac:dyDescent="0.2">
      <c r="A2262" s="2">
        <v>45749</v>
      </c>
      <c r="B2262">
        <v>5580.759765625</v>
      </c>
      <c r="C2262">
        <v>5695.31005859375</v>
      </c>
      <c r="D2262">
        <v>5571.47998046875</v>
      </c>
      <c r="E2262">
        <v>5670.97021484375</v>
      </c>
      <c r="F2262">
        <v>5670.97021484375</v>
      </c>
      <c r="G2262">
        <v>4243830000</v>
      </c>
      <c r="H2262">
        <v>0</v>
      </c>
      <c r="I2262">
        <v>0</v>
      </c>
      <c r="K2262" s="11">
        <f t="shared" si="35"/>
        <v>6.728194715792668E-3</v>
      </c>
    </row>
    <row r="2263" spans="1:11" x14ac:dyDescent="0.2">
      <c r="A2263" s="2">
        <v>45750</v>
      </c>
      <c r="B2263">
        <v>5492.740234375</v>
      </c>
      <c r="C2263">
        <v>5499.52978515625</v>
      </c>
      <c r="D2263">
        <v>5390.830078125</v>
      </c>
      <c r="E2263">
        <v>5396.52001953125</v>
      </c>
      <c r="F2263">
        <v>5396.52001953125</v>
      </c>
      <c r="G2263">
        <v>7210470000</v>
      </c>
      <c r="H2263">
        <v>0</v>
      </c>
      <c r="I2263">
        <v>0</v>
      </c>
      <c r="K2263" s="11">
        <f t="shared" si="35"/>
        <v>-4.8395633359901491E-2</v>
      </c>
    </row>
    <row r="2264" spans="1:11" x14ac:dyDescent="0.2">
      <c r="A2264" s="2">
        <v>45751</v>
      </c>
      <c r="B2264">
        <v>5292.14013671875</v>
      </c>
      <c r="C2264">
        <v>5292.14013671875</v>
      </c>
      <c r="D2264">
        <v>5069.89990234375</v>
      </c>
      <c r="E2264">
        <v>5074.080078125</v>
      </c>
      <c r="F2264">
        <v>5074.080078125</v>
      </c>
      <c r="G2264">
        <v>8853500000</v>
      </c>
      <c r="H2264">
        <v>0</v>
      </c>
      <c r="I2264">
        <v>0</v>
      </c>
      <c r="K2264" s="11">
        <f t="shared" si="35"/>
        <v>-5.9749605345531087E-2</v>
      </c>
    </row>
    <row r="2265" spans="1:11" x14ac:dyDescent="0.2">
      <c r="A2265" s="2">
        <v>45754</v>
      </c>
      <c r="B2265">
        <v>4953.7900390625</v>
      </c>
      <c r="C2265">
        <v>5246.56982421875</v>
      </c>
      <c r="D2265">
        <v>4835.0400390625</v>
      </c>
      <c r="E2265">
        <v>5062.25</v>
      </c>
      <c r="F2265">
        <v>5062.25</v>
      </c>
      <c r="G2265">
        <v>8691980000</v>
      </c>
      <c r="H2265">
        <v>0</v>
      </c>
      <c r="I2265">
        <v>0</v>
      </c>
      <c r="K2265" s="11">
        <f t="shared" si="35"/>
        <v>-2.3314724921273955E-3</v>
      </c>
    </row>
    <row r="2266" spans="1:11" x14ac:dyDescent="0.2">
      <c r="A2266" s="2">
        <v>45755</v>
      </c>
      <c r="B2266">
        <v>5193.56982421875</v>
      </c>
      <c r="C2266">
        <v>5267.47021484375</v>
      </c>
      <c r="D2266">
        <v>4910.419921875</v>
      </c>
      <c r="E2266">
        <v>4982.77001953125</v>
      </c>
      <c r="F2266">
        <v>4982.77001953125</v>
      </c>
      <c r="G2266">
        <v>7408140000</v>
      </c>
      <c r="H2266">
        <v>0</v>
      </c>
      <c r="I2266">
        <v>0</v>
      </c>
      <c r="K2266" s="11">
        <f t="shared" si="35"/>
        <v>-1.5700524562941354E-2</v>
      </c>
    </row>
    <row r="2267" spans="1:11" x14ac:dyDescent="0.2">
      <c r="A2267" s="2">
        <v>45756</v>
      </c>
      <c r="B2267">
        <v>4965.27978515625</v>
      </c>
      <c r="C2267">
        <v>5481.33984375</v>
      </c>
      <c r="D2267">
        <v>4948.43017578125</v>
      </c>
      <c r="E2267">
        <v>5456.89990234375</v>
      </c>
      <c r="F2267">
        <v>5456.89990234375</v>
      </c>
      <c r="G2267">
        <v>9489600000</v>
      </c>
      <c r="H2267">
        <v>0</v>
      </c>
      <c r="I2267">
        <v>0</v>
      </c>
      <c r="K2267" s="11">
        <f t="shared" si="35"/>
        <v>9.5153876449048491E-2</v>
      </c>
    </row>
    <row r="2268" spans="1:11" x14ac:dyDescent="0.2">
      <c r="A2268" s="2">
        <v>45757</v>
      </c>
      <c r="B2268">
        <v>5353.14990234375</v>
      </c>
      <c r="C2268">
        <v>5353.14990234375</v>
      </c>
      <c r="D2268">
        <v>5115.27001953125</v>
      </c>
      <c r="E2268">
        <v>5268.0498046875</v>
      </c>
      <c r="F2268">
        <v>5268.0498046875</v>
      </c>
      <c r="G2268">
        <v>6677140000</v>
      </c>
      <c r="H2268">
        <v>0</v>
      </c>
      <c r="I2268">
        <v>0</v>
      </c>
      <c r="K2268" s="11">
        <f t="shared" si="35"/>
        <v>-3.4607579584726933E-2</v>
      </c>
    </row>
    <row r="2269" spans="1:11" x14ac:dyDescent="0.2">
      <c r="A2269" s="2">
        <v>45758</v>
      </c>
      <c r="B2269">
        <v>5255.56005859375</v>
      </c>
      <c r="C2269">
        <v>5381.4599609375</v>
      </c>
      <c r="D2269">
        <v>5220.77001953125</v>
      </c>
      <c r="E2269">
        <v>5363.35986328125</v>
      </c>
      <c r="F2269">
        <v>5363.35986328125</v>
      </c>
      <c r="G2269">
        <v>5602550000</v>
      </c>
      <c r="H2269">
        <v>0</v>
      </c>
      <c r="I2269">
        <v>0</v>
      </c>
      <c r="K2269" s="11">
        <f t="shared" si="35"/>
        <v>1.8092095201708958E-2</v>
      </c>
    </row>
    <row r="2270" spans="1:11" x14ac:dyDescent="0.2">
      <c r="A2270" s="2">
        <v>45761</v>
      </c>
      <c r="B2270">
        <v>5441.9599609375</v>
      </c>
      <c r="C2270">
        <v>5459.4599609375</v>
      </c>
      <c r="D2270">
        <v>5358.02001953125</v>
      </c>
      <c r="E2270">
        <v>5405.97021484375</v>
      </c>
      <c r="F2270">
        <v>5405.97021484375</v>
      </c>
      <c r="G2270">
        <v>5031440000</v>
      </c>
      <c r="H2270">
        <v>0</v>
      </c>
      <c r="I2270">
        <v>0</v>
      </c>
      <c r="K2270" s="11">
        <f t="shared" si="35"/>
        <v>7.9447123908689132E-3</v>
      </c>
    </row>
    <row r="2271" spans="1:11" x14ac:dyDescent="0.2">
      <c r="A2271" s="2">
        <v>45762</v>
      </c>
      <c r="B2271">
        <v>5411.990234375</v>
      </c>
      <c r="C2271">
        <v>5450.41015625</v>
      </c>
      <c r="D2271">
        <v>5386.43994140625</v>
      </c>
      <c r="E2271">
        <v>5396.6298828125</v>
      </c>
      <c r="F2271">
        <v>5396.6298828125</v>
      </c>
      <c r="G2271">
        <v>4317110000</v>
      </c>
      <c r="H2271">
        <v>0</v>
      </c>
      <c r="I2271">
        <v>0</v>
      </c>
      <c r="K2271" s="11">
        <f t="shared" si="35"/>
        <v>-1.7277808903947145E-3</v>
      </c>
    </row>
    <row r="2272" spans="1:11" x14ac:dyDescent="0.2">
      <c r="A2272" s="2">
        <v>45763</v>
      </c>
      <c r="B2272">
        <v>5335.75</v>
      </c>
      <c r="C2272">
        <v>5367.240234375</v>
      </c>
      <c r="D2272">
        <v>5220.7900390625</v>
      </c>
      <c r="E2272">
        <v>5275.7001953125</v>
      </c>
      <c r="F2272">
        <v>5275.7001953125</v>
      </c>
      <c r="G2272">
        <v>4607750000</v>
      </c>
      <c r="H2272">
        <v>0</v>
      </c>
      <c r="I2272">
        <v>0</v>
      </c>
      <c r="K2272" s="11">
        <f t="shared" si="35"/>
        <v>-2.24083715440897E-2</v>
      </c>
    </row>
    <row r="2273" spans="1:11" x14ac:dyDescent="0.2">
      <c r="A2273" s="2">
        <v>45764</v>
      </c>
      <c r="B2273">
        <v>5305.4501953125</v>
      </c>
      <c r="C2273">
        <v>5328.31005859375</v>
      </c>
      <c r="D2273">
        <v>5255.580078125</v>
      </c>
      <c r="E2273">
        <v>5282.7001953125</v>
      </c>
      <c r="F2273">
        <v>5282.7001953125</v>
      </c>
      <c r="G2273">
        <v>4714880000</v>
      </c>
      <c r="H2273">
        <v>0</v>
      </c>
      <c r="I2273">
        <v>0</v>
      </c>
      <c r="K2273" s="11">
        <f t="shared" si="35"/>
        <v>1.3268380955802073E-3</v>
      </c>
    </row>
    <row r="2274" spans="1:11" x14ac:dyDescent="0.2">
      <c r="A2274" s="2">
        <v>45768</v>
      </c>
      <c r="B2274">
        <v>5232.93994140625</v>
      </c>
      <c r="C2274">
        <v>5232.93994140625</v>
      </c>
      <c r="D2274">
        <v>5101.6298828125</v>
      </c>
      <c r="E2274">
        <v>5158.2001953125</v>
      </c>
      <c r="F2274">
        <v>5158.2001953125</v>
      </c>
      <c r="G2274">
        <v>4226340000</v>
      </c>
      <c r="H2274">
        <v>0</v>
      </c>
      <c r="I2274">
        <v>0</v>
      </c>
      <c r="K2274" s="11">
        <f t="shared" si="35"/>
        <v>-2.3567493023827546E-2</v>
      </c>
    </row>
    <row r="2275" spans="1:11" x14ac:dyDescent="0.2">
      <c r="A2275" s="2">
        <v>45769</v>
      </c>
      <c r="B2275">
        <v>5207.669921875</v>
      </c>
      <c r="C2275">
        <v>5309.60986328125</v>
      </c>
      <c r="D2275">
        <v>5207.669921875</v>
      </c>
      <c r="E2275">
        <v>5287.759765625</v>
      </c>
      <c r="F2275">
        <v>5287.759765625</v>
      </c>
      <c r="G2275">
        <v>4666950000</v>
      </c>
      <c r="H2275">
        <v>0</v>
      </c>
      <c r="I2275">
        <v>0</v>
      </c>
      <c r="K2275" s="11">
        <f t="shared" si="35"/>
        <v>2.5117204723895226E-2</v>
      </c>
    </row>
    <row r="2276" spans="1:11" x14ac:dyDescent="0.2">
      <c r="A2276" s="2">
        <v>45770</v>
      </c>
      <c r="B2276">
        <v>5395.919921875</v>
      </c>
      <c r="C2276">
        <v>5469.68994140625</v>
      </c>
      <c r="D2276">
        <v>5356.169921875</v>
      </c>
      <c r="E2276">
        <v>5375.85986328125</v>
      </c>
      <c r="F2276">
        <v>5375.85986328125</v>
      </c>
      <c r="G2276">
        <v>5371390000</v>
      </c>
      <c r="H2276">
        <v>0</v>
      </c>
      <c r="I2276">
        <v>0</v>
      </c>
      <c r="K2276" s="11">
        <f t="shared" si="35"/>
        <v>1.6661138470960069E-2</v>
      </c>
    </row>
    <row r="2277" spans="1:11" x14ac:dyDescent="0.2">
      <c r="A2277" s="2">
        <v>45771</v>
      </c>
      <c r="B2277">
        <v>5381.3798828125</v>
      </c>
      <c r="C2277">
        <v>5489.39990234375</v>
      </c>
      <c r="D2277">
        <v>5371.9599609375</v>
      </c>
      <c r="E2277">
        <v>5484.77001953125</v>
      </c>
      <c r="F2277">
        <v>5484.77001953125</v>
      </c>
      <c r="G2277">
        <v>4697710000</v>
      </c>
      <c r="H2277">
        <v>0</v>
      </c>
      <c r="I2277">
        <v>0</v>
      </c>
      <c r="K2277" s="11">
        <f t="shared" si="35"/>
        <v>2.0259113708281262E-2</v>
      </c>
    </row>
    <row r="2278" spans="1:11" x14ac:dyDescent="0.2">
      <c r="A2278" s="2">
        <v>45772</v>
      </c>
      <c r="B2278">
        <v>5489.72998046875</v>
      </c>
      <c r="C2278">
        <v>5528.10986328125</v>
      </c>
      <c r="D2278">
        <v>5455.85986328125</v>
      </c>
      <c r="E2278">
        <v>5525.2099609375</v>
      </c>
      <c r="F2278">
        <v>5525.2099609375</v>
      </c>
      <c r="G2278">
        <v>4236580000</v>
      </c>
      <c r="H2278">
        <v>0</v>
      </c>
      <c r="I2278">
        <v>0</v>
      </c>
      <c r="K2278" s="11">
        <f t="shared" si="35"/>
        <v>7.3731334699984608E-3</v>
      </c>
    </row>
    <row r="2279" spans="1:11" x14ac:dyDescent="0.2">
      <c r="A2279" s="2">
        <v>45775</v>
      </c>
      <c r="B2279">
        <v>5529.22021484375</v>
      </c>
      <c r="C2279">
        <v>5553.66015625</v>
      </c>
      <c r="D2279">
        <v>5468.64013671875</v>
      </c>
      <c r="E2279">
        <v>5528.75</v>
      </c>
      <c r="F2279">
        <v>5528.75</v>
      </c>
      <c r="G2279">
        <v>4257880000</v>
      </c>
      <c r="H2279">
        <v>0</v>
      </c>
      <c r="I2279">
        <v>0</v>
      </c>
      <c r="K2279" s="11">
        <f t="shared" si="35"/>
        <v>6.4070670391314088E-4</v>
      </c>
    </row>
    <row r="2280" spans="1:11" x14ac:dyDescent="0.2">
      <c r="A2280" s="2">
        <v>45776</v>
      </c>
      <c r="B2280">
        <v>5508.8701171875</v>
      </c>
      <c r="C2280">
        <v>5571.9501953125</v>
      </c>
      <c r="D2280">
        <v>5505.7001953125</v>
      </c>
      <c r="E2280">
        <v>5560.830078125</v>
      </c>
      <c r="F2280">
        <v>5560.830078125</v>
      </c>
      <c r="G2280">
        <v>4747150000</v>
      </c>
      <c r="H2280">
        <v>0</v>
      </c>
      <c r="I2280">
        <v>0</v>
      </c>
      <c r="K2280" s="11">
        <f t="shared" si="35"/>
        <v>5.8024106940990361E-3</v>
      </c>
    </row>
    <row r="2281" spans="1:11" x14ac:dyDescent="0.2">
      <c r="A2281" s="2">
        <v>45777</v>
      </c>
      <c r="B2281">
        <v>5499.43994140625</v>
      </c>
      <c r="C2281">
        <v>5581.83984375</v>
      </c>
      <c r="D2281">
        <v>5433.240234375</v>
      </c>
      <c r="E2281">
        <v>5569.06005859375</v>
      </c>
      <c r="F2281">
        <v>5569.06005859375</v>
      </c>
      <c r="G2281">
        <v>5449490000</v>
      </c>
      <c r="H2281">
        <v>0</v>
      </c>
      <c r="I2281">
        <v>0</v>
      </c>
      <c r="K2281" s="11">
        <f t="shared" si="35"/>
        <v>1.47999135976562E-3</v>
      </c>
    </row>
    <row r="2282" spans="1:11" x14ac:dyDescent="0.2">
      <c r="A2282" s="2">
        <v>45778</v>
      </c>
      <c r="B2282">
        <v>5625.14013671875</v>
      </c>
      <c r="C2282">
        <v>5658.91015625</v>
      </c>
      <c r="D2282">
        <v>5597.35009765625</v>
      </c>
      <c r="E2282">
        <v>5604.14013671875</v>
      </c>
      <c r="F2282">
        <v>5604.14013671875</v>
      </c>
      <c r="G2282">
        <v>4935270000</v>
      </c>
      <c r="H2282">
        <v>0</v>
      </c>
      <c r="I2282">
        <v>0</v>
      </c>
      <c r="K2282" s="11">
        <f t="shared" si="35"/>
        <v>6.2991021385856438E-3</v>
      </c>
    </row>
    <row r="2283" spans="1:11" x14ac:dyDescent="0.2">
      <c r="A2283" s="2">
        <v>45779</v>
      </c>
      <c r="B2283">
        <v>5645.8798828125</v>
      </c>
      <c r="C2283">
        <v>5700.7001953125</v>
      </c>
      <c r="D2283">
        <v>5642.27978515625</v>
      </c>
      <c r="E2283">
        <v>5686.669921875</v>
      </c>
      <c r="F2283">
        <v>5686.669921875</v>
      </c>
      <c r="G2283">
        <v>4854380000</v>
      </c>
      <c r="H2283">
        <v>0</v>
      </c>
      <c r="I2283">
        <v>0</v>
      </c>
      <c r="K2283" s="11">
        <f t="shared" si="35"/>
        <v>1.472657412963474E-2</v>
      </c>
    </row>
    <row r="2284" spans="1:11" x14ac:dyDescent="0.2">
      <c r="A2284" s="2">
        <v>45782</v>
      </c>
      <c r="B2284">
        <v>5655.31982421875</v>
      </c>
      <c r="C2284">
        <v>5683.3798828125</v>
      </c>
      <c r="D2284">
        <v>5634.47998046875</v>
      </c>
      <c r="E2284">
        <v>5650.3798828125</v>
      </c>
      <c r="F2284">
        <v>5650.3798828125</v>
      </c>
      <c r="G2284">
        <v>4358260000</v>
      </c>
      <c r="H2284">
        <v>0</v>
      </c>
      <c r="I2284">
        <v>0</v>
      </c>
      <c r="K2284" s="11">
        <f t="shared" si="35"/>
        <v>-6.3815975889338628E-3</v>
      </c>
    </row>
    <row r="2285" spans="1:11" x14ac:dyDescent="0.2">
      <c r="A2285" s="2">
        <v>45783</v>
      </c>
      <c r="B2285">
        <v>5605.8701171875</v>
      </c>
      <c r="C2285">
        <v>5649.580078125</v>
      </c>
      <c r="D2285">
        <v>5586.0400390625</v>
      </c>
      <c r="E2285">
        <v>5606.91015625</v>
      </c>
      <c r="F2285">
        <v>5606.91015625</v>
      </c>
      <c r="G2285">
        <v>4717260000</v>
      </c>
      <c r="H2285">
        <v>0</v>
      </c>
      <c r="I2285">
        <v>0</v>
      </c>
      <c r="K2285" s="11">
        <f t="shared" si="35"/>
        <v>-7.6932396518555324E-3</v>
      </c>
    </row>
    <row r="2286" spans="1:11" x14ac:dyDescent="0.2">
      <c r="A2286" s="2">
        <v>45784</v>
      </c>
      <c r="B2286">
        <v>5614.18017578125</v>
      </c>
      <c r="C2286">
        <v>5654.72998046875</v>
      </c>
      <c r="D2286">
        <v>5578.64013671875</v>
      </c>
      <c r="E2286">
        <v>5631.27978515625</v>
      </c>
      <c r="F2286">
        <v>5631.27978515625</v>
      </c>
      <c r="G2286">
        <v>4987440000</v>
      </c>
      <c r="H2286">
        <v>0</v>
      </c>
      <c r="I2286">
        <v>0</v>
      </c>
      <c r="K2286" s="11">
        <f t="shared" si="35"/>
        <v>4.3463562331358396E-3</v>
      </c>
    </row>
    <row r="2287" spans="1:11" x14ac:dyDescent="0.2">
      <c r="A2287" s="2">
        <v>45785</v>
      </c>
      <c r="B2287">
        <v>5663.60009765625</v>
      </c>
      <c r="C2287">
        <v>5720.10009765625</v>
      </c>
      <c r="D2287">
        <v>5635.3798828125</v>
      </c>
      <c r="E2287">
        <v>5663.93994140625</v>
      </c>
      <c r="F2287">
        <v>5663.93994140625</v>
      </c>
      <c r="G2287">
        <v>5627400000</v>
      </c>
      <c r="H2287">
        <v>0</v>
      </c>
      <c r="I2287">
        <v>0</v>
      </c>
      <c r="K2287" s="11">
        <f t="shared" si="35"/>
        <v>5.7997750948355353E-3</v>
      </c>
    </row>
    <row r="2288" spans="1:11" x14ac:dyDescent="0.2">
      <c r="A2288" s="2">
        <v>45786</v>
      </c>
      <c r="B2288">
        <v>5679.64990234375</v>
      </c>
      <c r="C2288">
        <v>5691.68994140625</v>
      </c>
      <c r="D2288">
        <v>5644.14990234375</v>
      </c>
      <c r="E2288">
        <v>5659.91015625</v>
      </c>
      <c r="F2288">
        <v>5659.91015625</v>
      </c>
      <c r="G2288">
        <v>4645090000</v>
      </c>
      <c r="H2288">
        <v>0</v>
      </c>
      <c r="I2288">
        <v>0</v>
      </c>
      <c r="K2288" s="11">
        <f t="shared" si="35"/>
        <v>-7.1148091221628906E-4</v>
      </c>
    </row>
    <row r="2289" spans="1:11" x14ac:dyDescent="0.2">
      <c r="A2289" s="2">
        <v>45789</v>
      </c>
      <c r="B2289">
        <v>5807.2001953125</v>
      </c>
      <c r="C2289">
        <v>5845.3701171875</v>
      </c>
      <c r="D2289">
        <v>5786.080078125</v>
      </c>
      <c r="E2289">
        <v>5844.18994140625</v>
      </c>
      <c r="F2289">
        <v>5844.18994140625</v>
      </c>
      <c r="G2289">
        <v>6014580000</v>
      </c>
      <c r="H2289">
        <v>0</v>
      </c>
      <c r="I2289">
        <v>0</v>
      </c>
      <c r="K2289" s="11">
        <f t="shared" si="35"/>
        <v>3.2558782749008364E-2</v>
      </c>
    </row>
    <row r="2290" spans="1:11" x14ac:dyDescent="0.2">
      <c r="A2290" s="2">
        <v>45790</v>
      </c>
      <c r="B2290">
        <v>5854.14990234375</v>
      </c>
      <c r="C2290">
        <v>5906.64013671875</v>
      </c>
      <c r="D2290">
        <v>5845.02001953125</v>
      </c>
      <c r="E2290">
        <v>5886.5498046875</v>
      </c>
      <c r="F2290">
        <v>5886.5498046875</v>
      </c>
      <c r="G2290">
        <v>5516290000</v>
      </c>
      <c r="H2290">
        <v>0</v>
      </c>
      <c r="I2290">
        <v>0</v>
      </c>
      <c r="K2290" s="11">
        <f t="shared" si="35"/>
        <v>7.2482009835321826E-3</v>
      </c>
    </row>
    <row r="2291" spans="1:11" x14ac:dyDescent="0.2">
      <c r="A2291" s="2">
        <v>45791</v>
      </c>
      <c r="B2291">
        <v>5896.740234375</v>
      </c>
      <c r="C2291">
        <v>5906.5498046875</v>
      </c>
      <c r="D2291">
        <v>5872.10986328125</v>
      </c>
      <c r="E2291">
        <v>5892.580078125</v>
      </c>
      <c r="F2291">
        <v>5892.580078125</v>
      </c>
      <c r="G2291">
        <v>5233450000</v>
      </c>
      <c r="H2291">
        <v>0</v>
      </c>
      <c r="I2291">
        <v>0</v>
      </c>
      <c r="K2291" s="11">
        <f t="shared" si="35"/>
        <v>1.024415597859818E-3</v>
      </c>
    </row>
    <row r="2292" spans="1:11" x14ac:dyDescent="0.2">
      <c r="A2292" s="2">
        <v>45792</v>
      </c>
      <c r="B2292">
        <v>5869.81982421875</v>
      </c>
      <c r="C2292">
        <v>5924.2099609375</v>
      </c>
      <c r="D2292">
        <v>5865.16015625</v>
      </c>
      <c r="E2292">
        <v>5916.93017578125</v>
      </c>
      <c r="F2292">
        <v>5916.93017578125</v>
      </c>
      <c r="G2292">
        <v>4991290000</v>
      </c>
      <c r="H2292">
        <v>0</v>
      </c>
      <c r="I2292">
        <v>0</v>
      </c>
      <c r="K2292" s="11">
        <f t="shared" si="35"/>
        <v>4.1323320741357694E-3</v>
      </c>
    </row>
    <row r="2293" spans="1:11" x14ac:dyDescent="0.2">
      <c r="A2293" s="2">
        <v>45793</v>
      </c>
      <c r="B2293">
        <v>5929.08984375</v>
      </c>
      <c r="C2293">
        <v>5958.6201171875</v>
      </c>
      <c r="D2293">
        <v>5907.35986328125</v>
      </c>
      <c r="E2293">
        <v>5958.3798828125</v>
      </c>
      <c r="F2293">
        <v>5958.3798828125</v>
      </c>
      <c r="G2293">
        <v>4850850000</v>
      </c>
      <c r="H2293">
        <v>0</v>
      </c>
      <c r="I2293">
        <v>0</v>
      </c>
      <c r="K2293" s="11">
        <f t="shared" si="35"/>
        <v>7.0052722948985569E-3</v>
      </c>
    </row>
    <row r="2294" spans="1:11" x14ac:dyDescent="0.2">
      <c r="A2294" s="2">
        <v>45796</v>
      </c>
      <c r="B2294">
        <v>5902.8798828125</v>
      </c>
      <c r="C2294">
        <v>5968.60986328125</v>
      </c>
      <c r="D2294">
        <v>5895.68994140625</v>
      </c>
      <c r="E2294">
        <v>5963.60009765625</v>
      </c>
      <c r="F2294">
        <v>5963.60009765625</v>
      </c>
      <c r="G2294">
        <v>4144010000</v>
      </c>
      <c r="H2294">
        <v>0</v>
      </c>
      <c r="I2294">
        <v>0</v>
      </c>
      <c r="K2294" s="11">
        <f t="shared" si="35"/>
        <v>8.7611312914237516E-4</v>
      </c>
    </row>
    <row r="2295" spans="1:11" x14ac:dyDescent="0.2">
      <c r="A2295" s="2">
        <v>45797</v>
      </c>
      <c r="B2295">
        <v>5944.66015625</v>
      </c>
      <c r="C2295">
        <v>5953.06005859375</v>
      </c>
      <c r="D2295">
        <v>5909.259765625</v>
      </c>
      <c r="E2295">
        <v>5940.4599609375</v>
      </c>
      <c r="F2295">
        <v>5940.4599609375</v>
      </c>
      <c r="G2295">
        <v>4416850000</v>
      </c>
      <c r="H2295">
        <v>0</v>
      </c>
      <c r="I2295">
        <v>0</v>
      </c>
      <c r="K2295" s="11">
        <f t="shared" si="35"/>
        <v>-3.8802294486252054E-3</v>
      </c>
    </row>
    <row r="2296" spans="1:11" x14ac:dyDescent="0.2">
      <c r="A2296" s="2">
        <v>45798</v>
      </c>
      <c r="B2296">
        <v>5910.18017578125</v>
      </c>
      <c r="C2296">
        <v>5938.3701171875</v>
      </c>
      <c r="D2296">
        <v>5830.91015625</v>
      </c>
      <c r="E2296">
        <v>5844.60986328125</v>
      </c>
      <c r="F2296">
        <v>5844.60986328125</v>
      </c>
      <c r="G2296">
        <v>5254250000</v>
      </c>
      <c r="H2296">
        <v>0</v>
      </c>
      <c r="I2296">
        <v>0</v>
      </c>
      <c r="K2296" s="11">
        <f t="shared" si="35"/>
        <v>-1.6135130661014241E-2</v>
      </c>
    </row>
    <row r="2297" spans="1:11" x14ac:dyDescent="0.2">
      <c r="A2297" s="2">
        <v>45799</v>
      </c>
      <c r="B2297">
        <v>5841.259765625</v>
      </c>
      <c r="C2297">
        <v>5878.080078125</v>
      </c>
      <c r="D2297">
        <v>5825.81982421875</v>
      </c>
      <c r="E2297">
        <v>5842.009765625</v>
      </c>
      <c r="F2297">
        <v>5842.009765625</v>
      </c>
      <c r="G2297">
        <v>5157050000</v>
      </c>
      <c r="H2297">
        <v>0</v>
      </c>
      <c r="I2297">
        <v>0</v>
      </c>
      <c r="K2297" s="11">
        <f t="shared" si="35"/>
        <v>-4.4487103794299543E-4</v>
      </c>
    </row>
    <row r="2298" spans="1:11" x14ac:dyDescent="0.2">
      <c r="A2298" s="2">
        <v>45800</v>
      </c>
      <c r="B2298">
        <v>5781.89013671875</v>
      </c>
      <c r="C2298">
        <v>5829.509765625</v>
      </c>
      <c r="D2298">
        <v>5767.41015625</v>
      </c>
      <c r="E2298">
        <v>5802.81982421875</v>
      </c>
      <c r="F2298">
        <v>5802.81982421875</v>
      </c>
      <c r="G2298">
        <v>4662820000</v>
      </c>
      <c r="H2298">
        <v>0</v>
      </c>
      <c r="I2298">
        <v>0</v>
      </c>
      <c r="K2298" s="11">
        <f t="shared" si="35"/>
        <v>-6.7082978253216741E-3</v>
      </c>
    </row>
    <row r="2299" spans="1:11" x14ac:dyDescent="0.2">
      <c r="A2299" s="2">
        <v>45804</v>
      </c>
      <c r="B2299">
        <v>5854.06982421875</v>
      </c>
      <c r="C2299">
        <v>5924.330078125</v>
      </c>
      <c r="D2299">
        <v>5854.06982421875</v>
      </c>
      <c r="E2299">
        <v>5921.5400390625</v>
      </c>
      <c r="F2299">
        <v>5921.5400390625</v>
      </c>
      <c r="G2299">
        <v>5366380000</v>
      </c>
      <c r="H2299">
        <v>0</v>
      </c>
      <c r="I2299">
        <v>0</v>
      </c>
      <c r="K2299" s="11">
        <f t="shared" si="35"/>
        <v>2.04590558452733E-2</v>
      </c>
    </row>
    <row r="2300" spans="1:11" x14ac:dyDescent="0.2">
      <c r="A2300" s="2">
        <v>45805</v>
      </c>
      <c r="B2300">
        <v>5925.5400390625</v>
      </c>
      <c r="C2300">
        <v>5939.919921875</v>
      </c>
      <c r="D2300">
        <v>5881.8798828125</v>
      </c>
      <c r="E2300">
        <v>5888.5498046875</v>
      </c>
      <c r="F2300">
        <v>5888.5498046875</v>
      </c>
      <c r="G2300">
        <v>4665050000</v>
      </c>
      <c r="H2300">
        <v>0</v>
      </c>
      <c r="I2300">
        <v>0</v>
      </c>
      <c r="K2300" s="11">
        <f t="shared" si="35"/>
        <v>-5.5712254172688436E-3</v>
      </c>
    </row>
    <row r="2301" spans="1:11" x14ac:dyDescent="0.2">
      <c r="A2301" s="2">
        <v>45806</v>
      </c>
      <c r="B2301">
        <v>5939.9599609375</v>
      </c>
      <c r="C2301">
        <v>5943.1298828125</v>
      </c>
      <c r="D2301">
        <v>5873.7998046875</v>
      </c>
      <c r="E2301">
        <v>5912.169921875</v>
      </c>
      <c r="F2301">
        <v>5912.169921875</v>
      </c>
      <c r="G2301">
        <v>4569750000</v>
      </c>
      <c r="H2301">
        <v>0</v>
      </c>
      <c r="I2301">
        <v>0</v>
      </c>
      <c r="K2301" s="11">
        <f t="shared" si="35"/>
        <v>4.0111942619043273E-3</v>
      </c>
    </row>
    <row r="2302" spans="1:11" x14ac:dyDescent="0.2">
      <c r="A2302" s="2">
        <v>45807</v>
      </c>
      <c r="B2302">
        <v>5903.669921875</v>
      </c>
      <c r="C2302">
        <v>5922.14013671875</v>
      </c>
      <c r="D2302">
        <v>5843.66015625</v>
      </c>
      <c r="E2302">
        <v>5911.68994140625</v>
      </c>
      <c r="F2302">
        <v>5911.68994140625</v>
      </c>
      <c r="G2302">
        <v>6378540000</v>
      </c>
      <c r="H2302">
        <v>0</v>
      </c>
      <c r="I2302">
        <v>0</v>
      </c>
      <c r="K2302" s="11">
        <f t="shared" si="35"/>
        <v>-8.1185161301622344E-5</v>
      </c>
    </row>
    <row r="2303" spans="1:11" x14ac:dyDescent="0.2">
      <c r="A2303" s="2">
        <v>45810</v>
      </c>
      <c r="B2303">
        <v>5896.68017578125</v>
      </c>
      <c r="C2303">
        <v>5937.39990234375</v>
      </c>
      <c r="D2303">
        <v>5861.43017578125</v>
      </c>
      <c r="E2303">
        <v>5935.93994140625</v>
      </c>
      <c r="F2303">
        <v>5935.93994140625</v>
      </c>
      <c r="G2303">
        <v>4832240000</v>
      </c>
      <c r="H2303">
        <v>0</v>
      </c>
      <c r="I2303">
        <v>0</v>
      </c>
      <c r="K2303" s="11">
        <f t="shared" si="35"/>
        <v>4.1020419271569075E-3</v>
      </c>
    </row>
    <row r="2304" spans="1:11" x14ac:dyDescent="0.2">
      <c r="A2304" s="2">
        <v>45811</v>
      </c>
      <c r="B2304">
        <v>5938.56005859375</v>
      </c>
      <c r="C2304">
        <v>5981.35009765625</v>
      </c>
      <c r="D2304">
        <v>5929</v>
      </c>
      <c r="E2304">
        <v>5970.3701171875</v>
      </c>
      <c r="F2304">
        <v>5970.3701171875</v>
      </c>
      <c r="G2304">
        <v>5026680000</v>
      </c>
      <c r="H2304">
        <v>0</v>
      </c>
      <c r="I2304">
        <v>0</v>
      </c>
      <c r="K2304" s="11">
        <f t="shared" si="35"/>
        <v>5.8002904546055056E-3</v>
      </c>
    </row>
    <row r="2305" spans="1:11" x14ac:dyDescent="0.2">
      <c r="A2305" s="2">
        <v>45812</v>
      </c>
      <c r="B2305">
        <v>5978.93994140625</v>
      </c>
      <c r="C2305">
        <v>5990.47998046875</v>
      </c>
      <c r="D2305">
        <v>5966.10986328125</v>
      </c>
      <c r="E2305">
        <v>5970.81005859375</v>
      </c>
      <c r="F2305">
        <v>5970.81005859375</v>
      </c>
      <c r="G2305">
        <v>4767050000</v>
      </c>
      <c r="H2305">
        <v>0</v>
      </c>
      <c r="I2305">
        <v>0</v>
      </c>
      <c r="K2305" s="11">
        <f t="shared" si="35"/>
        <v>7.3687459506643904E-5</v>
      </c>
    </row>
    <row r="2306" spans="1:11" x14ac:dyDescent="0.2">
      <c r="A2306" s="2">
        <v>45813</v>
      </c>
      <c r="B2306">
        <v>5985.669921875</v>
      </c>
      <c r="C2306">
        <v>5999.7001953125</v>
      </c>
      <c r="D2306">
        <v>5921.2001953125</v>
      </c>
      <c r="E2306">
        <v>5939.2998046875</v>
      </c>
      <c r="F2306">
        <v>5939.2998046875</v>
      </c>
      <c r="G2306">
        <v>5091850000</v>
      </c>
      <c r="H2306">
        <v>0</v>
      </c>
      <c r="I2306">
        <v>0</v>
      </c>
      <c r="K2306" s="11">
        <f t="shared" si="35"/>
        <v>-5.277383403094138E-3</v>
      </c>
    </row>
    <row r="2307" spans="1:11" x14ac:dyDescent="0.2">
      <c r="A2307" s="2">
        <v>45814</v>
      </c>
      <c r="B2307">
        <v>5987.06005859375</v>
      </c>
      <c r="C2307">
        <v>6016.8701171875</v>
      </c>
      <c r="D2307">
        <v>5978.6298828125</v>
      </c>
      <c r="E2307">
        <v>6000.35986328125</v>
      </c>
      <c r="F2307">
        <v>6000.35986328125</v>
      </c>
      <c r="G2307">
        <v>4355710000</v>
      </c>
      <c r="H2307">
        <v>0</v>
      </c>
      <c r="I2307">
        <v>0</v>
      </c>
      <c r="K2307" s="11">
        <f t="shared" si="35"/>
        <v>1.0280683010067904E-2</v>
      </c>
    </row>
    <row r="2308" spans="1:11" x14ac:dyDescent="0.2">
      <c r="A2308" s="2">
        <v>45817</v>
      </c>
      <c r="B2308">
        <v>6004.6298828125</v>
      </c>
      <c r="C2308">
        <v>6021.31005859375</v>
      </c>
      <c r="D2308">
        <v>5994.18017578125</v>
      </c>
      <c r="E2308">
        <v>6005.8798828125</v>
      </c>
      <c r="F2308">
        <v>6005.8798828125</v>
      </c>
      <c r="G2308">
        <v>4642360000</v>
      </c>
      <c r="H2308">
        <v>0</v>
      </c>
      <c r="I2308">
        <v>0</v>
      </c>
      <c r="K2308" s="11">
        <f t="shared" ref="K2308:K2371" si="36">(E2308/E2307)-1</f>
        <v>9.1994807928585942E-4</v>
      </c>
    </row>
    <row r="2309" spans="1:11" x14ac:dyDescent="0.2">
      <c r="A2309" s="2">
        <v>45818</v>
      </c>
      <c r="B2309">
        <v>6009.91015625</v>
      </c>
      <c r="C2309">
        <v>6043.009765625</v>
      </c>
      <c r="D2309">
        <v>6000.27978515625</v>
      </c>
      <c r="E2309">
        <v>6038.81005859375</v>
      </c>
      <c r="F2309">
        <v>6038.81005859375</v>
      </c>
      <c r="G2309">
        <v>4882880000</v>
      </c>
      <c r="H2309">
        <v>0</v>
      </c>
      <c r="I2309">
        <v>0</v>
      </c>
      <c r="K2309" s="11">
        <f t="shared" si="36"/>
        <v>5.4829894076784402E-3</v>
      </c>
    </row>
    <row r="2310" spans="1:11" x14ac:dyDescent="0.2">
      <c r="A2310" s="2">
        <v>45819</v>
      </c>
      <c r="B2310">
        <v>6049.3798828125</v>
      </c>
      <c r="C2310">
        <v>6059.39990234375</v>
      </c>
      <c r="D2310">
        <v>6002.31982421875</v>
      </c>
      <c r="E2310">
        <v>6022.240234375</v>
      </c>
      <c r="F2310">
        <v>6022.240234375</v>
      </c>
      <c r="G2310">
        <v>5111550000</v>
      </c>
      <c r="H2310">
        <v>0</v>
      </c>
      <c r="I2310">
        <v>0</v>
      </c>
      <c r="K2310" s="11">
        <f t="shared" si="36"/>
        <v>-2.7438889546078649E-3</v>
      </c>
    </row>
    <row r="2311" spans="1:11" x14ac:dyDescent="0.2">
      <c r="A2311" s="2">
        <v>45820</v>
      </c>
      <c r="B2311">
        <v>6009.89990234375</v>
      </c>
      <c r="C2311">
        <v>6045.43017578125</v>
      </c>
      <c r="D2311">
        <v>6003.8798828125</v>
      </c>
      <c r="E2311">
        <v>6045.259765625</v>
      </c>
      <c r="F2311">
        <v>6045.259765625</v>
      </c>
      <c r="G2311">
        <v>4669500000</v>
      </c>
      <c r="H2311">
        <v>0</v>
      </c>
      <c r="I2311">
        <v>0</v>
      </c>
      <c r="K2311" s="11">
        <f t="shared" si="36"/>
        <v>3.8224199557175265E-3</v>
      </c>
    </row>
    <row r="2312" spans="1:11" x14ac:dyDescent="0.2">
      <c r="A2312" s="2">
        <v>45821</v>
      </c>
      <c r="B2312">
        <v>6000.56005859375</v>
      </c>
      <c r="C2312">
        <v>6026.16015625</v>
      </c>
      <c r="D2312">
        <v>5963.2099609375</v>
      </c>
      <c r="E2312">
        <v>5976.97021484375</v>
      </c>
      <c r="F2312">
        <v>5976.97021484375</v>
      </c>
      <c r="G2312">
        <v>5258910000</v>
      </c>
      <c r="H2312">
        <v>0</v>
      </c>
      <c r="I2312">
        <v>0</v>
      </c>
      <c r="K2312" s="11">
        <f t="shared" si="36"/>
        <v>-1.1296379879250695E-2</v>
      </c>
    </row>
    <row r="2313" spans="1:11" x14ac:dyDescent="0.2">
      <c r="A2313" s="2">
        <v>45824</v>
      </c>
      <c r="B2313">
        <v>6004</v>
      </c>
      <c r="C2313">
        <v>6050.830078125</v>
      </c>
      <c r="D2313">
        <v>6004</v>
      </c>
      <c r="E2313">
        <v>6033.10986328125</v>
      </c>
      <c r="F2313">
        <v>6033.10986328125</v>
      </c>
      <c r="G2313">
        <v>5111710000</v>
      </c>
      <c r="H2313">
        <v>0</v>
      </c>
      <c r="I2313">
        <v>0</v>
      </c>
      <c r="K2313" s="11">
        <f t="shared" si="36"/>
        <v>9.3926598961591168E-3</v>
      </c>
    </row>
    <row r="2314" spans="1:11" x14ac:dyDescent="0.2">
      <c r="A2314" s="2">
        <v>45825</v>
      </c>
      <c r="B2314">
        <v>6012.14990234375</v>
      </c>
      <c r="C2314">
        <v>6023.25</v>
      </c>
      <c r="D2314">
        <v>5974.7998046875</v>
      </c>
      <c r="E2314">
        <v>5982.72021484375</v>
      </c>
      <c r="F2314">
        <v>5982.72021484375</v>
      </c>
      <c r="G2314">
        <v>4955700000</v>
      </c>
      <c r="H2314">
        <v>0</v>
      </c>
      <c r="I2314">
        <v>0</v>
      </c>
      <c r="K2314" s="11">
        <f t="shared" si="36"/>
        <v>-8.352184790166306E-3</v>
      </c>
    </row>
    <row r="2315" spans="1:11" x14ac:dyDescent="0.2">
      <c r="A2315" s="2">
        <v>45826</v>
      </c>
      <c r="B2315">
        <v>5987.93017578125</v>
      </c>
      <c r="C2315">
        <v>6018.25</v>
      </c>
      <c r="D2315">
        <v>5971.89013671875</v>
      </c>
      <c r="E2315">
        <v>5980.8701171875</v>
      </c>
      <c r="F2315">
        <v>5980.8701171875</v>
      </c>
      <c r="G2315">
        <v>5106470000</v>
      </c>
      <c r="H2315">
        <v>0</v>
      </c>
      <c r="I2315">
        <v>0</v>
      </c>
      <c r="K2315" s="11">
        <f t="shared" si="36"/>
        <v>-3.0924021010703129E-4</v>
      </c>
    </row>
    <row r="2316" spans="1:11" x14ac:dyDescent="0.2">
      <c r="A2316" s="2">
        <v>45828</v>
      </c>
      <c r="B2316">
        <v>5999.669921875</v>
      </c>
      <c r="C2316">
        <v>6018.2001953125</v>
      </c>
      <c r="D2316">
        <v>5952.56005859375</v>
      </c>
      <c r="E2316">
        <v>5967.83984375</v>
      </c>
      <c r="F2316">
        <v>5967.83984375</v>
      </c>
      <c r="G2316">
        <v>7451500000</v>
      </c>
      <c r="H2316">
        <v>0</v>
      </c>
      <c r="I2316">
        <v>0</v>
      </c>
      <c r="K2316" s="11">
        <f t="shared" si="36"/>
        <v>-2.1786584865058911E-3</v>
      </c>
    </row>
    <row r="2317" spans="1:11" x14ac:dyDescent="0.2">
      <c r="A2317" s="2">
        <v>45831</v>
      </c>
      <c r="B2317">
        <v>5969.669921875</v>
      </c>
      <c r="C2317">
        <v>6028.77001953125</v>
      </c>
      <c r="D2317">
        <v>5943.22998046875</v>
      </c>
      <c r="E2317">
        <v>6025.169921875</v>
      </c>
      <c r="F2317">
        <v>6025.169921875</v>
      </c>
      <c r="G2317">
        <v>5597000000</v>
      </c>
      <c r="H2317">
        <v>0</v>
      </c>
      <c r="I2317">
        <v>0</v>
      </c>
      <c r="K2317" s="11">
        <f t="shared" si="36"/>
        <v>9.606504133156335E-3</v>
      </c>
    </row>
    <row r="2318" spans="1:11" x14ac:dyDescent="0.2">
      <c r="A2318" s="2">
        <v>45832</v>
      </c>
      <c r="B2318">
        <v>6061.2099609375</v>
      </c>
      <c r="C2318">
        <v>6101.759765625</v>
      </c>
      <c r="D2318">
        <v>6059.25</v>
      </c>
      <c r="E2318">
        <v>6092.18017578125</v>
      </c>
      <c r="F2318">
        <v>6092.18017578125</v>
      </c>
      <c r="G2318">
        <v>5443690000</v>
      </c>
      <c r="H2318">
        <v>0</v>
      </c>
      <c r="I2318">
        <v>0</v>
      </c>
      <c r="K2318" s="11">
        <f t="shared" si="36"/>
        <v>1.1121720179701811E-2</v>
      </c>
    </row>
    <row r="2319" spans="1:11" x14ac:dyDescent="0.2">
      <c r="A2319" s="2">
        <v>45833</v>
      </c>
      <c r="B2319">
        <v>6104.22998046875</v>
      </c>
      <c r="C2319">
        <v>6108.509765625</v>
      </c>
      <c r="D2319">
        <v>6080.08984375</v>
      </c>
      <c r="E2319">
        <v>6092.16015625</v>
      </c>
      <c r="F2319">
        <v>6092.16015625</v>
      </c>
      <c r="G2319">
        <v>5171110000</v>
      </c>
      <c r="H2319">
        <v>0</v>
      </c>
      <c r="I2319">
        <v>0</v>
      </c>
      <c r="K2319" s="11">
        <f t="shared" si="36"/>
        <v>-3.2861029504172024E-6</v>
      </c>
    </row>
    <row r="2320" spans="1:11" x14ac:dyDescent="0.2">
      <c r="A2320" s="2">
        <v>45834</v>
      </c>
      <c r="B2320">
        <v>6112.08984375</v>
      </c>
      <c r="C2320">
        <v>6146.52001953125</v>
      </c>
      <c r="D2320">
        <v>6107.27001953125</v>
      </c>
      <c r="E2320">
        <v>6141.02001953125</v>
      </c>
      <c r="F2320">
        <v>6141.02001953125</v>
      </c>
      <c r="G2320">
        <v>5308140000</v>
      </c>
      <c r="H2320">
        <v>0</v>
      </c>
      <c r="I2320">
        <v>0</v>
      </c>
      <c r="K2320" s="11">
        <f t="shared" si="36"/>
        <v>8.0201212752302187E-3</v>
      </c>
    </row>
    <row r="2321" spans="1:11" x14ac:dyDescent="0.2">
      <c r="A2321" s="2">
        <v>45835</v>
      </c>
      <c r="B2321">
        <v>6150.7001953125</v>
      </c>
      <c r="C2321">
        <v>6187.68017578125</v>
      </c>
      <c r="D2321">
        <v>6132.35009765625</v>
      </c>
      <c r="E2321">
        <v>6173.06982421875</v>
      </c>
      <c r="F2321">
        <v>6173.06982421875</v>
      </c>
      <c r="G2321">
        <v>7889350000</v>
      </c>
      <c r="H2321">
        <v>0</v>
      </c>
      <c r="I2321">
        <v>0</v>
      </c>
      <c r="K2321" s="11">
        <f t="shared" si="36"/>
        <v>5.2189708852221628E-3</v>
      </c>
    </row>
    <row r="2322" spans="1:11" x14ac:dyDescent="0.2">
      <c r="A2322" s="2">
        <v>45838</v>
      </c>
      <c r="B2322">
        <v>6193.35986328125</v>
      </c>
      <c r="C2322">
        <v>6215.080078125</v>
      </c>
      <c r="D2322">
        <v>6174.97021484375</v>
      </c>
      <c r="E2322">
        <v>6204.9501953125</v>
      </c>
      <c r="F2322">
        <v>6204.9501953125</v>
      </c>
      <c r="G2322">
        <v>5782900000</v>
      </c>
      <c r="H2322">
        <v>0</v>
      </c>
      <c r="I2322">
        <v>0</v>
      </c>
      <c r="K2322" s="11">
        <f t="shared" si="36"/>
        <v>5.1644274245326027E-3</v>
      </c>
    </row>
    <row r="2323" spans="1:11" x14ac:dyDescent="0.2">
      <c r="A2323" s="2">
        <v>45839</v>
      </c>
      <c r="B2323">
        <v>6187.25</v>
      </c>
      <c r="C2323">
        <v>6210.77978515625</v>
      </c>
      <c r="D2323">
        <v>6177.97021484375</v>
      </c>
      <c r="E2323">
        <v>6198.009765625</v>
      </c>
      <c r="F2323">
        <v>6198.009765625</v>
      </c>
      <c r="G2323">
        <v>6275310000</v>
      </c>
      <c r="H2323">
        <v>0</v>
      </c>
      <c r="I2323">
        <v>0</v>
      </c>
      <c r="K2323" s="11">
        <f t="shared" si="36"/>
        <v>-1.118531087121899E-3</v>
      </c>
    </row>
    <row r="2324" spans="1:11" x14ac:dyDescent="0.2">
      <c r="A2324" s="2">
        <v>45840</v>
      </c>
      <c r="B2324">
        <v>6193.8798828125</v>
      </c>
      <c r="C2324">
        <v>6227.60009765625</v>
      </c>
      <c r="D2324">
        <v>6188.2900390625</v>
      </c>
      <c r="E2324">
        <v>6227.419921875</v>
      </c>
      <c r="F2324">
        <v>6227.419921875</v>
      </c>
      <c r="G2324">
        <v>5645710000</v>
      </c>
      <c r="H2324">
        <v>0</v>
      </c>
      <c r="I2324">
        <v>0</v>
      </c>
      <c r="K2324" s="11">
        <f t="shared" si="36"/>
        <v>4.7450967910880326E-3</v>
      </c>
    </row>
    <row r="2325" spans="1:11" x14ac:dyDescent="0.2">
      <c r="A2325" s="2">
        <v>45841</v>
      </c>
      <c r="B2325">
        <v>6246.4599609375</v>
      </c>
      <c r="C2325">
        <v>6284.64990234375</v>
      </c>
      <c r="D2325">
        <v>6246.4599609375</v>
      </c>
      <c r="E2325">
        <v>6279.35009765625</v>
      </c>
      <c r="F2325">
        <v>6279.35009765625</v>
      </c>
      <c r="G2325">
        <v>3378110000</v>
      </c>
      <c r="H2325">
        <v>0</v>
      </c>
      <c r="I2325">
        <v>0</v>
      </c>
      <c r="K2325" s="11">
        <f t="shared" si="36"/>
        <v>8.3389552066073236E-3</v>
      </c>
    </row>
    <row r="2326" spans="1:11" x14ac:dyDescent="0.2">
      <c r="A2326" s="2">
        <v>45845</v>
      </c>
      <c r="B2326">
        <v>6259.0400390625</v>
      </c>
      <c r="C2326">
        <v>6262.06982421875</v>
      </c>
      <c r="D2326">
        <v>6201</v>
      </c>
      <c r="E2326">
        <v>6229.97998046875</v>
      </c>
      <c r="F2326">
        <v>6229.97998046875</v>
      </c>
      <c r="G2326">
        <v>5236740000</v>
      </c>
      <c r="H2326">
        <v>0</v>
      </c>
      <c r="I2326">
        <v>0</v>
      </c>
      <c r="K2326" s="11">
        <f t="shared" si="36"/>
        <v>-7.8622972791287937E-3</v>
      </c>
    </row>
    <row r="2327" spans="1:11" x14ac:dyDescent="0.2">
      <c r="A2327" s="2">
        <v>45846</v>
      </c>
      <c r="B2327">
        <v>6234.02978515625</v>
      </c>
      <c r="C2327">
        <v>6242.7001953125</v>
      </c>
      <c r="D2327">
        <v>6217.75</v>
      </c>
      <c r="E2327">
        <v>6225.52001953125</v>
      </c>
      <c r="F2327">
        <v>6225.52001953125</v>
      </c>
      <c r="G2327">
        <v>5739030000</v>
      </c>
      <c r="H2327">
        <v>0</v>
      </c>
      <c r="I2327">
        <v>0</v>
      </c>
      <c r="K2327" s="11">
        <f t="shared" si="36"/>
        <v>-7.1588688109469611E-4</v>
      </c>
    </row>
    <row r="2328" spans="1:11" x14ac:dyDescent="0.2">
      <c r="A2328" s="2">
        <v>45847</v>
      </c>
      <c r="B2328">
        <v>6243.330078125</v>
      </c>
      <c r="C2328">
        <v>6269.16015625</v>
      </c>
      <c r="D2328">
        <v>6231.43017578125</v>
      </c>
      <c r="E2328">
        <v>6263.259765625</v>
      </c>
      <c r="F2328">
        <v>6263.259765625</v>
      </c>
      <c r="G2328">
        <v>4813340000</v>
      </c>
      <c r="H2328">
        <v>0</v>
      </c>
      <c r="I2328">
        <v>0</v>
      </c>
      <c r="K2328" s="11">
        <f t="shared" si="36"/>
        <v>6.0621034026635545E-3</v>
      </c>
    </row>
    <row r="2329" spans="1:11" x14ac:dyDescent="0.2">
      <c r="A2329" s="2">
        <v>45848</v>
      </c>
      <c r="B2329">
        <v>6266.7998046875</v>
      </c>
      <c r="C2329">
        <v>6290.22021484375</v>
      </c>
      <c r="D2329">
        <v>6251.43994140625</v>
      </c>
      <c r="E2329">
        <v>6280.4599609375</v>
      </c>
      <c r="F2329">
        <v>6280.4599609375</v>
      </c>
      <c r="G2329">
        <v>5367350000</v>
      </c>
      <c r="H2329">
        <v>0</v>
      </c>
      <c r="I2329">
        <v>0</v>
      </c>
      <c r="K2329" s="11">
        <f t="shared" si="36"/>
        <v>2.7462050044453346E-3</v>
      </c>
    </row>
    <row r="2330" spans="1:11" x14ac:dyDescent="0.2">
      <c r="A2330" s="2">
        <v>45849</v>
      </c>
      <c r="B2330">
        <v>6255.68017578125</v>
      </c>
      <c r="C2330">
        <v>6269.43994140625</v>
      </c>
      <c r="D2330">
        <v>6237.60009765625</v>
      </c>
      <c r="E2330">
        <v>6259.75</v>
      </c>
      <c r="F2330">
        <v>6259.75</v>
      </c>
      <c r="G2330">
        <v>4656210000</v>
      </c>
      <c r="H2330">
        <v>0</v>
      </c>
      <c r="I2330">
        <v>0</v>
      </c>
      <c r="K2330" s="11">
        <f t="shared" si="36"/>
        <v>-3.2975229626984737E-3</v>
      </c>
    </row>
    <row r="2331" spans="1:11" x14ac:dyDescent="0.2">
      <c r="A2331" s="2">
        <v>45852</v>
      </c>
      <c r="B2331">
        <v>6255.14990234375</v>
      </c>
      <c r="C2331">
        <v>6273.31005859375</v>
      </c>
      <c r="D2331">
        <v>6239.22021484375</v>
      </c>
      <c r="E2331">
        <v>6268.56005859375</v>
      </c>
      <c r="F2331">
        <v>6268.56005859375</v>
      </c>
      <c r="G2331">
        <v>4722250000</v>
      </c>
      <c r="H2331">
        <v>0</v>
      </c>
      <c r="I2331">
        <v>0</v>
      </c>
      <c r="K2331" s="11">
        <f t="shared" si="36"/>
        <v>1.407413809457303E-3</v>
      </c>
    </row>
    <row r="2332" spans="1:11" x14ac:dyDescent="0.2">
      <c r="A2332" s="2">
        <v>45853</v>
      </c>
      <c r="B2332">
        <v>6295.2900390625</v>
      </c>
      <c r="C2332">
        <v>6302.0400390625</v>
      </c>
      <c r="D2332">
        <v>6241.68017578125</v>
      </c>
      <c r="E2332">
        <v>6243.759765625</v>
      </c>
      <c r="F2332">
        <v>6243.759765625</v>
      </c>
      <c r="G2332">
        <v>5133670000</v>
      </c>
      <c r="H2332">
        <v>0</v>
      </c>
      <c r="I2332">
        <v>0</v>
      </c>
      <c r="K2332" s="11">
        <f t="shared" si="36"/>
        <v>-3.956298214731202E-3</v>
      </c>
    </row>
    <row r="2333" spans="1:11" x14ac:dyDescent="0.2">
      <c r="A2333" s="2">
        <v>45854</v>
      </c>
      <c r="B2333">
        <v>6254.5</v>
      </c>
      <c r="C2333">
        <v>6268.1201171875</v>
      </c>
      <c r="D2333">
        <v>6201.58984375</v>
      </c>
      <c r="E2333">
        <v>6263.7001953125</v>
      </c>
      <c r="F2333">
        <v>6263.7001953125</v>
      </c>
      <c r="G2333">
        <v>5177460000</v>
      </c>
      <c r="H2333">
        <v>0</v>
      </c>
      <c r="I2333">
        <v>0</v>
      </c>
      <c r="K2333" s="11">
        <f t="shared" si="36"/>
        <v>3.1936574173276888E-3</v>
      </c>
    </row>
    <row r="2334" spans="1:11" x14ac:dyDescent="0.2">
      <c r="A2334" s="2">
        <v>45855</v>
      </c>
      <c r="B2334">
        <v>6263.39990234375</v>
      </c>
      <c r="C2334">
        <v>6304.68994140625</v>
      </c>
      <c r="D2334">
        <v>6262.27001953125</v>
      </c>
      <c r="E2334">
        <v>6297.35986328125</v>
      </c>
      <c r="F2334">
        <v>6297.35986328125</v>
      </c>
      <c r="G2334">
        <v>5512290000</v>
      </c>
      <c r="H2334">
        <v>0</v>
      </c>
      <c r="I2334">
        <v>0</v>
      </c>
      <c r="K2334" s="11">
        <f t="shared" si="36"/>
        <v>5.3737674089093801E-3</v>
      </c>
    </row>
    <row r="2335" spans="1:11" x14ac:dyDescent="0.2">
      <c r="A2335" s="2">
        <v>45856</v>
      </c>
      <c r="B2335">
        <v>6312.9501953125</v>
      </c>
      <c r="C2335">
        <v>6315.60986328125</v>
      </c>
      <c r="D2335">
        <v>6285.27001953125</v>
      </c>
      <c r="E2335">
        <v>6296.7900390625</v>
      </c>
      <c r="F2335">
        <v>6296.7900390625</v>
      </c>
      <c r="G2335">
        <v>5184700000</v>
      </c>
      <c r="H2335">
        <v>0</v>
      </c>
      <c r="I2335">
        <v>0</v>
      </c>
      <c r="K2335" s="11">
        <f t="shared" si="36"/>
        <v>-9.0486208684459335E-5</v>
      </c>
    </row>
    <row r="2336" spans="1:11" x14ac:dyDescent="0.2">
      <c r="A2336" s="2">
        <v>45859</v>
      </c>
      <c r="B2336">
        <v>6304.740234375</v>
      </c>
      <c r="C2336">
        <v>6336.080078125</v>
      </c>
      <c r="D2336">
        <v>6303.7900390625</v>
      </c>
      <c r="E2336">
        <v>6305.60009765625</v>
      </c>
      <c r="F2336">
        <v>6305.60009765625</v>
      </c>
      <c r="G2336">
        <v>5010840000</v>
      </c>
      <c r="H2336">
        <v>0</v>
      </c>
      <c r="I2336">
        <v>0</v>
      </c>
      <c r="K2336" s="11">
        <f t="shared" si="36"/>
        <v>1.3991348828683581E-3</v>
      </c>
    </row>
    <row r="2337" spans="1:11" x14ac:dyDescent="0.2">
      <c r="A2337" s="2">
        <v>45860</v>
      </c>
      <c r="B2337">
        <v>6306.60009765625</v>
      </c>
      <c r="C2337">
        <v>6316.1201171875</v>
      </c>
      <c r="D2337">
        <v>6281.7099609375</v>
      </c>
      <c r="E2337">
        <v>6309.6201171875</v>
      </c>
      <c r="F2337">
        <v>6309.6201171875</v>
      </c>
      <c r="G2337">
        <v>5662040000</v>
      </c>
      <c r="H2337">
        <v>0</v>
      </c>
      <c r="I2337">
        <v>0</v>
      </c>
      <c r="K2337" s="11">
        <f t="shared" si="36"/>
        <v>6.3753163362578746E-4</v>
      </c>
    </row>
    <row r="2338" spans="1:11" x14ac:dyDescent="0.2">
      <c r="A2338" s="2">
        <v>45861</v>
      </c>
      <c r="B2338">
        <v>6326.89990234375</v>
      </c>
      <c r="C2338">
        <v>6360.64013671875</v>
      </c>
      <c r="D2338">
        <v>6317.490234375</v>
      </c>
      <c r="E2338">
        <v>6358.91015625</v>
      </c>
      <c r="F2338">
        <v>6358.91015625</v>
      </c>
      <c r="G2338">
        <v>5642510000</v>
      </c>
      <c r="H2338">
        <v>0</v>
      </c>
      <c r="I2338">
        <v>0</v>
      </c>
      <c r="K2338" s="11">
        <f t="shared" si="36"/>
        <v>7.8118869515191314E-3</v>
      </c>
    </row>
    <row r="2339" spans="1:11" x14ac:dyDescent="0.2">
      <c r="A2339" s="2">
        <v>45862</v>
      </c>
      <c r="B2339">
        <v>6368.60009765625</v>
      </c>
      <c r="C2339">
        <v>6381.31005859375</v>
      </c>
      <c r="D2339">
        <v>6360.56982421875</v>
      </c>
      <c r="E2339">
        <v>6363.35009765625</v>
      </c>
      <c r="F2339">
        <v>6363.35009765625</v>
      </c>
      <c r="G2339">
        <v>5282720000</v>
      </c>
      <c r="H2339">
        <v>0</v>
      </c>
      <c r="I2339">
        <v>0</v>
      </c>
      <c r="K2339" s="11">
        <f t="shared" si="36"/>
        <v>6.982236416543941E-4</v>
      </c>
    </row>
    <row r="2340" spans="1:11" x14ac:dyDescent="0.2">
      <c r="A2340" s="2">
        <v>45863</v>
      </c>
      <c r="B2340">
        <v>6370.009765625</v>
      </c>
      <c r="C2340">
        <v>6395.81982421875</v>
      </c>
      <c r="D2340">
        <v>6368.52978515625</v>
      </c>
      <c r="E2340">
        <v>6388.64013671875</v>
      </c>
      <c r="F2340">
        <v>6388.64013671875</v>
      </c>
      <c r="G2340">
        <v>4470720000</v>
      </c>
      <c r="H2340">
        <v>0</v>
      </c>
      <c r="I2340">
        <v>0</v>
      </c>
      <c r="K2340" s="11">
        <f t="shared" si="36"/>
        <v>3.9743277792958498E-3</v>
      </c>
    </row>
    <row r="2341" spans="1:11" x14ac:dyDescent="0.2">
      <c r="A2341" s="2">
        <v>45866</v>
      </c>
      <c r="B2341">
        <v>6397.68994140625</v>
      </c>
      <c r="C2341">
        <v>6401.06982421875</v>
      </c>
      <c r="D2341">
        <v>6375.7900390625</v>
      </c>
      <c r="E2341">
        <v>6389.77001953125</v>
      </c>
      <c r="F2341">
        <v>6389.77001953125</v>
      </c>
      <c r="G2341">
        <v>4565620000</v>
      </c>
      <c r="H2341">
        <v>0</v>
      </c>
      <c r="I2341">
        <v>0</v>
      </c>
      <c r="K2341" s="11">
        <f t="shared" si="36"/>
        <v>1.7685810881817865E-4</v>
      </c>
    </row>
    <row r="2342" spans="1:11" x14ac:dyDescent="0.2">
      <c r="A2342" s="2">
        <v>45867</v>
      </c>
      <c r="B2342">
        <v>6405.6201171875</v>
      </c>
      <c r="C2342">
        <v>6409.259765625</v>
      </c>
      <c r="D2342">
        <v>6363.919921875</v>
      </c>
      <c r="E2342">
        <v>6370.85986328125</v>
      </c>
      <c r="F2342">
        <v>6370.85986328125</v>
      </c>
      <c r="G2342">
        <v>5076120000</v>
      </c>
      <c r="H2342">
        <v>0</v>
      </c>
      <c r="I2342">
        <v>0</v>
      </c>
      <c r="K2342" s="11">
        <f t="shared" si="36"/>
        <v>-2.9594423887242538E-3</v>
      </c>
    </row>
    <row r="2343" spans="1:11" x14ac:dyDescent="0.2">
      <c r="A2343" s="2">
        <v>45868</v>
      </c>
      <c r="B2343">
        <v>6381.22998046875</v>
      </c>
      <c r="C2343">
        <v>6396.5400390625</v>
      </c>
      <c r="D2343">
        <v>6336.3798828125</v>
      </c>
      <c r="E2343">
        <v>6362.89990234375</v>
      </c>
      <c r="F2343">
        <v>6362.89990234375</v>
      </c>
      <c r="G2343">
        <v>5375070000</v>
      </c>
      <c r="H2343">
        <v>0</v>
      </c>
      <c r="I2343">
        <v>0</v>
      </c>
      <c r="K2343" s="11">
        <f t="shared" si="36"/>
        <v>-1.2494327466496813E-3</v>
      </c>
    </row>
    <row r="2344" spans="1:11" x14ac:dyDescent="0.2">
      <c r="A2344" s="2">
        <v>45869</v>
      </c>
      <c r="B2344">
        <v>6427.02001953125</v>
      </c>
      <c r="C2344">
        <v>6427.02001953125</v>
      </c>
      <c r="D2344">
        <v>6327.64013671875</v>
      </c>
      <c r="E2344">
        <v>6339.39013671875</v>
      </c>
      <c r="F2344">
        <v>6339.39013671875</v>
      </c>
      <c r="G2344">
        <v>6077080000</v>
      </c>
      <c r="H2344">
        <v>0</v>
      </c>
      <c r="I2344">
        <v>0</v>
      </c>
      <c r="K2344" s="11">
        <f t="shared" si="36"/>
        <v>-3.6948193411530106E-3</v>
      </c>
    </row>
    <row r="2345" spans="1:11" x14ac:dyDescent="0.2">
      <c r="A2345" s="2">
        <v>45870</v>
      </c>
      <c r="B2345">
        <v>6287.27978515625</v>
      </c>
      <c r="C2345">
        <v>6287.27978515625</v>
      </c>
      <c r="D2345">
        <v>6212.68994140625</v>
      </c>
      <c r="E2345">
        <v>6238.009765625</v>
      </c>
      <c r="F2345">
        <v>6238.009765625</v>
      </c>
      <c r="G2345">
        <v>5827150000</v>
      </c>
      <c r="H2345">
        <v>0</v>
      </c>
      <c r="I2345">
        <v>0</v>
      </c>
      <c r="K2345" s="11">
        <f t="shared" si="36"/>
        <v>-1.5992133140148468E-2</v>
      </c>
    </row>
    <row r="2346" spans="1:11" x14ac:dyDescent="0.2">
      <c r="A2346" s="2">
        <v>45873</v>
      </c>
      <c r="B2346">
        <v>6271.7099609375</v>
      </c>
      <c r="C2346">
        <v>6330.68994140625</v>
      </c>
      <c r="D2346">
        <v>6271.7099609375</v>
      </c>
      <c r="E2346">
        <v>6329.93994140625</v>
      </c>
      <c r="F2346">
        <v>6329.93994140625</v>
      </c>
      <c r="G2346">
        <v>4842580000</v>
      </c>
      <c r="H2346">
        <v>0</v>
      </c>
      <c r="I2346">
        <v>0</v>
      </c>
      <c r="K2346" s="11">
        <f t="shared" si="36"/>
        <v>1.473710033091602E-2</v>
      </c>
    </row>
    <row r="2347" spans="1:11" x14ac:dyDescent="0.2">
      <c r="A2347" s="2">
        <v>45874</v>
      </c>
      <c r="B2347">
        <v>6336.6298828125</v>
      </c>
      <c r="C2347">
        <v>6346</v>
      </c>
      <c r="D2347">
        <v>6289.3701171875</v>
      </c>
      <c r="E2347">
        <v>6299.18994140625</v>
      </c>
      <c r="F2347">
        <v>6299.18994140625</v>
      </c>
      <c r="G2347">
        <v>5517410000</v>
      </c>
      <c r="H2347">
        <v>0</v>
      </c>
      <c r="I2347">
        <v>0</v>
      </c>
      <c r="K2347" s="11">
        <f t="shared" si="36"/>
        <v>-4.8578659963033344E-3</v>
      </c>
    </row>
    <row r="2348" spans="1:11" x14ac:dyDescent="0.2">
      <c r="A2348" s="2">
        <v>45875</v>
      </c>
      <c r="B2348">
        <v>6309.2998046875</v>
      </c>
      <c r="C2348">
        <v>6352.830078125</v>
      </c>
      <c r="D2348">
        <v>6301.10986328125</v>
      </c>
      <c r="E2348">
        <v>6345.06005859375</v>
      </c>
      <c r="F2348">
        <v>6345.06005859375</v>
      </c>
      <c r="G2348">
        <v>5408560000</v>
      </c>
      <c r="H2348">
        <v>0</v>
      </c>
      <c r="I2348">
        <v>0</v>
      </c>
      <c r="K2348" s="11">
        <f t="shared" si="36"/>
        <v>7.2819072950924824E-3</v>
      </c>
    </row>
    <row r="2349" spans="1:11" x14ac:dyDescent="0.2">
      <c r="A2349" s="2">
        <v>45876</v>
      </c>
      <c r="B2349">
        <v>6374.31982421875</v>
      </c>
      <c r="C2349">
        <v>6389.7099609375</v>
      </c>
      <c r="D2349">
        <v>6310.31982421875</v>
      </c>
      <c r="E2349">
        <v>6340</v>
      </c>
      <c r="F2349">
        <v>6340</v>
      </c>
      <c r="G2349">
        <v>5306090000</v>
      </c>
      <c r="H2349">
        <v>0</v>
      </c>
      <c r="I2349">
        <v>0</v>
      </c>
      <c r="K2349" s="11">
        <f t="shared" si="36"/>
        <v>-7.9748001548018976E-4</v>
      </c>
    </row>
    <row r="2350" spans="1:11" x14ac:dyDescent="0.2">
      <c r="A2350" s="2">
        <v>45877</v>
      </c>
      <c r="B2350">
        <v>6355.22021484375</v>
      </c>
      <c r="C2350">
        <v>6395.16015625</v>
      </c>
      <c r="D2350">
        <v>6355.22021484375</v>
      </c>
      <c r="E2350">
        <v>6389.4501953125</v>
      </c>
      <c r="F2350">
        <v>6389.4501953125</v>
      </c>
      <c r="G2350">
        <v>4769910000</v>
      </c>
      <c r="H2350">
        <v>0</v>
      </c>
      <c r="I2350">
        <v>0</v>
      </c>
      <c r="K2350" s="11">
        <f t="shared" si="36"/>
        <v>7.7997153489748339E-3</v>
      </c>
    </row>
    <row r="2351" spans="1:11" x14ac:dyDescent="0.2">
      <c r="A2351" s="2">
        <v>45880</v>
      </c>
      <c r="B2351">
        <v>6389.669921875</v>
      </c>
      <c r="C2351">
        <v>6407.25</v>
      </c>
      <c r="D2351">
        <v>6364.06005859375</v>
      </c>
      <c r="E2351">
        <v>6373.4501953125</v>
      </c>
      <c r="F2351">
        <v>6373.4501953125</v>
      </c>
      <c r="G2351">
        <v>4652400000</v>
      </c>
      <c r="H2351">
        <v>0</v>
      </c>
      <c r="I2351">
        <v>0</v>
      </c>
      <c r="K2351" s="11">
        <f t="shared" si="36"/>
        <v>-2.5041278217863283E-3</v>
      </c>
    </row>
    <row r="2352" spans="1:11" x14ac:dyDescent="0.2">
      <c r="A2352" s="2">
        <v>45881</v>
      </c>
      <c r="B2352">
        <v>6395.169921875</v>
      </c>
      <c r="C2352">
        <v>6446.5498046875</v>
      </c>
      <c r="D2352">
        <v>6385.759765625</v>
      </c>
      <c r="E2352">
        <v>6445.759765625</v>
      </c>
      <c r="F2352">
        <v>6445.759765625</v>
      </c>
      <c r="G2352">
        <v>5135300000</v>
      </c>
      <c r="H2352">
        <v>0</v>
      </c>
      <c r="I2352">
        <v>0</v>
      </c>
      <c r="K2352" s="11">
        <f t="shared" si="36"/>
        <v>1.1345435846612739E-2</v>
      </c>
    </row>
    <row r="2353" spans="1:11" x14ac:dyDescent="0.2">
      <c r="A2353" s="2">
        <v>45882</v>
      </c>
      <c r="B2353">
        <v>6462.669921875</v>
      </c>
      <c r="C2353">
        <v>6480.27978515625</v>
      </c>
      <c r="D2353">
        <v>6445.02001953125</v>
      </c>
      <c r="E2353">
        <v>6466.580078125</v>
      </c>
      <c r="F2353">
        <v>6466.580078125</v>
      </c>
      <c r="G2353">
        <v>5195950000</v>
      </c>
      <c r="H2353">
        <v>0</v>
      </c>
      <c r="I2353">
        <v>0</v>
      </c>
      <c r="K2353" s="11">
        <f t="shared" si="36"/>
        <v>3.2300788824048965E-3</v>
      </c>
    </row>
    <row r="2354" spans="1:11" x14ac:dyDescent="0.2">
      <c r="A2354" s="2">
        <v>45883</v>
      </c>
      <c r="B2354">
        <v>6453.4599609375</v>
      </c>
      <c r="C2354">
        <v>6473.919921875</v>
      </c>
      <c r="D2354">
        <v>6441.06982421875</v>
      </c>
      <c r="E2354">
        <v>6468.5400390625</v>
      </c>
      <c r="F2354">
        <v>6468.5400390625</v>
      </c>
      <c r="G2354">
        <v>4462050000</v>
      </c>
      <c r="H2354">
        <v>0</v>
      </c>
      <c r="I2354">
        <v>0</v>
      </c>
      <c r="K2354" s="11">
        <f t="shared" si="36"/>
        <v>3.0309080129242716E-4</v>
      </c>
    </row>
    <row r="2355" spans="1:11" x14ac:dyDescent="0.2">
      <c r="A2355" s="2">
        <v>45884</v>
      </c>
      <c r="B2355">
        <v>6477.3798828125</v>
      </c>
      <c r="C2355">
        <v>6481.33984375</v>
      </c>
      <c r="D2355">
        <v>6441.85009765625</v>
      </c>
      <c r="E2355">
        <v>6449.7998046875</v>
      </c>
      <c r="F2355">
        <v>6449.7998046875</v>
      </c>
      <c r="G2355">
        <v>4575060000</v>
      </c>
      <c r="H2355">
        <v>0</v>
      </c>
      <c r="I2355">
        <v>0</v>
      </c>
      <c r="K2355" s="11">
        <f t="shared" si="36"/>
        <v>-2.8971350972291088E-3</v>
      </c>
    </row>
    <row r="2356" spans="1:11" x14ac:dyDescent="0.2">
      <c r="A2356" s="2">
        <v>45887</v>
      </c>
      <c r="B2356">
        <v>6445.02001953125</v>
      </c>
      <c r="C2356">
        <v>6455.35009765625</v>
      </c>
      <c r="D2356">
        <v>6437.7001953125</v>
      </c>
      <c r="E2356">
        <v>6449.14990234375</v>
      </c>
      <c r="F2356">
        <v>6449.14990234375</v>
      </c>
      <c r="G2356">
        <v>4162290000</v>
      </c>
      <c r="H2356">
        <v>0</v>
      </c>
      <c r="I2356">
        <v>0</v>
      </c>
      <c r="K2356" s="11">
        <f t="shared" si="36"/>
        <v>-1.0076318078544588E-4</v>
      </c>
    </row>
    <row r="2357" spans="1:11" x14ac:dyDescent="0.2">
      <c r="A2357" s="2">
        <v>45888</v>
      </c>
      <c r="B2357">
        <v>6446.240234375</v>
      </c>
      <c r="C2357">
        <v>6456.47998046875</v>
      </c>
      <c r="D2357">
        <v>6400.22021484375</v>
      </c>
      <c r="E2357">
        <v>6411.3701171875</v>
      </c>
      <c r="F2357">
        <v>6411.3701171875</v>
      </c>
      <c r="G2357">
        <v>4377440000</v>
      </c>
      <c r="H2357">
        <v>0</v>
      </c>
      <c r="I2357">
        <v>0</v>
      </c>
      <c r="K2357" s="11">
        <f t="shared" si="36"/>
        <v>-5.8581031187567856E-3</v>
      </c>
    </row>
    <row r="2358" spans="1:11" x14ac:dyDescent="0.2">
      <c r="A2358" s="2">
        <v>45889</v>
      </c>
      <c r="B2358">
        <v>6406.6201171875</v>
      </c>
      <c r="C2358">
        <v>6408.39990234375</v>
      </c>
      <c r="D2358">
        <v>6343.85986328125</v>
      </c>
      <c r="E2358">
        <v>6395.77978515625</v>
      </c>
      <c r="F2358">
        <v>6395.77978515625</v>
      </c>
      <c r="G2358">
        <v>4470390000</v>
      </c>
      <c r="H2358">
        <v>0</v>
      </c>
      <c r="I2358">
        <v>0</v>
      </c>
      <c r="K2358" s="11">
        <f t="shared" si="36"/>
        <v>-2.4316693228262354E-3</v>
      </c>
    </row>
    <row r="2359" spans="1:11" x14ac:dyDescent="0.2">
      <c r="A2359" s="2">
        <v>45890</v>
      </c>
      <c r="B2359">
        <v>6380.830078125</v>
      </c>
      <c r="C2359">
        <v>6393.64990234375</v>
      </c>
      <c r="D2359">
        <v>6352.7099609375</v>
      </c>
      <c r="E2359">
        <v>6370.169921875</v>
      </c>
      <c r="F2359">
        <v>6370.169921875</v>
      </c>
      <c r="G2359">
        <v>4013560000</v>
      </c>
      <c r="H2359">
        <v>0</v>
      </c>
      <c r="I2359">
        <v>0</v>
      </c>
      <c r="K2359" s="11">
        <f t="shared" si="36"/>
        <v>-4.0041815293089256E-3</v>
      </c>
    </row>
    <row r="2360" spans="1:11" x14ac:dyDescent="0.2">
      <c r="A2360" s="2">
        <v>45891</v>
      </c>
      <c r="B2360">
        <v>6384.58984375</v>
      </c>
      <c r="C2360">
        <v>6478.89013671875</v>
      </c>
      <c r="D2360">
        <v>6384.58984375</v>
      </c>
      <c r="E2360">
        <v>6466.91015625</v>
      </c>
      <c r="F2360">
        <v>6466.91015625</v>
      </c>
      <c r="G2360">
        <v>5046860000</v>
      </c>
      <c r="H2360">
        <v>0</v>
      </c>
      <c r="I2360">
        <v>0</v>
      </c>
      <c r="K2360" s="11">
        <f t="shared" si="36"/>
        <v>1.5186444876893468E-2</v>
      </c>
    </row>
    <row r="2361" spans="1:11" x14ac:dyDescent="0.2">
      <c r="A2361" s="2">
        <v>45894</v>
      </c>
      <c r="B2361">
        <v>6457.669921875</v>
      </c>
      <c r="C2361">
        <v>6466.89013671875</v>
      </c>
      <c r="D2361">
        <v>6438.06005859375</v>
      </c>
      <c r="E2361">
        <v>6439.31982421875</v>
      </c>
      <c r="F2361">
        <v>6439.31982421875</v>
      </c>
      <c r="G2361">
        <v>4059070000</v>
      </c>
      <c r="H2361">
        <v>0</v>
      </c>
      <c r="I2361">
        <v>0</v>
      </c>
      <c r="K2361" s="11">
        <f t="shared" si="36"/>
        <v>-4.2663855480634671E-3</v>
      </c>
    </row>
    <row r="2362" spans="1:11" x14ac:dyDescent="0.2">
      <c r="A2362" s="2">
        <v>45895</v>
      </c>
      <c r="B2362">
        <v>6435.490234375</v>
      </c>
      <c r="C2362">
        <v>6468.3701171875</v>
      </c>
      <c r="D2362">
        <v>6429.2099609375</v>
      </c>
      <c r="E2362">
        <v>6465.93994140625</v>
      </c>
      <c r="F2362">
        <v>6465.93994140625</v>
      </c>
      <c r="G2362">
        <v>4867680000</v>
      </c>
      <c r="H2362">
        <v>0</v>
      </c>
      <c r="I2362">
        <v>0</v>
      </c>
      <c r="K2362" s="11">
        <f t="shared" si="36"/>
        <v>4.1339951911349981E-3</v>
      </c>
    </row>
    <row r="2363" spans="1:11" x14ac:dyDescent="0.2">
      <c r="A2363" s="2">
        <v>45896</v>
      </c>
      <c r="B2363">
        <v>6462.259765625</v>
      </c>
      <c r="C2363">
        <v>6487.06005859375</v>
      </c>
      <c r="D2363">
        <v>6457.83984375</v>
      </c>
      <c r="E2363">
        <v>6481.39990234375</v>
      </c>
      <c r="F2363">
        <v>6481.39990234375</v>
      </c>
      <c r="G2363">
        <v>4143680000</v>
      </c>
      <c r="H2363">
        <v>0</v>
      </c>
      <c r="I2363">
        <v>0</v>
      </c>
      <c r="K2363" s="11">
        <f t="shared" si="36"/>
        <v>2.3909843081744153E-3</v>
      </c>
    </row>
    <row r="2364" spans="1:11" x14ac:dyDescent="0.2">
      <c r="A2364" s="2">
        <v>45897</v>
      </c>
      <c r="B2364">
        <v>6483.83984375</v>
      </c>
      <c r="C2364">
        <v>6508.22998046875</v>
      </c>
      <c r="D2364">
        <v>6466.9599609375</v>
      </c>
      <c r="E2364">
        <v>6501.85986328125</v>
      </c>
      <c r="F2364">
        <v>6501.85986328125</v>
      </c>
      <c r="G2364">
        <v>4283760000</v>
      </c>
      <c r="H2364">
        <v>0</v>
      </c>
      <c r="I2364">
        <v>0</v>
      </c>
      <c r="K2364" s="11">
        <f t="shared" si="36"/>
        <v>3.1567194195349924E-3</v>
      </c>
    </row>
    <row r="2365" spans="1:11" x14ac:dyDescent="0.2">
      <c r="A2365" s="2">
        <v>45898</v>
      </c>
      <c r="B2365">
        <v>6489.27978515625</v>
      </c>
      <c r="C2365">
        <v>6491.759765625</v>
      </c>
      <c r="D2365">
        <v>6444.56982421875</v>
      </c>
      <c r="E2365">
        <v>6460.259765625</v>
      </c>
      <c r="F2365">
        <v>6460.259765625</v>
      </c>
      <c r="G2365">
        <v>4234840000</v>
      </c>
      <c r="H2365">
        <v>0</v>
      </c>
      <c r="I2365">
        <v>0</v>
      </c>
      <c r="K2365" s="11">
        <f t="shared" si="36"/>
        <v>-6.3981842935716404E-3</v>
      </c>
    </row>
    <row r="2366" spans="1:11" x14ac:dyDescent="0.2">
      <c r="A2366" s="2">
        <v>45902</v>
      </c>
      <c r="B2366">
        <v>6401.509765625</v>
      </c>
      <c r="C2366">
        <v>6416.5400390625</v>
      </c>
      <c r="D2366">
        <v>6360.580078125</v>
      </c>
      <c r="E2366">
        <v>6415.5400390625</v>
      </c>
      <c r="F2366">
        <v>6415.5400390625</v>
      </c>
      <c r="G2366">
        <v>4784000000</v>
      </c>
      <c r="H2366">
        <v>0</v>
      </c>
      <c r="I2366">
        <v>0</v>
      </c>
      <c r="K2366" s="11">
        <f t="shared" si="36"/>
        <v>-6.922279936861564E-3</v>
      </c>
    </row>
    <row r="2367" spans="1:11" x14ac:dyDescent="0.2">
      <c r="A2367" s="2">
        <v>45903</v>
      </c>
      <c r="B2367">
        <v>6445.81982421875</v>
      </c>
      <c r="C2367">
        <v>6453.669921875</v>
      </c>
      <c r="D2367">
        <v>6416.169921875</v>
      </c>
      <c r="E2367">
        <v>6448.259765625</v>
      </c>
      <c r="F2367">
        <v>6448.259765625</v>
      </c>
      <c r="G2367">
        <v>4465360000</v>
      </c>
      <c r="H2367">
        <v>0</v>
      </c>
      <c r="I2367">
        <v>0</v>
      </c>
      <c r="K2367" s="11">
        <f t="shared" si="36"/>
        <v>5.1000736279842585E-3</v>
      </c>
    </row>
    <row r="2368" spans="1:11" x14ac:dyDescent="0.2">
      <c r="A2368" s="2">
        <v>45904</v>
      </c>
      <c r="B2368">
        <v>6456.60009765625</v>
      </c>
      <c r="C2368">
        <v>6502.5400390625</v>
      </c>
      <c r="D2368">
        <v>6445.97998046875</v>
      </c>
      <c r="E2368">
        <v>6502.080078125</v>
      </c>
      <c r="F2368">
        <v>6502.080078125</v>
      </c>
      <c r="G2368">
        <v>4670770000</v>
      </c>
      <c r="H2368">
        <v>0</v>
      </c>
      <c r="I2368">
        <v>0</v>
      </c>
      <c r="K2368" s="11">
        <f t="shared" si="36"/>
        <v>8.3464864096993718E-3</v>
      </c>
    </row>
    <row r="2369" spans="1:11" x14ac:dyDescent="0.2">
      <c r="A2369" s="2">
        <v>45905</v>
      </c>
      <c r="B2369">
        <v>6529.080078125</v>
      </c>
      <c r="C2369">
        <v>6532.64990234375</v>
      </c>
      <c r="D2369">
        <v>6443.97998046875</v>
      </c>
      <c r="E2369">
        <v>6481.5</v>
      </c>
      <c r="F2369">
        <v>6481.5</v>
      </c>
      <c r="G2369">
        <v>5066120000</v>
      </c>
      <c r="H2369">
        <v>0</v>
      </c>
      <c r="I2369">
        <v>0</v>
      </c>
      <c r="K2369" s="11">
        <f t="shared" si="36"/>
        <v>-3.1651529783888188E-3</v>
      </c>
    </row>
    <row r="2370" spans="1:11" x14ac:dyDescent="0.2">
      <c r="A2370" s="2">
        <v>45908</v>
      </c>
      <c r="B2370">
        <v>6498.08984375</v>
      </c>
      <c r="C2370">
        <v>6508.669921875</v>
      </c>
      <c r="D2370">
        <v>6483.2900390625</v>
      </c>
      <c r="E2370">
        <v>6495.14990234375</v>
      </c>
      <c r="F2370">
        <v>6495.14990234375</v>
      </c>
      <c r="G2370">
        <v>5211500000</v>
      </c>
      <c r="H2370">
        <v>0</v>
      </c>
      <c r="I2370">
        <v>0</v>
      </c>
      <c r="K2370" s="11">
        <f t="shared" si="36"/>
        <v>2.1059789159529885E-3</v>
      </c>
    </row>
    <row r="2371" spans="1:11" x14ac:dyDescent="0.2">
      <c r="A2371" s="2">
        <v>45909</v>
      </c>
      <c r="B2371">
        <v>6503.330078125</v>
      </c>
      <c r="C2371">
        <v>6518.22998046875</v>
      </c>
      <c r="D2371">
        <v>6483.080078125</v>
      </c>
      <c r="E2371">
        <v>6512.60986328125</v>
      </c>
      <c r="F2371">
        <v>6512.60986328125</v>
      </c>
      <c r="G2371">
        <v>4798350000</v>
      </c>
      <c r="H2371">
        <v>0</v>
      </c>
      <c r="I2371">
        <v>0</v>
      </c>
      <c r="K2371" s="11">
        <f t="shared" si="36"/>
        <v>2.6881536531127015E-3</v>
      </c>
    </row>
    <row r="2372" spans="1:11" x14ac:dyDescent="0.2">
      <c r="A2372" s="2">
        <v>45910</v>
      </c>
      <c r="B2372">
        <v>6550.2900390625</v>
      </c>
      <c r="C2372">
        <v>6555.97021484375</v>
      </c>
      <c r="D2372">
        <v>6516.33984375</v>
      </c>
      <c r="E2372">
        <v>6532.0400390625</v>
      </c>
      <c r="F2372">
        <v>6532.0400390625</v>
      </c>
      <c r="G2372">
        <v>5253010000</v>
      </c>
      <c r="H2372">
        <v>0</v>
      </c>
      <c r="I2372">
        <v>0</v>
      </c>
      <c r="K2372" s="11">
        <f t="shared" ref="K2372:K2435" si="37">(E2372/E2371)-1</f>
        <v>2.9834699435626888E-3</v>
      </c>
    </row>
    <row r="2373" spans="1:11" x14ac:dyDescent="0.2">
      <c r="A2373" s="2">
        <v>45911</v>
      </c>
      <c r="B2373">
        <v>6554.41015625</v>
      </c>
      <c r="C2373">
        <v>6592.89013671875</v>
      </c>
      <c r="D2373">
        <v>6545.7998046875</v>
      </c>
      <c r="E2373">
        <v>6587.47021484375</v>
      </c>
      <c r="F2373">
        <v>6587.47021484375</v>
      </c>
      <c r="G2373">
        <v>5426460000</v>
      </c>
      <c r="H2373">
        <v>0</v>
      </c>
      <c r="I2373">
        <v>0</v>
      </c>
      <c r="K2373" s="11">
        <f t="shared" si="37"/>
        <v>8.4858903879598824E-3</v>
      </c>
    </row>
    <row r="2374" spans="1:11" x14ac:dyDescent="0.2">
      <c r="A2374" s="2">
        <v>45912</v>
      </c>
      <c r="B2374">
        <v>6590.66015625</v>
      </c>
      <c r="C2374">
        <v>6600.2099609375</v>
      </c>
      <c r="D2374">
        <v>6579.490234375</v>
      </c>
      <c r="E2374">
        <v>6584.2900390625</v>
      </c>
      <c r="F2374">
        <v>6584.2900390625</v>
      </c>
      <c r="G2374">
        <v>4641640000</v>
      </c>
      <c r="H2374">
        <v>0</v>
      </c>
      <c r="I2374">
        <v>0</v>
      </c>
      <c r="K2374" s="11">
        <f t="shared" si="37"/>
        <v>-4.8276131466740146E-4</v>
      </c>
    </row>
    <row r="2375" spans="1:11" x14ac:dyDescent="0.2">
      <c r="A2375" s="2">
        <v>45915</v>
      </c>
      <c r="B2375">
        <v>6603.490234375</v>
      </c>
      <c r="C2375">
        <v>6619.6201171875</v>
      </c>
      <c r="D2375">
        <v>6602.06982421875</v>
      </c>
      <c r="E2375">
        <v>6615.27978515625</v>
      </c>
      <c r="F2375">
        <v>6615.27978515625</v>
      </c>
      <c r="G2375">
        <v>5045020000</v>
      </c>
      <c r="H2375">
        <v>0</v>
      </c>
      <c r="I2375">
        <v>0</v>
      </c>
      <c r="K2375" s="11">
        <f t="shared" si="37"/>
        <v>4.7066192269626939E-3</v>
      </c>
    </row>
    <row r="2376" spans="1:11" x14ac:dyDescent="0.2">
      <c r="A2376" s="2">
        <v>45916</v>
      </c>
      <c r="B2376">
        <v>6624.1298828125</v>
      </c>
      <c r="C2376">
        <v>6626.990234375</v>
      </c>
      <c r="D2376">
        <v>6600.10986328125</v>
      </c>
      <c r="E2376">
        <v>6606.759765625</v>
      </c>
      <c r="F2376">
        <v>6606.759765625</v>
      </c>
      <c r="G2376">
        <v>5359510000</v>
      </c>
      <c r="H2376">
        <v>0</v>
      </c>
      <c r="I2376">
        <v>0</v>
      </c>
      <c r="K2376" s="11">
        <f t="shared" si="37"/>
        <v>-1.2879303382402618E-3</v>
      </c>
    </row>
    <row r="2377" spans="1:11" x14ac:dyDescent="0.2">
      <c r="A2377" s="2">
        <v>45917</v>
      </c>
      <c r="B2377">
        <v>6604.8701171875</v>
      </c>
      <c r="C2377">
        <v>6624.39013671875</v>
      </c>
      <c r="D2377">
        <v>6551.14990234375</v>
      </c>
      <c r="E2377">
        <v>6600.35009765625</v>
      </c>
      <c r="F2377">
        <v>6600.35009765625</v>
      </c>
      <c r="G2377">
        <v>5805340000</v>
      </c>
      <c r="H2377">
        <v>0</v>
      </c>
      <c r="I2377">
        <v>0</v>
      </c>
      <c r="K2377" s="11">
        <f t="shared" si="37"/>
        <v>-9.7016816051032073E-4</v>
      </c>
    </row>
    <row r="2378" spans="1:11" x14ac:dyDescent="0.2">
      <c r="A2378" s="2">
        <v>45918</v>
      </c>
      <c r="B2378">
        <v>6626.85009765625</v>
      </c>
      <c r="C2378">
        <v>6656.7998046875</v>
      </c>
      <c r="D2378">
        <v>6611.89013671875</v>
      </c>
      <c r="E2378">
        <v>6631.9599609375</v>
      </c>
      <c r="F2378">
        <v>6631.9599609375</v>
      </c>
      <c r="G2378">
        <v>5292400000</v>
      </c>
      <c r="H2378">
        <v>0</v>
      </c>
      <c r="I2378">
        <v>0</v>
      </c>
      <c r="K2378" s="11">
        <f t="shared" si="37"/>
        <v>4.7891191851283654E-3</v>
      </c>
    </row>
    <row r="2379" spans="1:11" x14ac:dyDescent="0.2">
      <c r="A2379" s="2">
        <v>45919</v>
      </c>
      <c r="B2379">
        <v>6647.10986328125</v>
      </c>
      <c r="C2379">
        <v>6671.81982421875</v>
      </c>
      <c r="D2379">
        <v>6630.31005859375</v>
      </c>
      <c r="E2379">
        <v>6664.35986328125</v>
      </c>
      <c r="F2379">
        <v>6664.35986328125</v>
      </c>
      <c r="G2379">
        <v>9125960000</v>
      </c>
      <c r="H2379">
        <v>0</v>
      </c>
      <c r="I2379">
        <v>0</v>
      </c>
      <c r="K2379" s="11">
        <f t="shared" si="37"/>
        <v>4.8854188708296054E-3</v>
      </c>
    </row>
    <row r="2380" spans="1:11" x14ac:dyDescent="0.2">
      <c r="A2380" s="2">
        <v>45922</v>
      </c>
      <c r="B2380">
        <v>6654.27978515625</v>
      </c>
      <c r="C2380">
        <v>6698.8798828125</v>
      </c>
      <c r="D2380">
        <v>6648.06982421875</v>
      </c>
      <c r="E2380">
        <v>6693.75</v>
      </c>
      <c r="F2380">
        <v>6693.75</v>
      </c>
      <c r="G2380">
        <v>5642620000</v>
      </c>
      <c r="H2380">
        <v>0</v>
      </c>
      <c r="I2380">
        <v>0</v>
      </c>
      <c r="K2380" s="11">
        <f t="shared" si="37"/>
        <v>4.4100464743330736E-3</v>
      </c>
    </row>
    <row r="2381" spans="1:11" x14ac:dyDescent="0.2">
      <c r="A2381" s="2">
        <v>45923</v>
      </c>
      <c r="B2381">
        <v>6692.43994140625</v>
      </c>
      <c r="C2381">
        <v>6699.52001953125</v>
      </c>
      <c r="D2381">
        <v>6645.580078125</v>
      </c>
      <c r="E2381">
        <v>6656.919921875</v>
      </c>
      <c r="F2381">
        <v>6656.919921875</v>
      </c>
      <c r="G2381">
        <v>5633620000</v>
      </c>
      <c r="H2381">
        <v>0</v>
      </c>
      <c r="I2381">
        <v>0</v>
      </c>
      <c r="K2381" s="11">
        <f t="shared" si="37"/>
        <v>-5.5021591970121353E-3</v>
      </c>
    </row>
    <row r="2382" spans="1:11" x14ac:dyDescent="0.2">
      <c r="A2382" s="2">
        <v>45924</v>
      </c>
      <c r="B2382">
        <v>6669.7900390625</v>
      </c>
      <c r="C2382">
        <v>6672.66015625</v>
      </c>
      <c r="D2382">
        <v>6621.759765625</v>
      </c>
      <c r="E2382">
        <v>6637.97021484375</v>
      </c>
      <c r="F2382">
        <v>6637.97021484375</v>
      </c>
      <c r="G2382">
        <v>5459180000</v>
      </c>
      <c r="H2382">
        <v>0</v>
      </c>
      <c r="I2382">
        <v>0</v>
      </c>
      <c r="K2382" s="11">
        <f t="shared" si="37"/>
        <v>-2.8466178433332878E-3</v>
      </c>
    </row>
    <row r="2383" spans="1:11" x14ac:dyDescent="0.2">
      <c r="A2383" s="2">
        <v>45925</v>
      </c>
      <c r="B2383">
        <v>6608.18994140625</v>
      </c>
      <c r="C2383">
        <v>6619</v>
      </c>
      <c r="D2383">
        <v>6569.22021484375</v>
      </c>
      <c r="E2383">
        <v>6604.72021484375</v>
      </c>
      <c r="F2383">
        <v>6604.72021484375</v>
      </c>
      <c r="G2383">
        <v>5874670000</v>
      </c>
      <c r="H2383">
        <v>0</v>
      </c>
      <c r="I2383">
        <v>0</v>
      </c>
      <c r="K2383" s="11">
        <f t="shared" si="37"/>
        <v>-5.0090613431266195E-3</v>
      </c>
    </row>
    <row r="2384" spans="1:11" x14ac:dyDescent="0.2">
      <c r="A2384" s="2">
        <v>45926</v>
      </c>
      <c r="B2384">
        <v>6615.3798828125</v>
      </c>
      <c r="C2384">
        <v>6648.97021484375</v>
      </c>
      <c r="D2384">
        <v>6604.43017578125</v>
      </c>
      <c r="E2384">
        <v>6643.7001953125</v>
      </c>
      <c r="F2384">
        <v>6643.7001953125</v>
      </c>
      <c r="G2384">
        <v>5103110000</v>
      </c>
      <c r="H2384">
        <v>0</v>
      </c>
      <c r="I2384">
        <v>0</v>
      </c>
      <c r="K2384" s="11">
        <f t="shared" si="37"/>
        <v>5.9018367471712629E-3</v>
      </c>
    </row>
    <row r="2385" spans="1:11" x14ac:dyDescent="0.2">
      <c r="A2385" s="2">
        <v>45929</v>
      </c>
      <c r="B2385">
        <v>6661.580078125</v>
      </c>
      <c r="C2385">
        <v>6677.31005859375</v>
      </c>
      <c r="D2385">
        <v>6644.490234375</v>
      </c>
      <c r="E2385">
        <v>6661.2099609375</v>
      </c>
      <c r="F2385">
        <v>6661.2099609375</v>
      </c>
      <c r="G2385">
        <v>5358760000</v>
      </c>
      <c r="H2385">
        <v>0</v>
      </c>
      <c r="I2385">
        <v>0</v>
      </c>
      <c r="K2385" s="11">
        <f t="shared" si="37"/>
        <v>2.6355442163621401E-3</v>
      </c>
    </row>
    <row r="2386" spans="1:11" x14ac:dyDescent="0.2">
      <c r="A2386" s="2">
        <v>45930</v>
      </c>
      <c r="B2386">
        <v>6656.18994140625</v>
      </c>
      <c r="C2386">
        <v>6691.25</v>
      </c>
      <c r="D2386">
        <v>6641</v>
      </c>
      <c r="E2386">
        <v>6688.4599609375</v>
      </c>
      <c r="F2386">
        <v>6688.4599609375</v>
      </c>
      <c r="G2386">
        <v>6057210000</v>
      </c>
      <c r="H2386">
        <v>0</v>
      </c>
      <c r="I2386">
        <v>0</v>
      </c>
      <c r="K2386" s="11">
        <f t="shared" si="37"/>
        <v>4.0908483833717035E-3</v>
      </c>
    </row>
    <row r="2387" spans="1:11" x14ac:dyDescent="0.2">
      <c r="A2387" s="2">
        <v>45931</v>
      </c>
      <c r="B2387">
        <v>6664.919921875</v>
      </c>
      <c r="C2387">
        <v>6718.47998046875</v>
      </c>
      <c r="D2387">
        <v>6656.2001953125</v>
      </c>
      <c r="E2387">
        <v>6711.2001953125</v>
      </c>
      <c r="F2387">
        <v>6711.2001953125</v>
      </c>
      <c r="G2387">
        <v>6037950000</v>
      </c>
      <c r="H2387">
        <v>0</v>
      </c>
      <c r="I2387">
        <v>0</v>
      </c>
      <c r="K2387" s="11">
        <f t="shared" si="37"/>
        <v>3.3999208349619892E-3</v>
      </c>
    </row>
    <row r="2388" spans="1:11" x14ac:dyDescent="0.2">
      <c r="A2388" s="2">
        <v>45932</v>
      </c>
      <c r="B2388">
        <v>6731.31005859375</v>
      </c>
      <c r="C2388">
        <v>6731.93994140625</v>
      </c>
      <c r="D2388">
        <v>6693.22998046875</v>
      </c>
      <c r="E2388">
        <v>6715.35009765625</v>
      </c>
      <c r="F2388">
        <v>6715.35009765625</v>
      </c>
      <c r="G2388">
        <v>5416130000</v>
      </c>
      <c r="H2388">
        <v>0</v>
      </c>
      <c r="I2388">
        <v>0</v>
      </c>
      <c r="K2388" s="11">
        <f t="shared" si="37"/>
        <v>6.1835472389115687E-4</v>
      </c>
    </row>
    <row r="2389" spans="1:11" x14ac:dyDescent="0.2">
      <c r="A2389" s="2">
        <v>45933</v>
      </c>
      <c r="B2389">
        <v>6722.14013671875</v>
      </c>
      <c r="C2389">
        <v>6750.8701171875</v>
      </c>
      <c r="D2389">
        <v>6705.669921875</v>
      </c>
      <c r="E2389">
        <v>6715.7900390625</v>
      </c>
      <c r="F2389">
        <v>6715.7900390625</v>
      </c>
      <c r="G2389">
        <v>5713110000</v>
      </c>
      <c r="H2389">
        <v>0</v>
      </c>
      <c r="I2389">
        <v>0</v>
      </c>
      <c r="K2389" s="11">
        <f t="shared" si="37"/>
        <v>6.5512802735812059E-5</v>
      </c>
    </row>
    <row r="2390" spans="1:11" x14ac:dyDescent="0.2">
      <c r="A2390" s="2">
        <v>45936</v>
      </c>
      <c r="B2390">
        <v>6733.85986328125</v>
      </c>
      <c r="C2390">
        <v>6749.52001953125</v>
      </c>
      <c r="D2390">
        <v>6717.77978515625</v>
      </c>
      <c r="E2390">
        <v>6740.27978515625</v>
      </c>
      <c r="F2390">
        <v>6740.27978515625</v>
      </c>
      <c r="G2390">
        <v>5604460000</v>
      </c>
      <c r="H2390">
        <v>0</v>
      </c>
      <c r="I2390">
        <v>0</v>
      </c>
      <c r="K2390" s="11">
        <f t="shared" si="37"/>
        <v>3.6465919796933033E-3</v>
      </c>
    </row>
    <row r="2391" spans="1:11" x14ac:dyDescent="0.2">
      <c r="A2391" s="2">
        <v>45937</v>
      </c>
      <c r="B2391">
        <v>6746.14013671875</v>
      </c>
      <c r="C2391">
        <v>6754.490234375</v>
      </c>
      <c r="D2391">
        <v>6699.9599609375</v>
      </c>
      <c r="E2391">
        <v>6714.58984375</v>
      </c>
      <c r="F2391">
        <v>6714.58984375</v>
      </c>
      <c r="G2391">
        <v>5546150000</v>
      </c>
      <c r="H2391">
        <v>0</v>
      </c>
      <c r="I2391">
        <v>0</v>
      </c>
      <c r="K2391" s="11">
        <f t="shared" si="37"/>
        <v>-3.8114057910215715E-3</v>
      </c>
    </row>
    <row r="2392" spans="1:11" x14ac:dyDescent="0.2">
      <c r="A2392" s="2">
        <v>45938</v>
      </c>
      <c r="B2392">
        <v>6723.8701171875</v>
      </c>
      <c r="C2392">
        <v>6755.64013671875</v>
      </c>
      <c r="D2392">
        <v>6718.08984375</v>
      </c>
      <c r="E2392">
        <v>6753.72021484375</v>
      </c>
      <c r="F2392">
        <v>6753.72021484375</v>
      </c>
      <c r="G2392">
        <v>5383130000</v>
      </c>
      <c r="H2392">
        <v>0</v>
      </c>
      <c r="I2392">
        <v>0</v>
      </c>
      <c r="K2392" s="11">
        <f t="shared" si="37"/>
        <v>5.8276636405680815E-3</v>
      </c>
    </row>
    <row r="2393" spans="1:11" x14ac:dyDescent="0.2">
      <c r="A2393" s="2">
        <v>45939</v>
      </c>
      <c r="B2393">
        <v>6760.5</v>
      </c>
      <c r="C2393">
        <v>6764.580078125</v>
      </c>
      <c r="D2393">
        <v>6716.169921875</v>
      </c>
      <c r="E2393">
        <v>6735.10986328125</v>
      </c>
      <c r="F2393">
        <v>6735.10986328125</v>
      </c>
      <c r="G2393">
        <v>5385020000</v>
      </c>
      <c r="H2393">
        <v>0</v>
      </c>
      <c r="I2393">
        <v>0</v>
      </c>
      <c r="K2393" s="11">
        <f t="shared" si="37"/>
        <v>-2.755570407195318E-3</v>
      </c>
    </row>
    <row r="2394" spans="1:11" x14ac:dyDescent="0.2">
      <c r="A2394" s="2">
        <v>45940</v>
      </c>
      <c r="B2394">
        <v>6740.490234375</v>
      </c>
      <c r="C2394">
        <v>6762.39990234375</v>
      </c>
      <c r="D2394">
        <v>6550.77978515625</v>
      </c>
      <c r="E2394">
        <v>6552.509765625</v>
      </c>
      <c r="F2394">
        <v>6552.509765625</v>
      </c>
      <c r="G2394">
        <v>6596610000</v>
      </c>
      <c r="H2394">
        <v>0</v>
      </c>
      <c r="I2394">
        <v>0</v>
      </c>
      <c r="K2394" s="11">
        <f t="shared" si="37"/>
        <v>-2.7111673211413612E-2</v>
      </c>
    </row>
    <row r="2395" spans="1:11" x14ac:dyDescent="0.2">
      <c r="A2395" s="2">
        <v>45943</v>
      </c>
      <c r="B2395">
        <v>6622.52978515625</v>
      </c>
      <c r="C2395">
        <v>6668.68017578125</v>
      </c>
      <c r="D2395">
        <v>6620.7099609375</v>
      </c>
      <c r="E2395">
        <v>6654.72021484375</v>
      </c>
      <c r="F2395">
        <v>6654.72021484375</v>
      </c>
      <c r="G2395">
        <v>5303960000</v>
      </c>
      <c r="H2395">
        <v>0</v>
      </c>
      <c r="I2395">
        <v>0</v>
      </c>
      <c r="K2395" s="11">
        <f t="shared" si="37"/>
        <v>1.5598671787557583E-2</v>
      </c>
    </row>
    <row r="2396" spans="1:11" x14ac:dyDescent="0.2">
      <c r="A2396" s="2">
        <v>45944</v>
      </c>
      <c r="B2396">
        <v>6602.490234375</v>
      </c>
      <c r="C2396">
        <v>6680.7001953125</v>
      </c>
      <c r="D2396">
        <v>6555.06982421875</v>
      </c>
      <c r="E2396">
        <v>6644.31005859375</v>
      </c>
      <c r="F2396">
        <v>6644.31005859375</v>
      </c>
      <c r="G2396">
        <v>5666920000</v>
      </c>
      <c r="H2396">
        <v>0</v>
      </c>
      <c r="I2396">
        <v>0</v>
      </c>
      <c r="K2396" s="11">
        <f t="shared" si="37"/>
        <v>-1.5643266604626893E-3</v>
      </c>
    </row>
    <row r="2397" spans="1:11" x14ac:dyDescent="0.2">
      <c r="A2397" s="2">
        <v>45945</v>
      </c>
      <c r="B2397">
        <v>6688.27001953125</v>
      </c>
      <c r="C2397">
        <v>6724.1201171875</v>
      </c>
      <c r="D2397">
        <v>6612.10986328125</v>
      </c>
      <c r="E2397">
        <v>6671.06005859375</v>
      </c>
      <c r="F2397">
        <v>6671.06005859375</v>
      </c>
      <c r="G2397">
        <v>5633060000</v>
      </c>
      <c r="H2397">
        <v>0</v>
      </c>
      <c r="I2397">
        <v>0</v>
      </c>
      <c r="K2397" s="11">
        <f t="shared" si="37"/>
        <v>4.0260011595036893E-3</v>
      </c>
    </row>
    <row r="2398" spans="1:11" x14ac:dyDescent="0.2">
      <c r="A2398" s="2">
        <v>45946</v>
      </c>
      <c r="B2398">
        <v>6689.02001953125</v>
      </c>
      <c r="C2398">
        <v>6709.33984375</v>
      </c>
      <c r="D2398">
        <v>6593.990234375</v>
      </c>
      <c r="E2398">
        <v>6629.06982421875</v>
      </c>
      <c r="F2398">
        <v>6629.06982421875</v>
      </c>
      <c r="G2398">
        <v>6048180000</v>
      </c>
      <c r="H2398">
        <v>0</v>
      </c>
      <c r="I2398">
        <v>0</v>
      </c>
      <c r="K2398" s="11">
        <f t="shared" si="37"/>
        <v>-6.2943870998294349E-3</v>
      </c>
    </row>
    <row r="2399" spans="1:11" x14ac:dyDescent="0.2">
      <c r="A2399" s="2">
        <v>45947</v>
      </c>
      <c r="B2399">
        <v>6613.27001953125</v>
      </c>
      <c r="C2399">
        <v>6678.8798828125</v>
      </c>
      <c r="D2399">
        <v>6603.759765625</v>
      </c>
      <c r="E2399">
        <v>6664.009765625</v>
      </c>
      <c r="F2399">
        <v>6664.009765625</v>
      </c>
      <c r="G2399">
        <v>5358120000</v>
      </c>
      <c r="H2399">
        <v>0</v>
      </c>
      <c r="I2399">
        <v>0</v>
      </c>
      <c r="K2399" s="11">
        <f t="shared" si="37"/>
        <v>5.2707155502571545E-3</v>
      </c>
    </row>
    <row r="2400" spans="1:11" x14ac:dyDescent="0.2">
      <c r="A2400" s="2">
        <v>45950</v>
      </c>
      <c r="B2400">
        <v>6690.0498046875</v>
      </c>
      <c r="C2400">
        <v>6744.35009765625</v>
      </c>
      <c r="D2400">
        <v>6690.0498046875</v>
      </c>
      <c r="E2400">
        <v>6735.1298828125</v>
      </c>
      <c r="F2400">
        <v>6735.1298828125</v>
      </c>
      <c r="G2400">
        <v>4672170000</v>
      </c>
      <c r="H2400">
        <v>0</v>
      </c>
      <c r="I2400">
        <v>0</v>
      </c>
      <c r="K2400" s="11">
        <f t="shared" si="37"/>
        <v>1.0672270853256949E-2</v>
      </c>
    </row>
    <row r="2401" spans="1:11" x14ac:dyDescent="0.2">
      <c r="A2401" s="2">
        <v>45951</v>
      </c>
      <c r="B2401">
        <v>6736.75</v>
      </c>
      <c r="C2401">
        <v>6752.16015625</v>
      </c>
      <c r="D2401">
        <v>6722.02978515625</v>
      </c>
      <c r="E2401">
        <v>6735.35009765625</v>
      </c>
      <c r="F2401">
        <v>6735.35009765625</v>
      </c>
      <c r="G2401">
        <v>5245020000</v>
      </c>
      <c r="H2401">
        <v>0</v>
      </c>
      <c r="I2401">
        <v>0</v>
      </c>
      <c r="K2401" s="11">
        <f t="shared" si="37"/>
        <v>3.2696450934288634E-5</v>
      </c>
    </row>
    <row r="2402" spans="1:11" x14ac:dyDescent="0.2">
      <c r="A2402" s="2">
        <v>45952</v>
      </c>
      <c r="B2402">
        <v>6741.33984375</v>
      </c>
      <c r="C2402">
        <v>6741.75</v>
      </c>
      <c r="D2402">
        <v>6655.68994140625</v>
      </c>
      <c r="E2402">
        <v>6699.39990234375</v>
      </c>
      <c r="F2402">
        <v>6699.39990234375</v>
      </c>
      <c r="G2402">
        <v>5710010000</v>
      </c>
      <c r="H2402">
        <v>0</v>
      </c>
      <c r="I2402">
        <v>0</v>
      </c>
      <c r="K2402" s="11">
        <f t="shared" si="37"/>
        <v>-5.3375392208654393E-3</v>
      </c>
    </row>
    <row r="2403" spans="1:11" x14ac:dyDescent="0.2">
      <c r="A2403" s="2">
        <v>45953</v>
      </c>
      <c r="B2403">
        <v>6703.64990234375</v>
      </c>
      <c r="C2403">
        <v>6749.52978515625</v>
      </c>
      <c r="D2403">
        <v>6700.14013671875</v>
      </c>
      <c r="E2403">
        <v>6738.43994140625</v>
      </c>
      <c r="F2403">
        <v>6738.43994140625</v>
      </c>
      <c r="G2403">
        <v>5565750000</v>
      </c>
      <c r="H2403">
        <v>0</v>
      </c>
      <c r="I2403">
        <v>0</v>
      </c>
      <c r="K2403" s="11">
        <f t="shared" si="37"/>
        <v>5.8273934429324825E-3</v>
      </c>
    </row>
    <row r="2404" spans="1:11" x14ac:dyDescent="0.2">
      <c r="A2404" s="2">
        <v>45954</v>
      </c>
      <c r="B2404">
        <v>6772.06982421875</v>
      </c>
      <c r="C2404">
        <v>6807.10986328125</v>
      </c>
      <c r="D2404">
        <v>6772.06982421875</v>
      </c>
      <c r="E2404">
        <v>6791.68994140625</v>
      </c>
      <c r="F2404">
        <v>6791.68994140625</v>
      </c>
      <c r="G2404">
        <v>5058220000</v>
      </c>
      <c r="H2404">
        <v>0</v>
      </c>
      <c r="I2404">
        <v>0</v>
      </c>
      <c r="K2404" s="11">
        <f t="shared" si="37"/>
        <v>7.9024225878738807E-3</v>
      </c>
    </row>
    <row r="2405" spans="1:11" x14ac:dyDescent="0.2">
      <c r="A2405" s="2">
        <v>45957</v>
      </c>
      <c r="B2405">
        <v>6845.4599609375</v>
      </c>
      <c r="C2405">
        <v>6877.27978515625</v>
      </c>
      <c r="D2405">
        <v>6843.93994140625</v>
      </c>
      <c r="E2405">
        <v>6875.16015625</v>
      </c>
      <c r="F2405">
        <v>6875.16015625</v>
      </c>
      <c r="G2405">
        <v>5290650000</v>
      </c>
      <c r="H2405">
        <v>0</v>
      </c>
      <c r="I2405">
        <v>0</v>
      </c>
      <c r="K2405" s="11">
        <f t="shared" si="37"/>
        <v>1.2290050865671143E-2</v>
      </c>
    </row>
    <row r="2406" spans="1:11" x14ac:dyDescent="0.2">
      <c r="A2406" s="2">
        <v>45958</v>
      </c>
      <c r="B2406">
        <v>6897.740234375</v>
      </c>
      <c r="C2406">
        <v>6911.2998046875</v>
      </c>
      <c r="D2406">
        <v>6870.72998046875</v>
      </c>
      <c r="E2406">
        <v>6890.89013671875</v>
      </c>
      <c r="F2406">
        <v>6890.89013671875</v>
      </c>
      <c r="G2406">
        <v>5695930000</v>
      </c>
      <c r="H2406">
        <v>0</v>
      </c>
      <c r="I2406">
        <v>0</v>
      </c>
      <c r="K2406" s="11">
        <f t="shared" si="37"/>
        <v>2.2879438603986557E-3</v>
      </c>
    </row>
    <row r="2407" spans="1:11" x14ac:dyDescent="0.2">
      <c r="A2407" s="2">
        <v>45959</v>
      </c>
      <c r="B2407">
        <v>6910.9501953125</v>
      </c>
      <c r="C2407">
        <v>6920.33984375</v>
      </c>
      <c r="D2407">
        <v>6851.91015625</v>
      </c>
      <c r="E2407">
        <v>6890.58984375</v>
      </c>
      <c r="F2407">
        <v>6890.58984375</v>
      </c>
      <c r="G2407">
        <v>6280130000</v>
      </c>
      <c r="H2407">
        <v>0</v>
      </c>
      <c r="I2407">
        <v>0</v>
      </c>
      <c r="K2407" s="11">
        <f t="shared" si="37"/>
        <v>-4.3578255173426506E-5</v>
      </c>
    </row>
    <row r="2408" spans="1:11" x14ac:dyDescent="0.2">
      <c r="A2408" s="2">
        <v>45960</v>
      </c>
      <c r="B2408">
        <v>6860.5</v>
      </c>
      <c r="C2408">
        <v>6880.75</v>
      </c>
      <c r="D2408">
        <v>6820.68994140625</v>
      </c>
      <c r="E2408">
        <v>6822.33984375</v>
      </c>
      <c r="F2408">
        <v>6822.33984375</v>
      </c>
      <c r="G2408">
        <v>6052700000</v>
      </c>
      <c r="H2408">
        <v>0</v>
      </c>
      <c r="I2408">
        <v>0</v>
      </c>
      <c r="K2408" s="11">
        <f t="shared" si="37"/>
        <v>-9.9048124395192394E-3</v>
      </c>
    </row>
    <row r="2409" spans="1:11" x14ac:dyDescent="0.2">
      <c r="A2409" s="2">
        <v>45961</v>
      </c>
      <c r="B2409">
        <v>6879.169921875</v>
      </c>
      <c r="C2409">
        <v>6879.169921875</v>
      </c>
      <c r="D2409">
        <v>6814.259765625</v>
      </c>
      <c r="E2409">
        <v>6840.2001953125</v>
      </c>
      <c r="F2409">
        <v>6840.2001953125</v>
      </c>
      <c r="G2409">
        <v>6398280000</v>
      </c>
      <c r="H2409">
        <v>0</v>
      </c>
      <c r="I2409">
        <v>0</v>
      </c>
      <c r="K2409" s="11">
        <f t="shared" si="37"/>
        <v>2.6179217059763005E-3</v>
      </c>
    </row>
    <row r="2410" spans="1:11" x14ac:dyDescent="0.2">
      <c r="A2410" s="2">
        <v>45964</v>
      </c>
      <c r="B2410">
        <v>6882.31982421875</v>
      </c>
      <c r="C2410">
        <v>6882.31982421875</v>
      </c>
      <c r="D2410">
        <v>6820.6201171875</v>
      </c>
      <c r="E2410">
        <v>6851.97021484375</v>
      </c>
      <c r="F2410">
        <v>6851.97021484375</v>
      </c>
      <c r="G2410">
        <v>6065720000</v>
      </c>
      <c r="H2410">
        <v>0</v>
      </c>
      <c r="I2410">
        <v>0</v>
      </c>
      <c r="K2410" s="11">
        <f t="shared" si="37"/>
        <v>1.7207127269924793E-3</v>
      </c>
    </row>
    <row r="2411" spans="1:11" x14ac:dyDescent="0.2">
      <c r="A2411" s="2">
        <v>45965</v>
      </c>
      <c r="B2411">
        <v>6788.52001953125</v>
      </c>
      <c r="C2411">
        <v>6820.2099609375</v>
      </c>
      <c r="D2411">
        <v>6766.7099609375</v>
      </c>
      <c r="E2411">
        <v>6771.5498046875</v>
      </c>
      <c r="F2411">
        <v>6771.5498046875</v>
      </c>
      <c r="G2411">
        <v>5739510000</v>
      </c>
      <c r="H2411">
        <v>0</v>
      </c>
      <c r="I2411">
        <v>0</v>
      </c>
      <c r="K2411" s="11">
        <f t="shared" si="37"/>
        <v>-1.1736830084583816E-2</v>
      </c>
    </row>
    <row r="2412" spans="1:11" x14ac:dyDescent="0.2">
      <c r="A2412" s="2">
        <v>45966</v>
      </c>
      <c r="B2412">
        <v>6769.77001953125</v>
      </c>
      <c r="C2412">
        <v>6829.77978515625</v>
      </c>
      <c r="D2412">
        <v>6763.10986328125</v>
      </c>
      <c r="E2412">
        <v>6796.2900390625</v>
      </c>
      <c r="F2412">
        <v>6796.2900390625</v>
      </c>
      <c r="G2412">
        <v>5939600000</v>
      </c>
      <c r="H2412">
        <v>0</v>
      </c>
      <c r="I2412">
        <v>0</v>
      </c>
      <c r="K2412" s="11">
        <f t="shared" si="37"/>
        <v>3.6535556982648654E-3</v>
      </c>
    </row>
    <row r="2413" spans="1:11" x14ac:dyDescent="0.2">
      <c r="A2413" s="2">
        <v>45967</v>
      </c>
      <c r="B2413">
        <v>6787.58984375</v>
      </c>
      <c r="C2413">
        <v>6796.68017578125</v>
      </c>
      <c r="D2413">
        <v>6707.509765625</v>
      </c>
      <c r="E2413">
        <v>6720.31982421875</v>
      </c>
      <c r="F2413">
        <v>6720.31982421875</v>
      </c>
      <c r="G2413">
        <v>6051900000</v>
      </c>
      <c r="H2413">
        <v>0</v>
      </c>
      <c r="I2413">
        <v>0</v>
      </c>
      <c r="K2413" s="11">
        <f t="shared" si="37"/>
        <v>-1.1178189042419073E-2</v>
      </c>
    </row>
    <row r="2414" spans="1:11" x14ac:dyDescent="0.2">
      <c r="A2414" s="2">
        <v>45968</v>
      </c>
      <c r="B2414">
        <v>6696.18017578125</v>
      </c>
      <c r="C2414">
        <v>6730.10986328125</v>
      </c>
      <c r="D2414">
        <v>6631.43994140625</v>
      </c>
      <c r="E2414">
        <v>6728.7998046875</v>
      </c>
      <c r="F2414">
        <v>6728.7998046875</v>
      </c>
      <c r="G2414">
        <v>5926070000</v>
      </c>
      <c r="H2414">
        <v>0</v>
      </c>
      <c r="I2414">
        <v>0</v>
      </c>
      <c r="K2414" s="11">
        <f t="shared" si="37"/>
        <v>1.2618418007710464E-3</v>
      </c>
    </row>
    <row r="2415" spans="1:11" x14ac:dyDescent="0.2">
      <c r="A2415" s="2">
        <v>45971</v>
      </c>
      <c r="B2415">
        <v>6785.35986328125</v>
      </c>
      <c r="C2415">
        <v>6841.31982421875</v>
      </c>
      <c r="D2415">
        <v>6770.56005859375</v>
      </c>
      <c r="E2415">
        <v>6832.43017578125</v>
      </c>
      <c r="F2415">
        <v>6832.43017578125</v>
      </c>
      <c r="G2415">
        <v>5366050000</v>
      </c>
      <c r="H2415">
        <v>0</v>
      </c>
      <c r="I2415">
        <v>0</v>
      </c>
      <c r="K2415" s="11">
        <f t="shared" si="37"/>
        <v>1.540101862170995E-2</v>
      </c>
    </row>
    <row r="2416" spans="1:11" x14ac:dyDescent="0.2">
      <c r="A2416" s="2">
        <v>45972</v>
      </c>
      <c r="B2416">
        <v>6815.64013671875</v>
      </c>
      <c r="C2416">
        <v>6855.1298828125</v>
      </c>
      <c r="D2416">
        <v>6806.8701171875</v>
      </c>
      <c r="E2416">
        <v>6846.60986328125</v>
      </c>
      <c r="F2416">
        <v>6846.60986328125</v>
      </c>
      <c r="G2416">
        <v>4983490000</v>
      </c>
      <c r="H2416">
        <v>0</v>
      </c>
      <c r="I2416">
        <v>0</v>
      </c>
      <c r="K2416" s="11">
        <f t="shared" si="37"/>
        <v>2.0753505173405351E-3</v>
      </c>
    </row>
    <row r="2417" spans="1:11" x14ac:dyDescent="0.2">
      <c r="A2417" s="2">
        <v>45973</v>
      </c>
      <c r="B2417">
        <v>6867.77001953125</v>
      </c>
      <c r="C2417">
        <v>6869.91015625</v>
      </c>
      <c r="D2417">
        <v>6829.6201171875</v>
      </c>
      <c r="E2417">
        <v>6850.919921875</v>
      </c>
      <c r="F2417">
        <v>6850.919921875</v>
      </c>
      <c r="G2417">
        <v>5293610000</v>
      </c>
      <c r="H2417">
        <v>0</v>
      </c>
      <c r="I2417">
        <v>0</v>
      </c>
      <c r="K2417" s="11">
        <f t="shared" si="37"/>
        <v>6.2951718877179985E-4</v>
      </c>
    </row>
    <row r="2418" spans="1:11" x14ac:dyDescent="0.2">
      <c r="A2418" s="2">
        <v>45974</v>
      </c>
      <c r="B2418">
        <v>6826.47021484375</v>
      </c>
      <c r="C2418">
        <v>6828.0498046875</v>
      </c>
      <c r="D2418">
        <v>6724.72021484375</v>
      </c>
      <c r="E2418">
        <v>6737.490234375</v>
      </c>
      <c r="F2418">
        <v>6737.490234375</v>
      </c>
      <c r="G2418">
        <v>5473720000</v>
      </c>
      <c r="H2418">
        <v>0</v>
      </c>
      <c r="I2418">
        <v>0</v>
      </c>
      <c r="K2418" s="11">
        <f t="shared" si="37"/>
        <v>-1.6556854961596978E-2</v>
      </c>
    </row>
    <row r="2419" spans="1:11" x14ac:dyDescent="0.2">
      <c r="A2419" s="2">
        <v>45975</v>
      </c>
      <c r="B2419">
        <v>6672.14013671875</v>
      </c>
      <c r="C2419">
        <v>6774.31005859375</v>
      </c>
      <c r="D2419">
        <v>6646.8701171875</v>
      </c>
      <c r="E2419">
        <v>6734.10986328125</v>
      </c>
      <c r="F2419">
        <v>6734.10986328125</v>
      </c>
      <c r="G2419">
        <v>5042660000</v>
      </c>
      <c r="H2419">
        <v>0</v>
      </c>
      <c r="I2419">
        <v>0</v>
      </c>
      <c r="K2419" s="11">
        <f t="shared" si="37"/>
        <v>-5.0172556488514708E-4</v>
      </c>
    </row>
    <row r="2420" spans="1:11" x14ac:dyDescent="0.2">
      <c r="A2420" s="2">
        <v>45978</v>
      </c>
      <c r="B2420">
        <v>6713.60986328125</v>
      </c>
      <c r="C2420">
        <v>6754.5</v>
      </c>
      <c r="D2420">
        <v>6638.89990234375</v>
      </c>
      <c r="E2420">
        <v>6672.41015625</v>
      </c>
      <c r="F2420">
        <v>6672.41015625</v>
      </c>
      <c r="G2420">
        <v>5204220000</v>
      </c>
      <c r="H2420">
        <v>0</v>
      </c>
      <c r="I2420">
        <v>0</v>
      </c>
      <c r="K2420" s="11">
        <f t="shared" si="37"/>
        <v>-9.1622661768078206E-3</v>
      </c>
    </row>
    <row r="2421" spans="1:11" x14ac:dyDescent="0.2">
      <c r="A2421" s="2">
        <v>45979</v>
      </c>
      <c r="B2421">
        <v>6641.18994140625</v>
      </c>
      <c r="C2421">
        <v>6666.6298828125</v>
      </c>
      <c r="D2421">
        <v>6574.31982421875</v>
      </c>
      <c r="E2421">
        <v>6617.31982421875</v>
      </c>
      <c r="F2421">
        <v>6617.31982421875</v>
      </c>
      <c r="G2421">
        <v>5159390000</v>
      </c>
      <c r="H2421">
        <v>0</v>
      </c>
      <c r="I2421">
        <v>0</v>
      </c>
      <c r="K2421" s="11">
        <f t="shared" si="37"/>
        <v>-8.2564366909679832E-3</v>
      </c>
    </row>
    <row r="2422" spans="1:11" x14ac:dyDescent="0.2">
      <c r="A2422" s="2">
        <v>45980</v>
      </c>
      <c r="B2422">
        <v>6625.83984375</v>
      </c>
      <c r="C2422">
        <v>6689.75</v>
      </c>
      <c r="D2422">
        <v>6603.5</v>
      </c>
      <c r="E2422">
        <v>6642.16015625</v>
      </c>
      <c r="F2422">
        <v>6642.16015625</v>
      </c>
      <c r="G2422">
        <v>5021610000</v>
      </c>
      <c r="H2422">
        <v>0</v>
      </c>
      <c r="I2422">
        <v>0</v>
      </c>
      <c r="K2422" s="11">
        <f t="shared" si="37"/>
        <v>3.7538357962292324E-3</v>
      </c>
    </row>
    <row r="2423" spans="1:11" x14ac:dyDescent="0.2">
      <c r="A2423" s="2">
        <v>45981</v>
      </c>
      <c r="B2423">
        <v>6737.93017578125</v>
      </c>
      <c r="C2423">
        <v>6770.35009765625</v>
      </c>
      <c r="D2423">
        <v>6534.0498046875</v>
      </c>
      <c r="E2423">
        <v>6538.759765625</v>
      </c>
      <c r="F2423">
        <v>6538.759765625</v>
      </c>
      <c r="G2423">
        <v>5596080000</v>
      </c>
      <c r="H2423">
        <v>0</v>
      </c>
      <c r="I2423">
        <v>0</v>
      </c>
      <c r="K2423" s="11">
        <f t="shared" si="37"/>
        <v>-1.5567283563270418E-2</v>
      </c>
    </row>
    <row r="2424" spans="1:11" x14ac:dyDescent="0.2">
      <c r="A2424" s="2">
        <v>45982</v>
      </c>
      <c r="B2424">
        <v>6555.77001953125</v>
      </c>
      <c r="C2424">
        <v>6660.0498046875</v>
      </c>
      <c r="D2424">
        <v>6521.919921875</v>
      </c>
      <c r="E2424">
        <v>6602.990234375</v>
      </c>
      <c r="F2424">
        <v>6602.990234375</v>
      </c>
      <c r="G2424">
        <v>5929930000</v>
      </c>
      <c r="H2424">
        <v>0</v>
      </c>
      <c r="I2424">
        <v>0</v>
      </c>
      <c r="K2424" s="11">
        <f t="shared" si="37"/>
        <v>9.823035415319481E-3</v>
      </c>
    </row>
    <row r="2425" spans="1:11" x14ac:dyDescent="0.2">
      <c r="A2425" s="2">
        <v>45985</v>
      </c>
      <c r="B2425">
        <v>6636.5400390625</v>
      </c>
      <c r="C2425">
        <v>6715.75</v>
      </c>
      <c r="D2425">
        <v>6630.7001953125</v>
      </c>
      <c r="E2425">
        <v>6705.1201171875</v>
      </c>
      <c r="F2425">
        <v>6705.1201171875</v>
      </c>
      <c r="G2425">
        <v>6039740000</v>
      </c>
      <c r="H2425">
        <v>0</v>
      </c>
      <c r="I2425">
        <v>0</v>
      </c>
      <c r="K2425" s="11">
        <f t="shared" si="37"/>
        <v>1.5467217001293498E-2</v>
      </c>
    </row>
    <row r="2426" spans="1:11" x14ac:dyDescent="0.2">
      <c r="A2426" s="2">
        <v>45986</v>
      </c>
      <c r="B2426">
        <v>6697.02978515625</v>
      </c>
      <c r="C2426">
        <v>6776.39990234375</v>
      </c>
      <c r="D2426">
        <v>6659.97998046875</v>
      </c>
      <c r="E2426">
        <v>6765.8798828125</v>
      </c>
      <c r="F2426">
        <v>6765.8798828125</v>
      </c>
      <c r="G2426">
        <v>5003330000</v>
      </c>
      <c r="H2426">
        <v>0</v>
      </c>
      <c r="I2426">
        <v>0</v>
      </c>
      <c r="K2426" s="11">
        <f t="shared" si="37"/>
        <v>9.061696817220577E-3</v>
      </c>
    </row>
    <row r="2427" spans="1:11" x14ac:dyDescent="0.2">
      <c r="A2427" s="2">
        <v>45987</v>
      </c>
      <c r="B2427">
        <v>6793.5498046875</v>
      </c>
      <c r="C2427">
        <v>6831.43994140625</v>
      </c>
      <c r="D2427">
        <v>6783.8701171875</v>
      </c>
      <c r="E2427">
        <v>6812.60986328125</v>
      </c>
      <c r="F2427">
        <v>6812.60986328125</v>
      </c>
      <c r="G2427">
        <v>4485000000</v>
      </c>
      <c r="H2427">
        <v>0</v>
      </c>
      <c r="I2427">
        <v>0</v>
      </c>
      <c r="K2427" s="11">
        <f t="shared" si="37"/>
        <v>6.9067115110126309E-3</v>
      </c>
    </row>
    <row r="2428" spans="1:11" x14ac:dyDescent="0.2">
      <c r="A2428" s="2">
        <v>45989</v>
      </c>
      <c r="B2428">
        <v>6822.52001953125</v>
      </c>
      <c r="C2428">
        <v>6850.85986328125</v>
      </c>
      <c r="D2428">
        <v>6819.75</v>
      </c>
      <c r="E2428">
        <v>6849.08984375</v>
      </c>
      <c r="F2428">
        <v>6849.08984375</v>
      </c>
      <c r="G2428">
        <v>2558540000</v>
      </c>
      <c r="H2428">
        <v>0</v>
      </c>
      <c r="I2428">
        <v>0</v>
      </c>
      <c r="K2428" s="11">
        <f t="shared" si="37"/>
        <v>5.3547731634202567E-3</v>
      </c>
    </row>
    <row r="2429" spans="1:11" x14ac:dyDescent="0.2">
      <c r="A2429" s="2">
        <v>45992</v>
      </c>
      <c r="B2429">
        <v>6812.2998046875</v>
      </c>
      <c r="C2429">
        <v>6843.64990234375</v>
      </c>
      <c r="D2429">
        <v>6799.93994140625</v>
      </c>
      <c r="E2429">
        <v>6812.6298828125</v>
      </c>
      <c r="F2429">
        <v>6812.6298828125</v>
      </c>
      <c r="G2429">
        <v>4549370000</v>
      </c>
      <c r="H2429">
        <v>0</v>
      </c>
      <c r="I2429">
        <v>0</v>
      </c>
      <c r="K2429" s="11">
        <f t="shared" si="37"/>
        <v>-5.3233293429156836E-3</v>
      </c>
    </row>
    <row r="2430" spans="1:11" x14ac:dyDescent="0.2">
      <c r="A2430" s="2">
        <v>45993</v>
      </c>
      <c r="B2430">
        <v>6830.9599609375</v>
      </c>
      <c r="C2430">
        <v>6851.5498046875</v>
      </c>
      <c r="D2430">
        <v>6806.7099609375</v>
      </c>
      <c r="E2430">
        <v>6829.3701171875</v>
      </c>
      <c r="F2430">
        <v>6829.3701171875</v>
      </c>
      <c r="G2430">
        <v>4582290000</v>
      </c>
      <c r="H2430">
        <v>0</v>
      </c>
      <c r="I2430">
        <v>0</v>
      </c>
      <c r="K2430" s="11">
        <f t="shared" si="37"/>
        <v>2.4572352619998128E-3</v>
      </c>
    </row>
    <row r="2431" spans="1:11" x14ac:dyDescent="0.2">
      <c r="A2431" s="2">
        <v>45994</v>
      </c>
      <c r="B2431">
        <v>6815.2900390625</v>
      </c>
      <c r="C2431">
        <v>6862.419921875</v>
      </c>
      <c r="D2431">
        <v>6810.43017578125</v>
      </c>
      <c r="E2431">
        <v>6849.72021484375</v>
      </c>
      <c r="F2431">
        <v>6849.72021484375</v>
      </c>
      <c r="G2431">
        <v>4736780000</v>
      </c>
      <c r="H2431">
        <v>0</v>
      </c>
      <c r="I2431">
        <v>0</v>
      </c>
      <c r="K2431" s="11">
        <f t="shared" si="37"/>
        <v>2.9797912994984355E-3</v>
      </c>
    </row>
    <row r="2432" spans="1:11" x14ac:dyDescent="0.2">
      <c r="A2432" s="2">
        <v>45995</v>
      </c>
      <c r="B2432">
        <v>6866.47021484375</v>
      </c>
      <c r="C2432">
        <v>6866.47021484375</v>
      </c>
      <c r="D2432">
        <v>6827.1201171875</v>
      </c>
      <c r="E2432">
        <v>6857.1201171875</v>
      </c>
      <c r="F2432">
        <v>6857.1201171875</v>
      </c>
      <c r="G2432">
        <v>4872440000</v>
      </c>
      <c r="H2432">
        <v>0</v>
      </c>
      <c r="I2432">
        <v>0</v>
      </c>
      <c r="K2432" s="11">
        <f t="shared" si="37"/>
        <v>1.0803218396737702E-3</v>
      </c>
    </row>
    <row r="2433" spans="1:11" x14ac:dyDescent="0.2">
      <c r="A2433" s="2">
        <v>45996</v>
      </c>
      <c r="B2433">
        <v>6866.31982421875</v>
      </c>
      <c r="C2433">
        <v>6895.77978515625</v>
      </c>
      <c r="D2433">
        <v>6858.2900390625</v>
      </c>
      <c r="E2433">
        <v>6870.39990234375</v>
      </c>
      <c r="F2433">
        <v>6870.39990234375</v>
      </c>
      <c r="G2433">
        <v>4944560000</v>
      </c>
      <c r="H2433">
        <v>0</v>
      </c>
      <c r="I2433">
        <v>0</v>
      </c>
      <c r="K2433" s="11">
        <f t="shared" si="37"/>
        <v>1.9366417576620609E-3</v>
      </c>
    </row>
    <row r="2434" spans="1:11" x14ac:dyDescent="0.2">
      <c r="A2434" s="2">
        <v>45999</v>
      </c>
      <c r="B2434">
        <v>6875.2001953125</v>
      </c>
      <c r="C2434">
        <v>6878.27001953125</v>
      </c>
      <c r="D2434">
        <v>6827.18994140625</v>
      </c>
      <c r="E2434">
        <v>6846.509765625</v>
      </c>
      <c r="F2434">
        <v>6846.509765625</v>
      </c>
      <c r="G2434">
        <v>4757130000</v>
      </c>
      <c r="H2434">
        <v>0</v>
      </c>
      <c r="I2434">
        <v>0</v>
      </c>
      <c r="K2434" s="11">
        <f t="shared" si="37"/>
        <v>-3.477255626794018E-3</v>
      </c>
    </row>
    <row r="2435" spans="1:11" x14ac:dyDescent="0.2">
      <c r="A2435" s="2">
        <v>46000</v>
      </c>
      <c r="B2435">
        <v>6840.60986328125</v>
      </c>
      <c r="C2435">
        <v>6864.919921875</v>
      </c>
      <c r="D2435">
        <v>6837.43017578125</v>
      </c>
      <c r="E2435">
        <v>6840.509765625</v>
      </c>
      <c r="F2435">
        <v>6840.509765625</v>
      </c>
      <c r="G2435">
        <v>4508050000</v>
      </c>
      <c r="H2435">
        <v>0</v>
      </c>
      <c r="I2435">
        <v>0</v>
      </c>
      <c r="K2435" s="11">
        <f t="shared" si="37"/>
        <v>-8.7635893402571163E-4</v>
      </c>
    </row>
    <row r="2436" spans="1:11" x14ac:dyDescent="0.2">
      <c r="A2436" s="2">
        <v>46001</v>
      </c>
      <c r="B2436">
        <v>6833.490234375</v>
      </c>
      <c r="C2436">
        <v>6900.669921875</v>
      </c>
      <c r="D2436">
        <v>6824.68994140625</v>
      </c>
      <c r="E2436">
        <v>6886.68017578125</v>
      </c>
      <c r="F2436">
        <v>6886.68017578125</v>
      </c>
      <c r="G2436">
        <v>5526570000</v>
      </c>
      <c r="H2436">
        <v>0</v>
      </c>
      <c r="I2436">
        <v>0</v>
      </c>
      <c r="K2436" s="11">
        <f t="shared" ref="K2436:K2499" si="38">(E2436/E2435)-1</f>
        <v>6.7495569392015398E-3</v>
      </c>
    </row>
    <row r="2437" spans="1:11" x14ac:dyDescent="0.2">
      <c r="A2437" s="2">
        <v>46002</v>
      </c>
      <c r="B2437">
        <v>6861.2998046875</v>
      </c>
      <c r="C2437">
        <v>6903.4599609375</v>
      </c>
      <c r="D2437">
        <v>6833.4501953125</v>
      </c>
      <c r="E2437">
        <v>6901</v>
      </c>
      <c r="F2437">
        <v>6901</v>
      </c>
      <c r="G2437">
        <v>5021060000</v>
      </c>
      <c r="H2437">
        <v>0</v>
      </c>
      <c r="I2437">
        <v>0</v>
      </c>
      <c r="K2437" s="11">
        <f t="shared" si="38"/>
        <v>2.079350841514227E-3</v>
      </c>
    </row>
    <row r="2438" spans="1:11" x14ac:dyDescent="0.2">
      <c r="A2438" s="2">
        <v>46003</v>
      </c>
      <c r="B2438">
        <v>6886.85009765625</v>
      </c>
      <c r="C2438">
        <v>6899.85009765625</v>
      </c>
      <c r="D2438">
        <v>6801.7900390625</v>
      </c>
      <c r="E2438">
        <v>6827.41015625</v>
      </c>
      <c r="F2438">
        <v>6827.41015625</v>
      </c>
      <c r="G2438">
        <v>4910160000</v>
      </c>
      <c r="H2438">
        <v>0</v>
      </c>
      <c r="I2438">
        <v>0</v>
      </c>
      <c r="K2438" s="11">
        <f t="shared" si="38"/>
        <v>-1.0663649289957999E-2</v>
      </c>
    </row>
    <row r="2439" spans="1:11" x14ac:dyDescent="0.2">
      <c r="A2439" s="2">
        <v>46006</v>
      </c>
      <c r="B2439">
        <v>6860.18994140625</v>
      </c>
      <c r="C2439">
        <v>6861.58984375</v>
      </c>
      <c r="D2439">
        <v>6801.490234375</v>
      </c>
      <c r="E2439">
        <v>6816.509765625</v>
      </c>
      <c r="F2439">
        <v>6816.509765625</v>
      </c>
      <c r="G2439">
        <v>4975600000</v>
      </c>
      <c r="H2439">
        <v>0</v>
      </c>
      <c r="I2439">
        <v>0</v>
      </c>
      <c r="K2439" s="11">
        <f t="shared" si="38"/>
        <v>-1.5965630269072495E-3</v>
      </c>
    </row>
    <row r="2440" spans="1:11" x14ac:dyDescent="0.2">
      <c r="A2440" s="2">
        <v>46007</v>
      </c>
      <c r="B2440">
        <v>6800.1201171875</v>
      </c>
      <c r="C2440">
        <v>6819.27001953125</v>
      </c>
      <c r="D2440">
        <v>6759.740234375</v>
      </c>
      <c r="E2440">
        <v>6800.259765625</v>
      </c>
      <c r="F2440">
        <v>6800.259765625</v>
      </c>
      <c r="G2440">
        <v>4983180000</v>
      </c>
      <c r="H2440">
        <v>0</v>
      </c>
      <c r="I2440">
        <v>0</v>
      </c>
      <c r="K2440" s="11">
        <f t="shared" si="38"/>
        <v>-2.3839179519623555E-3</v>
      </c>
    </row>
    <row r="2441" spans="1:11" x14ac:dyDescent="0.2">
      <c r="A2441" s="2">
        <v>46008</v>
      </c>
      <c r="B2441">
        <v>6802.8798828125</v>
      </c>
      <c r="C2441">
        <v>6812.259765625</v>
      </c>
      <c r="D2441">
        <v>6720.43017578125</v>
      </c>
      <c r="E2441">
        <v>6721.43017578125</v>
      </c>
      <c r="F2441">
        <v>6721.43017578125</v>
      </c>
      <c r="G2441">
        <v>5122120000</v>
      </c>
      <c r="H2441">
        <v>0</v>
      </c>
      <c r="I2441">
        <v>0</v>
      </c>
      <c r="K2441" s="11">
        <f t="shared" si="38"/>
        <v>-1.1592143912241393E-2</v>
      </c>
    </row>
    <row r="2442" spans="1:11" x14ac:dyDescent="0.2">
      <c r="A2442" s="2">
        <v>46009</v>
      </c>
      <c r="B2442">
        <v>6778.06005859375</v>
      </c>
      <c r="C2442">
        <v>6816.1298828125</v>
      </c>
      <c r="D2442">
        <v>6758.5</v>
      </c>
      <c r="E2442">
        <v>6774.759765625</v>
      </c>
      <c r="F2442">
        <v>6774.759765625</v>
      </c>
      <c r="G2442">
        <v>5101190000</v>
      </c>
      <c r="H2442">
        <v>0</v>
      </c>
      <c r="I2442">
        <v>0</v>
      </c>
      <c r="K2442" s="11">
        <f t="shared" si="38"/>
        <v>7.9342622699418719E-3</v>
      </c>
    </row>
    <row r="2443" spans="1:11" x14ac:dyDescent="0.2">
      <c r="A2443" s="2">
        <v>46010</v>
      </c>
      <c r="B2443">
        <v>6792.6201171875</v>
      </c>
      <c r="C2443">
        <v>6840.02001953125</v>
      </c>
      <c r="D2443">
        <v>6792.6201171875</v>
      </c>
      <c r="E2443">
        <v>6834.5</v>
      </c>
      <c r="F2443">
        <v>6834.5</v>
      </c>
      <c r="G2443">
        <v>8554470000</v>
      </c>
      <c r="H2443">
        <v>0</v>
      </c>
      <c r="I2443">
        <v>0</v>
      </c>
      <c r="K2443" s="11">
        <f t="shared" si="38"/>
        <v>8.8180594503322052E-3</v>
      </c>
    </row>
    <row r="2444" spans="1:11" x14ac:dyDescent="0.2">
      <c r="A2444" s="2">
        <v>46013</v>
      </c>
      <c r="B2444">
        <v>6865.2099609375</v>
      </c>
      <c r="C2444">
        <v>6882.02978515625</v>
      </c>
      <c r="D2444">
        <v>6855.740234375</v>
      </c>
      <c r="E2444">
        <v>6878.490234375</v>
      </c>
      <c r="F2444">
        <v>6878.490234375</v>
      </c>
      <c r="G2444">
        <v>4465030000</v>
      </c>
      <c r="H2444">
        <v>0</v>
      </c>
      <c r="I2444">
        <v>0</v>
      </c>
      <c r="K2444" s="11">
        <f t="shared" si="38"/>
        <v>6.4364963603775749E-3</v>
      </c>
    </row>
    <row r="2445" spans="1:11" x14ac:dyDescent="0.2">
      <c r="A2445" s="2">
        <v>46014</v>
      </c>
      <c r="B2445">
        <v>6872.41015625</v>
      </c>
      <c r="C2445">
        <v>6910.8798828125</v>
      </c>
      <c r="D2445">
        <v>6868.81005859375</v>
      </c>
      <c r="E2445">
        <v>6909.7900390625</v>
      </c>
      <c r="F2445">
        <v>6909.7900390625</v>
      </c>
      <c r="G2445">
        <v>3820560000</v>
      </c>
      <c r="H2445">
        <v>0</v>
      </c>
      <c r="I2445">
        <v>0</v>
      </c>
      <c r="K2445" s="11">
        <f t="shared" si="38"/>
        <v>4.5503887657032394E-3</v>
      </c>
    </row>
    <row r="2446" spans="1:11" x14ac:dyDescent="0.2">
      <c r="A2446" s="2">
        <v>46015</v>
      </c>
      <c r="B2446">
        <v>6904.91015625</v>
      </c>
      <c r="C2446">
        <v>6937.31982421875</v>
      </c>
      <c r="D2446">
        <v>6904.91015625</v>
      </c>
      <c r="E2446">
        <v>6932.0498046875</v>
      </c>
      <c r="F2446">
        <v>6932.0498046875</v>
      </c>
      <c r="G2446">
        <v>1798270000</v>
      </c>
      <c r="H2446">
        <v>0</v>
      </c>
      <c r="I2446">
        <v>0</v>
      </c>
      <c r="K2446" s="11">
        <f t="shared" si="38"/>
        <v>3.2214822012188726E-3</v>
      </c>
    </row>
    <row r="2447" spans="1:11" x14ac:dyDescent="0.2">
      <c r="A2447" s="2">
        <v>46017</v>
      </c>
      <c r="B2447">
        <v>6936.02001953125</v>
      </c>
      <c r="C2447">
        <v>6945.77001953125</v>
      </c>
      <c r="D2447">
        <v>6921.60009765625</v>
      </c>
      <c r="E2447">
        <v>6929.93994140625</v>
      </c>
      <c r="F2447">
        <v>6929.93994140625</v>
      </c>
      <c r="G2447">
        <v>2586550000</v>
      </c>
      <c r="H2447">
        <v>0</v>
      </c>
      <c r="I2447">
        <v>0</v>
      </c>
      <c r="K2447" s="11">
        <f t="shared" si="38"/>
        <v>-3.0436354912266594E-4</v>
      </c>
    </row>
    <row r="2448" spans="1:11" x14ac:dyDescent="0.2">
      <c r="A2448" s="2">
        <v>46020</v>
      </c>
      <c r="B2448">
        <v>6903.60009765625</v>
      </c>
      <c r="C2448">
        <v>6920.2099609375</v>
      </c>
      <c r="D2448">
        <v>6888.759765625</v>
      </c>
      <c r="E2448">
        <v>6905.740234375</v>
      </c>
      <c r="F2448">
        <v>6905.740234375</v>
      </c>
      <c r="G2448">
        <v>3541750000</v>
      </c>
      <c r="H2448">
        <v>0</v>
      </c>
      <c r="I2448">
        <v>0</v>
      </c>
      <c r="K2448" s="11">
        <f t="shared" si="38"/>
        <v>-3.4920514803681302E-3</v>
      </c>
    </row>
    <row r="2449" spans="1:11" x14ac:dyDescent="0.2">
      <c r="A2449" s="2">
        <v>46021</v>
      </c>
      <c r="B2449">
        <v>6900.43994140625</v>
      </c>
      <c r="C2449">
        <v>6913.25</v>
      </c>
      <c r="D2449">
        <v>6893.47021484375</v>
      </c>
      <c r="E2449">
        <v>6896.240234375</v>
      </c>
      <c r="F2449">
        <v>6896.240234375</v>
      </c>
      <c r="G2449">
        <v>3309930000</v>
      </c>
      <c r="H2449">
        <v>0</v>
      </c>
      <c r="I2449">
        <v>0</v>
      </c>
      <c r="K2449" s="11">
        <f t="shared" si="38"/>
        <v>-1.3756671519022934E-3</v>
      </c>
    </row>
    <row r="2450" spans="1:11" x14ac:dyDescent="0.2">
      <c r="A2450" s="2">
        <v>46022</v>
      </c>
      <c r="B2450">
        <v>6898.81982421875</v>
      </c>
      <c r="C2450">
        <v>6901.419921875</v>
      </c>
      <c r="D2450">
        <v>6844.5498046875</v>
      </c>
      <c r="E2450">
        <v>6845.5</v>
      </c>
      <c r="F2450">
        <v>6845.5</v>
      </c>
      <c r="G2450">
        <v>3261830000</v>
      </c>
      <c r="H2450">
        <v>0</v>
      </c>
      <c r="I2450">
        <v>0</v>
      </c>
      <c r="K2450" s="11">
        <f t="shared" si="38"/>
        <v>-7.3576663008461107E-3</v>
      </c>
    </row>
    <row r="2451" spans="1:11" x14ac:dyDescent="0.2">
      <c r="A2451" s="2">
        <v>46024</v>
      </c>
      <c r="B2451">
        <v>6878.10986328125</v>
      </c>
      <c r="C2451">
        <v>6894.8701171875</v>
      </c>
      <c r="D2451">
        <v>6824.31005859375</v>
      </c>
      <c r="E2451">
        <v>6858.47021484375</v>
      </c>
      <c r="F2451">
        <v>6858.47021484375</v>
      </c>
      <c r="G2451">
        <v>4184120000</v>
      </c>
      <c r="H2451">
        <v>0</v>
      </c>
      <c r="I2451">
        <v>0</v>
      </c>
      <c r="K2451" s="11">
        <f t="shared" si="38"/>
        <v>1.8947067188299638E-3</v>
      </c>
    </row>
    <row r="2452" spans="1:11" x14ac:dyDescent="0.2">
      <c r="A2452" s="2">
        <v>46027</v>
      </c>
      <c r="B2452">
        <v>6892.18994140625</v>
      </c>
      <c r="C2452">
        <v>6920.3798828125</v>
      </c>
      <c r="D2452">
        <v>6891.56005859375</v>
      </c>
      <c r="E2452">
        <v>6902.0498046875</v>
      </c>
      <c r="F2452">
        <v>6902.0498046875</v>
      </c>
      <c r="G2452">
        <v>5771930000</v>
      </c>
      <c r="H2452">
        <v>0</v>
      </c>
      <c r="I2452">
        <v>0</v>
      </c>
      <c r="K2452" s="11">
        <f t="shared" si="38"/>
        <v>6.3541268648263927E-3</v>
      </c>
    </row>
    <row r="2453" spans="1:11" x14ac:dyDescent="0.2">
      <c r="A2453" s="2">
        <v>46028</v>
      </c>
      <c r="B2453">
        <v>6908.02978515625</v>
      </c>
      <c r="C2453">
        <v>6948.68994140625</v>
      </c>
      <c r="D2453">
        <v>6904.02001953125</v>
      </c>
      <c r="E2453">
        <v>6944.81982421875</v>
      </c>
      <c r="F2453">
        <v>6944.81982421875</v>
      </c>
      <c r="G2453">
        <v>5509680000</v>
      </c>
      <c r="H2453">
        <v>0</v>
      </c>
      <c r="I2453">
        <v>0</v>
      </c>
      <c r="K2453" s="11">
        <f t="shared" si="38"/>
        <v>6.1967126783413207E-3</v>
      </c>
    </row>
    <row r="2454" spans="1:11" x14ac:dyDescent="0.2">
      <c r="A2454" s="2">
        <v>46029</v>
      </c>
      <c r="B2454">
        <v>6945.06982421875</v>
      </c>
      <c r="C2454">
        <v>6965.68994140625</v>
      </c>
      <c r="D2454">
        <v>6919.18994140625</v>
      </c>
      <c r="E2454">
        <v>6920.93017578125</v>
      </c>
      <c r="F2454">
        <v>6920.93017578125</v>
      </c>
      <c r="G2454">
        <v>5214480000</v>
      </c>
      <c r="H2454">
        <v>0</v>
      </c>
      <c r="I2454">
        <v>0</v>
      </c>
      <c r="K2454" s="11">
        <f t="shared" si="38"/>
        <v>-3.4399234310139581E-3</v>
      </c>
    </row>
    <row r="2455" spans="1:11" x14ac:dyDescent="0.2">
      <c r="A2455" s="2">
        <v>46030</v>
      </c>
      <c r="B2455">
        <v>6914.10986328125</v>
      </c>
      <c r="C2455">
        <v>6931.27978515625</v>
      </c>
      <c r="D2455">
        <v>6899.330078125</v>
      </c>
      <c r="E2455">
        <v>6921.4599609375</v>
      </c>
      <c r="F2455">
        <v>6921.4599609375</v>
      </c>
      <c r="G2455">
        <v>5333200000</v>
      </c>
      <c r="H2455">
        <v>0</v>
      </c>
      <c r="I2455">
        <v>0</v>
      </c>
      <c r="K2455" s="11">
        <f t="shared" si="38"/>
        <v>7.6548259091424598E-5</v>
      </c>
    </row>
    <row r="2456" spans="1:11" x14ac:dyDescent="0.2">
      <c r="A2456" s="2">
        <v>46031</v>
      </c>
      <c r="B2456">
        <v>6927.830078125</v>
      </c>
      <c r="C2456">
        <v>6978.35986328125</v>
      </c>
      <c r="D2456">
        <v>6917.64013671875</v>
      </c>
      <c r="E2456">
        <v>6966.27978515625</v>
      </c>
      <c r="F2456">
        <v>6966.27978515625</v>
      </c>
      <c r="G2456">
        <v>5163900000</v>
      </c>
      <c r="H2456">
        <v>0</v>
      </c>
      <c r="I2456">
        <v>0</v>
      </c>
      <c r="K2456" s="11">
        <f t="shared" si="38"/>
        <v>6.4754870318832758E-3</v>
      </c>
    </row>
    <row r="2457" spans="1:11" x14ac:dyDescent="0.2">
      <c r="A2457" s="2">
        <v>46034</v>
      </c>
      <c r="B2457">
        <v>6944.1201171875</v>
      </c>
      <c r="C2457">
        <v>6986.330078125</v>
      </c>
      <c r="D2457">
        <v>6934.06982421875</v>
      </c>
      <c r="E2457">
        <v>6977.27001953125</v>
      </c>
      <c r="F2457">
        <v>6977.27001953125</v>
      </c>
      <c r="G2457">
        <v>5019040000</v>
      </c>
      <c r="H2457">
        <v>0</v>
      </c>
      <c r="I2457">
        <v>0</v>
      </c>
      <c r="K2457" s="11">
        <f t="shared" si="38"/>
        <v>1.577633215136931E-3</v>
      </c>
    </row>
    <row r="2458" spans="1:11" x14ac:dyDescent="0.2">
      <c r="A2458" s="2">
        <v>46035</v>
      </c>
      <c r="B2458">
        <v>6977.41015625</v>
      </c>
      <c r="C2458">
        <v>6985.830078125</v>
      </c>
      <c r="D2458">
        <v>6938.77001953125</v>
      </c>
      <c r="E2458">
        <v>6963.740234375</v>
      </c>
      <c r="F2458">
        <v>6963.740234375</v>
      </c>
      <c r="G2458">
        <v>5091730000</v>
      </c>
      <c r="H2458">
        <v>0</v>
      </c>
      <c r="I2458">
        <v>0</v>
      </c>
      <c r="K2458" s="11">
        <f t="shared" si="38"/>
        <v>-1.9391230550597216E-3</v>
      </c>
    </row>
    <row r="2459" spans="1:11" x14ac:dyDescent="0.2">
      <c r="A2459" s="2">
        <v>46036</v>
      </c>
      <c r="B2459">
        <v>6937.41015625</v>
      </c>
      <c r="C2459">
        <v>6941.2998046875</v>
      </c>
      <c r="D2459">
        <v>6885.740234375</v>
      </c>
      <c r="E2459">
        <v>6926.60009765625</v>
      </c>
      <c r="F2459">
        <v>6926.60009765625</v>
      </c>
      <c r="G2459">
        <v>5530830000</v>
      </c>
      <c r="H2459">
        <v>0</v>
      </c>
      <c r="I2459">
        <v>0</v>
      </c>
      <c r="K2459" s="11">
        <f t="shared" si="38"/>
        <v>-5.3333604454995909E-3</v>
      </c>
    </row>
    <row r="2460" spans="1:11" x14ac:dyDescent="0.2">
      <c r="A2460" s="2">
        <v>46037</v>
      </c>
      <c r="B2460">
        <v>6969.4599609375</v>
      </c>
      <c r="C2460">
        <v>6979.33984375</v>
      </c>
      <c r="D2460">
        <v>6937.93017578125</v>
      </c>
      <c r="E2460">
        <v>6944.47021484375</v>
      </c>
      <c r="F2460">
        <v>6944.47021484375</v>
      </c>
      <c r="G2460">
        <v>5114050000</v>
      </c>
      <c r="H2460">
        <v>0</v>
      </c>
      <c r="I2460">
        <v>0</v>
      </c>
      <c r="K2460" s="11">
        <f t="shared" si="38"/>
        <v>2.5799262171273263E-3</v>
      </c>
    </row>
    <row r="2461" spans="1:11" x14ac:dyDescent="0.2">
      <c r="A2461" s="2">
        <v>46038</v>
      </c>
      <c r="B2461">
        <v>6960.5400390625</v>
      </c>
      <c r="C2461">
        <v>6967.2998046875</v>
      </c>
      <c r="D2461">
        <v>6925.08984375</v>
      </c>
      <c r="E2461">
        <v>6940.009765625</v>
      </c>
      <c r="F2461">
        <v>6940.009765625</v>
      </c>
      <c r="G2461">
        <v>5356550000</v>
      </c>
      <c r="H2461">
        <v>0</v>
      </c>
      <c r="I2461">
        <v>0</v>
      </c>
      <c r="K2461" s="11">
        <f t="shared" si="38"/>
        <v>-6.4230230395634358E-4</v>
      </c>
    </row>
    <row r="2462" spans="1:11" x14ac:dyDescent="0.2">
      <c r="A2462" s="2">
        <v>46042</v>
      </c>
      <c r="B2462">
        <v>6865.240234375</v>
      </c>
      <c r="C2462">
        <v>6871.169921875</v>
      </c>
      <c r="D2462">
        <v>6789.0498046875</v>
      </c>
      <c r="E2462">
        <v>6796.85986328125</v>
      </c>
      <c r="F2462">
        <v>6796.85986328125</v>
      </c>
      <c r="G2462">
        <v>5769500000</v>
      </c>
      <c r="H2462">
        <v>0</v>
      </c>
      <c r="I2462">
        <v>0</v>
      </c>
      <c r="K2462" s="11">
        <f t="shared" si="38"/>
        <v>-2.062675805627745E-2</v>
      </c>
    </row>
    <row r="2463" spans="1:11" x14ac:dyDescent="0.2">
      <c r="A2463" s="2">
        <v>46043</v>
      </c>
      <c r="B2463">
        <v>6810.7099609375</v>
      </c>
      <c r="C2463">
        <v>6910.39013671875</v>
      </c>
      <c r="D2463">
        <v>6804.9599609375</v>
      </c>
      <c r="E2463">
        <v>6875.6201171875</v>
      </c>
      <c r="F2463">
        <v>6875.6201171875</v>
      </c>
      <c r="G2463">
        <v>5835520000</v>
      </c>
      <c r="H2463">
        <v>0</v>
      </c>
      <c r="I2463">
        <v>0</v>
      </c>
      <c r="K2463" s="11">
        <f t="shared" si="38"/>
        <v>1.1587741323274559E-2</v>
      </c>
    </row>
    <row r="2464" spans="1:11" x14ac:dyDescent="0.2">
      <c r="A2464" s="2">
        <v>46044</v>
      </c>
      <c r="B2464">
        <v>6914.43994140625</v>
      </c>
      <c r="C2464">
        <v>6934.75</v>
      </c>
      <c r="D2464">
        <v>6893.6201171875</v>
      </c>
      <c r="E2464">
        <v>6913.35009765625</v>
      </c>
      <c r="F2464">
        <v>6913.35009765625</v>
      </c>
      <c r="G2464">
        <v>5307580000</v>
      </c>
      <c r="H2464">
        <v>0</v>
      </c>
      <c r="I2464">
        <v>0</v>
      </c>
      <c r="K2464" s="11">
        <f t="shared" si="38"/>
        <v>5.4875021926288348E-3</v>
      </c>
    </row>
    <row r="2465" spans="1:11" x14ac:dyDescent="0.2">
      <c r="A2465" s="2">
        <v>46045</v>
      </c>
      <c r="B2465">
        <v>6907.85009765625</v>
      </c>
      <c r="C2465">
        <v>6932.9599609375</v>
      </c>
      <c r="D2465">
        <v>6895.5</v>
      </c>
      <c r="E2465">
        <v>6915.60986328125</v>
      </c>
      <c r="F2465">
        <v>6915.60986328125</v>
      </c>
      <c r="G2465">
        <v>4871930000</v>
      </c>
      <c r="H2465">
        <v>0</v>
      </c>
      <c r="I2465">
        <v>0</v>
      </c>
      <c r="K2465" s="11">
        <f t="shared" si="38"/>
        <v>3.2686983778917877E-4</v>
      </c>
    </row>
    <row r="2466" spans="1:11" x14ac:dyDescent="0.2">
      <c r="A2466" s="2">
        <v>46048</v>
      </c>
      <c r="B2466">
        <v>6923.22998046875</v>
      </c>
      <c r="C2466">
        <v>6964.66015625</v>
      </c>
      <c r="D2466">
        <v>6921.60009765625</v>
      </c>
      <c r="E2466">
        <v>6950.22998046875</v>
      </c>
      <c r="F2466">
        <v>6950.22998046875</v>
      </c>
      <c r="G2466">
        <v>4968050000</v>
      </c>
      <c r="H2466">
        <v>0</v>
      </c>
      <c r="I2466">
        <v>0</v>
      </c>
      <c r="K2466" s="11">
        <f t="shared" si="38"/>
        <v>5.0060830312763649E-3</v>
      </c>
    </row>
    <row r="2467" spans="1:11" x14ac:dyDescent="0.2">
      <c r="A2467" s="2">
        <v>46049</v>
      </c>
      <c r="B2467">
        <v>6965.9599609375</v>
      </c>
      <c r="C2467">
        <v>6988.81982421875</v>
      </c>
      <c r="D2467">
        <v>6958.830078125</v>
      </c>
      <c r="E2467">
        <v>6978.60009765625</v>
      </c>
      <c r="F2467">
        <v>6978.60009765625</v>
      </c>
      <c r="G2467">
        <v>5331720000</v>
      </c>
      <c r="H2467">
        <v>0</v>
      </c>
      <c r="I2467">
        <v>0</v>
      </c>
      <c r="K2467" s="11">
        <f t="shared" si="38"/>
        <v>4.0818961771371676E-3</v>
      </c>
    </row>
    <row r="2468" spans="1:11" x14ac:dyDescent="0.2">
      <c r="A2468" s="2">
        <v>46050</v>
      </c>
      <c r="B2468">
        <v>7002</v>
      </c>
      <c r="C2468">
        <v>7002.27978515625</v>
      </c>
      <c r="D2468">
        <v>6963.4599609375</v>
      </c>
      <c r="E2468">
        <v>6978.02978515625</v>
      </c>
      <c r="F2468">
        <v>6978.02978515625</v>
      </c>
      <c r="G2468">
        <v>5507670000</v>
      </c>
      <c r="H2468">
        <v>0</v>
      </c>
      <c r="I2468">
        <v>0</v>
      </c>
      <c r="K2468" s="11">
        <f t="shared" si="38"/>
        <v>-8.1723052190896261E-5</v>
      </c>
    </row>
    <row r="2469" spans="1:11" x14ac:dyDescent="0.2">
      <c r="A2469" s="2">
        <v>46051</v>
      </c>
      <c r="B2469">
        <v>6977.740234375</v>
      </c>
      <c r="C2469">
        <v>6992.83984375</v>
      </c>
      <c r="D2469">
        <v>6870.7998046875</v>
      </c>
      <c r="E2469">
        <v>6969.009765625</v>
      </c>
      <c r="F2469">
        <v>6969.009765625</v>
      </c>
      <c r="G2469">
        <v>6877780000</v>
      </c>
      <c r="H2469">
        <v>0</v>
      </c>
      <c r="I2469">
        <v>0</v>
      </c>
      <c r="K2469" s="11">
        <f t="shared" si="38"/>
        <v>-1.292631274007694E-3</v>
      </c>
    </row>
    <row r="2470" spans="1:11" x14ac:dyDescent="0.2">
      <c r="A2470" s="2">
        <v>46052</v>
      </c>
      <c r="B2470">
        <v>6947.27001953125</v>
      </c>
      <c r="C2470">
        <v>6964.08984375</v>
      </c>
      <c r="D2470">
        <v>6893.47998046875</v>
      </c>
      <c r="E2470">
        <v>6939.02978515625</v>
      </c>
      <c r="F2470">
        <v>6939.02978515625</v>
      </c>
      <c r="G2470">
        <v>6697340000</v>
      </c>
      <c r="H2470">
        <v>0</v>
      </c>
      <c r="I2470">
        <v>0</v>
      </c>
      <c r="K2470" s="11">
        <f t="shared" si="38"/>
        <v>-4.3018996208942228E-3</v>
      </c>
    </row>
    <row r="2471" spans="1:11" x14ac:dyDescent="0.2">
      <c r="A2471" s="2">
        <v>46055</v>
      </c>
      <c r="B2471">
        <v>6916.64013671875</v>
      </c>
      <c r="C2471">
        <v>6991.919921875</v>
      </c>
      <c r="D2471">
        <v>6914.33984375</v>
      </c>
      <c r="E2471">
        <v>6976.43994140625</v>
      </c>
      <c r="F2471">
        <v>6976.43994140625</v>
      </c>
      <c r="G2471">
        <v>5772050000</v>
      </c>
      <c r="H2471">
        <v>0</v>
      </c>
      <c r="I2471">
        <v>0</v>
      </c>
      <c r="K2471" s="11">
        <f t="shared" si="38"/>
        <v>5.3912661291679598E-3</v>
      </c>
    </row>
    <row r="2472" spans="1:11" x14ac:dyDescent="0.2">
      <c r="A2472" s="2">
        <v>46056</v>
      </c>
      <c r="B2472">
        <v>6985.4501953125</v>
      </c>
      <c r="C2472">
        <v>6993.080078125</v>
      </c>
      <c r="D2472">
        <v>6862.0498046875</v>
      </c>
      <c r="E2472">
        <v>6917.81005859375</v>
      </c>
      <c r="F2472">
        <v>6917.81005859375</v>
      </c>
      <c r="G2472">
        <v>7017660000</v>
      </c>
      <c r="H2472">
        <v>0</v>
      </c>
      <c r="I2472">
        <v>0</v>
      </c>
      <c r="K2472" s="11">
        <f t="shared" si="38"/>
        <v>-8.4039830206983357E-3</v>
      </c>
    </row>
    <row r="2473" spans="1:11" x14ac:dyDescent="0.2">
      <c r="A2473" s="2">
        <v>46057</v>
      </c>
      <c r="B2473">
        <v>6924.5</v>
      </c>
      <c r="C2473">
        <v>6936.08984375</v>
      </c>
      <c r="D2473">
        <v>6838.7998046875</v>
      </c>
      <c r="E2473">
        <v>6882.72021484375</v>
      </c>
      <c r="F2473">
        <v>6882.72021484375</v>
      </c>
      <c r="G2473">
        <v>7475750000</v>
      </c>
      <c r="H2473">
        <v>0</v>
      </c>
      <c r="I2473">
        <v>0</v>
      </c>
      <c r="K2473" s="11">
        <f t="shared" si="38"/>
        <v>-5.072391906223106E-3</v>
      </c>
    </row>
    <row r="2474" spans="1:11" x14ac:dyDescent="0.2">
      <c r="A2474" s="2">
        <v>46058</v>
      </c>
      <c r="B2474">
        <v>6837.39013671875</v>
      </c>
      <c r="C2474">
        <v>6857.85009765625</v>
      </c>
      <c r="D2474">
        <v>6780.1298828125</v>
      </c>
      <c r="E2474">
        <v>6798.39990234375</v>
      </c>
      <c r="F2474">
        <v>6798.39990234375</v>
      </c>
      <c r="G2474">
        <v>6989120000</v>
      </c>
      <c r="H2474">
        <v>0</v>
      </c>
      <c r="I2474">
        <v>0</v>
      </c>
      <c r="K2474" s="11">
        <f t="shared" si="38"/>
        <v>-1.2251015567674717E-2</v>
      </c>
    </row>
    <row r="2475" spans="1:11" x14ac:dyDescent="0.2">
      <c r="A2475" s="2">
        <v>46059</v>
      </c>
      <c r="B2475">
        <v>6816.740234375</v>
      </c>
      <c r="C2475">
        <v>6944.89013671875</v>
      </c>
      <c r="D2475">
        <v>6816.740234375</v>
      </c>
      <c r="E2475">
        <v>6932.2998046875</v>
      </c>
      <c r="F2475">
        <v>6932.2998046875</v>
      </c>
      <c r="G2475">
        <v>6283680000</v>
      </c>
      <c r="H2475">
        <v>0</v>
      </c>
      <c r="I2475">
        <v>0</v>
      </c>
      <c r="K2475" s="11">
        <f t="shared" si="38"/>
        <v>1.9695796697335899E-2</v>
      </c>
    </row>
    <row r="2476" spans="1:11" x14ac:dyDescent="0.2">
      <c r="A2476" s="2">
        <v>46062</v>
      </c>
      <c r="B2476">
        <v>6917.259765625</v>
      </c>
      <c r="C2476">
        <v>6980.10009765625</v>
      </c>
      <c r="D2476">
        <v>6905.8701171875</v>
      </c>
      <c r="E2476">
        <v>6964.81982421875</v>
      </c>
      <c r="F2476">
        <v>6964.81982421875</v>
      </c>
      <c r="G2476">
        <v>5650260000</v>
      </c>
      <c r="H2476">
        <v>0</v>
      </c>
      <c r="I2476">
        <v>0</v>
      </c>
      <c r="K2476" s="11">
        <f t="shared" si="38"/>
        <v>4.6910867168872272E-3</v>
      </c>
    </row>
    <row r="2477" spans="1:11" x14ac:dyDescent="0.2">
      <c r="A2477" s="2">
        <v>46063</v>
      </c>
      <c r="B2477">
        <v>6974.490234375</v>
      </c>
      <c r="C2477">
        <v>6986.830078125</v>
      </c>
      <c r="D2477">
        <v>6937.52978515625</v>
      </c>
      <c r="E2477">
        <v>6941.81005859375</v>
      </c>
      <c r="F2477">
        <v>6941.81005859375</v>
      </c>
      <c r="G2477">
        <v>5595950000</v>
      </c>
      <c r="H2477">
        <v>0</v>
      </c>
      <c r="I2477">
        <v>0</v>
      </c>
      <c r="K2477" s="11">
        <f t="shared" si="38"/>
        <v>-3.3037129754581729E-3</v>
      </c>
    </row>
    <row r="2478" spans="1:11" x14ac:dyDescent="0.2">
      <c r="A2478" s="2">
        <v>46064</v>
      </c>
      <c r="B2478">
        <v>6976.47998046875</v>
      </c>
      <c r="C2478">
        <v>6993.47998046875</v>
      </c>
      <c r="D2478">
        <v>6911.97021484375</v>
      </c>
      <c r="E2478">
        <v>6941.47021484375</v>
      </c>
      <c r="F2478">
        <v>6941.47021484375</v>
      </c>
      <c r="G2478">
        <v>6175510000</v>
      </c>
      <c r="H2478">
        <v>0</v>
      </c>
      <c r="I2478">
        <v>0</v>
      </c>
      <c r="K2478" s="11">
        <f t="shared" si="38"/>
        <v>-4.8956071562189507E-5</v>
      </c>
    </row>
    <row r="2479" spans="1:11" x14ac:dyDescent="0.2">
      <c r="A2479" s="2">
        <v>46065</v>
      </c>
      <c r="B2479">
        <v>6957.5400390625</v>
      </c>
      <c r="C2479">
        <v>6973.22021484375</v>
      </c>
      <c r="D2479">
        <v>6824.0400390625</v>
      </c>
      <c r="E2479">
        <v>6832.759765625</v>
      </c>
      <c r="F2479">
        <v>6832.759765625</v>
      </c>
      <c r="G2479">
        <v>7118700000</v>
      </c>
      <c r="H2479">
        <v>0</v>
      </c>
      <c r="I2479">
        <v>0</v>
      </c>
      <c r="K2479" s="11">
        <f t="shared" si="38"/>
        <v>-1.566101212770199E-2</v>
      </c>
    </row>
    <row r="2480" spans="1:11" x14ac:dyDescent="0.2">
      <c r="A2480" s="2">
        <v>46066</v>
      </c>
      <c r="B2480">
        <v>6834.27001953125</v>
      </c>
      <c r="C2480">
        <v>6881.9599609375</v>
      </c>
      <c r="D2480">
        <v>6794.5498046875</v>
      </c>
      <c r="E2480">
        <v>6836.169921875</v>
      </c>
      <c r="F2480">
        <v>6836.169921875</v>
      </c>
      <c r="G2480">
        <v>5718360000</v>
      </c>
      <c r="H2480">
        <v>0</v>
      </c>
      <c r="I2480">
        <v>0</v>
      </c>
      <c r="K2480" s="11">
        <f t="shared" si="38"/>
        <v>4.9908914801255477E-4</v>
      </c>
    </row>
    <row r="2481" spans="1:11" x14ac:dyDescent="0.2">
      <c r="A2481" s="2">
        <v>46070</v>
      </c>
      <c r="B2481">
        <v>6819.85986328125</v>
      </c>
      <c r="C2481">
        <v>6866.990234375</v>
      </c>
      <c r="D2481">
        <v>6775.5</v>
      </c>
      <c r="E2481">
        <v>6843.22021484375</v>
      </c>
      <c r="F2481">
        <v>6843.22021484375</v>
      </c>
      <c r="G2481">
        <v>5418480000</v>
      </c>
      <c r="H2481">
        <v>0</v>
      </c>
      <c r="I2481">
        <v>0</v>
      </c>
      <c r="K2481" s="11">
        <f t="shared" si="38"/>
        <v>1.0313220779065713E-3</v>
      </c>
    </row>
    <row r="2482" spans="1:11" x14ac:dyDescent="0.2">
      <c r="A2482" s="2">
        <v>46071</v>
      </c>
      <c r="B2482">
        <v>6855.47998046875</v>
      </c>
      <c r="C2482">
        <v>6909.1201171875</v>
      </c>
      <c r="D2482">
        <v>6849.66015625</v>
      </c>
      <c r="E2482">
        <v>6881.31005859375</v>
      </c>
      <c r="F2482">
        <v>6881.31005859375</v>
      </c>
      <c r="G2482">
        <v>5098160000</v>
      </c>
      <c r="H2482">
        <v>0</v>
      </c>
      <c r="I2482">
        <v>0</v>
      </c>
      <c r="K2482" s="11">
        <f t="shared" si="38"/>
        <v>5.5660701474107288E-3</v>
      </c>
    </row>
    <row r="2483" spans="1:11" x14ac:dyDescent="0.2">
      <c r="A2483" s="2">
        <v>46072</v>
      </c>
      <c r="B2483">
        <v>6861.33984375</v>
      </c>
      <c r="C2483">
        <v>6879.1201171875</v>
      </c>
      <c r="D2483">
        <v>6833.06005859375</v>
      </c>
      <c r="E2483">
        <v>6861.89013671875</v>
      </c>
      <c r="F2483">
        <v>6861.89013671875</v>
      </c>
      <c r="G2483">
        <v>5151690000</v>
      </c>
      <c r="H2483">
        <v>0</v>
      </c>
      <c r="I2483">
        <v>0</v>
      </c>
      <c r="K2483" s="11">
        <f t="shared" si="38"/>
        <v>-2.8221256867719813E-3</v>
      </c>
    </row>
    <row r="2484" spans="1:11" x14ac:dyDescent="0.2">
      <c r="A2484" s="2">
        <v>46073</v>
      </c>
      <c r="B2484">
        <v>6843.259765625</v>
      </c>
      <c r="C2484">
        <v>6915.85986328125</v>
      </c>
      <c r="D2484">
        <v>6836.330078125</v>
      </c>
      <c r="E2484">
        <v>6909.509765625</v>
      </c>
      <c r="F2484">
        <v>6909.509765625</v>
      </c>
      <c r="G2484">
        <v>5432480000</v>
      </c>
      <c r="H2484">
        <v>0</v>
      </c>
      <c r="I2484">
        <v>0</v>
      </c>
      <c r="K2484" s="11">
        <f t="shared" si="38"/>
        <v>6.9397247635067938E-3</v>
      </c>
    </row>
    <row r="2485" spans="1:11" x14ac:dyDescent="0.2">
      <c r="A2485" s="2">
        <v>46076</v>
      </c>
      <c r="B2485">
        <v>6901.25</v>
      </c>
      <c r="C2485">
        <v>6916.9599609375</v>
      </c>
      <c r="D2485">
        <v>6819.81982421875</v>
      </c>
      <c r="E2485">
        <v>6837.75</v>
      </c>
      <c r="F2485">
        <v>6837.75</v>
      </c>
      <c r="G2485">
        <v>5638350000</v>
      </c>
      <c r="H2485">
        <v>0</v>
      </c>
      <c r="I2485">
        <v>0</v>
      </c>
      <c r="K2485" s="11">
        <f t="shared" si="38"/>
        <v>-1.0385652247284827E-2</v>
      </c>
    </row>
    <row r="2486" spans="1:11" x14ac:dyDescent="0.2">
      <c r="A2486" s="2">
        <v>46077</v>
      </c>
      <c r="B2486">
        <v>6837.3701171875</v>
      </c>
      <c r="C2486">
        <v>6899.169921875</v>
      </c>
      <c r="D2486">
        <v>6815.43017578125</v>
      </c>
      <c r="E2486">
        <v>6890.06982421875</v>
      </c>
      <c r="F2486">
        <v>6890.06982421875</v>
      </c>
      <c r="G2486">
        <v>5266090000</v>
      </c>
      <c r="H2486">
        <v>0</v>
      </c>
      <c r="I2486">
        <v>0</v>
      </c>
      <c r="K2486" s="11">
        <f t="shared" si="38"/>
        <v>7.6516140863223114E-3</v>
      </c>
    </row>
    <row r="2487" spans="1:11" x14ac:dyDescent="0.2">
      <c r="A2487" s="2">
        <v>46078</v>
      </c>
      <c r="B2487">
        <v>6915.14990234375</v>
      </c>
      <c r="C2487">
        <v>6952.509765625</v>
      </c>
      <c r="D2487">
        <v>6915.14990234375</v>
      </c>
      <c r="E2487">
        <v>6946.1298828125</v>
      </c>
      <c r="F2487">
        <v>6946.1298828125</v>
      </c>
      <c r="G2487">
        <v>5328060000</v>
      </c>
      <c r="H2487">
        <v>0</v>
      </c>
      <c r="I2487">
        <v>0</v>
      </c>
      <c r="K2487" s="11">
        <f t="shared" si="38"/>
        <v>8.1363556573399443E-3</v>
      </c>
    </row>
    <row r="2488" spans="1:11" x14ac:dyDescent="0.2">
      <c r="A2488" s="2">
        <v>46079</v>
      </c>
      <c r="B2488">
        <v>6944.740234375</v>
      </c>
      <c r="C2488">
        <v>6947.25</v>
      </c>
      <c r="D2488">
        <v>6859.72998046875</v>
      </c>
      <c r="E2488">
        <v>6908.85986328125</v>
      </c>
      <c r="F2488">
        <v>6908.85986328125</v>
      </c>
      <c r="G2488">
        <v>5889550000</v>
      </c>
      <c r="H2488">
        <v>0</v>
      </c>
      <c r="I2488">
        <v>0</v>
      </c>
      <c r="K2488" s="11">
        <f t="shared" si="38"/>
        <v>-5.3655805693283432E-3</v>
      </c>
    </row>
    <row r="2489" spans="1:11" x14ac:dyDescent="0.2">
      <c r="A2489" s="2">
        <v>46080</v>
      </c>
      <c r="B2489">
        <v>6856.5400390625</v>
      </c>
      <c r="C2489">
        <v>6882.9599609375</v>
      </c>
      <c r="D2489">
        <v>6831.740234375</v>
      </c>
      <c r="E2489">
        <v>6878.8798828125</v>
      </c>
      <c r="F2489">
        <v>6878.8798828125</v>
      </c>
      <c r="G2489">
        <v>6665660000</v>
      </c>
      <c r="H2489">
        <v>0</v>
      </c>
      <c r="I2489">
        <v>0</v>
      </c>
      <c r="K2489" s="11">
        <f t="shared" si="38"/>
        <v>-4.3393528110311497E-3</v>
      </c>
    </row>
    <row r="2490" spans="1:11" x14ac:dyDescent="0.2">
      <c r="A2490" s="2">
        <v>46083</v>
      </c>
      <c r="B2490">
        <v>6824.35986328125</v>
      </c>
      <c r="C2490">
        <v>6901.009765625</v>
      </c>
      <c r="D2490">
        <v>6796.85009765625</v>
      </c>
      <c r="E2490">
        <v>6881.6201171875</v>
      </c>
      <c r="F2490">
        <v>6881.6201171875</v>
      </c>
      <c r="G2490">
        <v>6079080000</v>
      </c>
      <c r="H2490">
        <v>0</v>
      </c>
      <c r="I2490">
        <v>0</v>
      </c>
      <c r="K2490" s="11">
        <f t="shared" si="38"/>
        <v>3.9835473531768528E-4</v>
      </c>
    </row>
    <row r="2491" spans="1:11" x14ac:dyDescent="0.2">
      <c r="A2491" s="2">
        <v>46084</v>
      </c>
      <c r="B2491">
        <v>6800.259765625</v>
      </c>
      <c r="C2491">
        <v>6840.0498046875</v>
      </c>
      <c r="D2491">
        <v>6710.419921875</v>
      </c>
      <c r="E2491">
        <v>6816.6298828125</v>
      </c>
      <c r="F2491">
        <v>6816.6298828125</v>
      </c>
      <c r="G2491">
        <v>6442080000</v>
      </c>
      <c r="H2491">
        <v>0</v>
      </c>
      <c r="I2491">
        <v>0</v>
      </c>
      <c r="K2491" s="11">
        <f t="shared" si="38"/>
        <v>-9.4440310956254159E-3</v>
      </c>
    </row>
    <row r="2492" spans="1:11" x14ac:dyDescent="0.2">
      <c r="A2492" s="2">
        <v>46085</v>
      </c>
      <c r="B2492">
        <v>6831.68994140625</v>
      </c>
      <c r="C2492">
        <v>6885.93994140625</v>
      </c>
      <c r="D2492">
        <v>6811.64013671875</v>
      </c>
      <c r="E2492">
        <v>6869.5</v>
      </c>
      <c r="F2492">
        <v>6869.5</v>
      </c>
      <c r="G2492">
        <v>5252170000</v>
      </c>
      <c r="H2492">
        <v>0</v>
      </c>
      <c r="I2492">
        <v>0</v>
      </c>
      <c r="K2492" s="11">
        <f t="shared" si="38"/>
        <v>7.7560492642863021E-3</v>
      </c>
    </row>
    <row r="2493" spans="1:11" x14ac:dyDescent="0.2">
      <c r="A2493" s="2">
        <v>46086</v>
      </c>
      <c r="B2493">
        <v>6851.080078125</v>
      </c>
      <c r="C2493">
        <v>6870.43017578125</v>
      </c>
      <c r="D2493">
        <v>6770.77978515625</v>
      </c>
      <c r="E2493">
        <v>6830.7099609375</v>
      </c>
      <c r="F2493">
        <v>6830.7099609375</v>
      </c>
      <c r="G2493">
        <v>5989300000</v>
      </c>
      <c r="H2493">
        <v>0</v>
      </c>
      <c r="I2493">
        <v>0</v>
      </c>
      <c r="K2493" s="11">
        <f t="shared" si="38"/>
        <v>-5.6467048638910722E-3</v>
      </c>
    </row>
    <row r="2494" spans="1:11" x14ac:dyDescent="0.2">
      <c r="A2494" s="2">
        <v>46087</v>
      </c>
      <c r="B2494">
        <v>6769.02978515625</v>
      </c>
      <c r="C2494">
        <v>6773.419921875</v>
      </c>
      <c r="D2494">
        <v>6711.56005859375</v>
      </c>
      <c r="E2494">
        <v>6740.02001953125</v>
      </c>
      <c r="F2494">
        <v>6740.02001953125</v>
      </c>
      <c r="G2494">
        <v>5793120000</v>
      </c>
      <c r="H2494">
        <v>0</v>
      </c>
      <c r="I2494">
        <v>0</v>
      </c>
      <c r="K2494" s="11">
        <f t="shared" si="38"/>
        <v>-1.3276795812569242E-2</v>
      </c>
    </row>
    <row r="2495" spans="1:11" x14ac:dyDescent="0.2">
      <c r="A2495" s="2">
        <v>46090</v>
      </c>
      <c r="B2495">
        <v>6699.7998046875</v>
      </c>
      <c r="C2495">
        <v>6810.43994140625</v>
      </c>
      <c r="D2495">
        <v>6636.0400390625</v>
      </c>
      <c r="E2495">
        <v>6795.990234375</v>
      </c>
      <c r="F2495">
        <v>6795.990234375</v>
      </c>
      <c r="G2495">
        <v>6709410000</v>
      </c>
      <c r="H2495">
        <v>0</v>
      </c>
      <c r="I2495">
        <v>0</v>
      </c>
      <c r="K2495" s="11">
        <f t="shared" si="38"/>
        <v>8.3041615131052016E-3</v>
      </c>
    </row>
    <row r="2496" spans="1:11" x14ac:dyDescent="0.2">
      <c r="A2496" s="2">
        <v>46091</v>
      </c>
      <c r="B2496">
        <v>6796.56005859375</v>
      </c>
      <c r="C2496">
        <v>6845.080078125</v>
      </c>
      <c r="D2496">
        <v>6759.740234375</v>
      </c>
      <c r="E2496">
        <v>6781.47998046875</v>
      </c>
      <c r="F2496">
        <v>6781.47998046875</v>
      </c>
      <c r="G2496">
        <v>5944950000</v>
      </c>
      <c r="H2496">
        <v>0</v>
      </c>
      <c r="I2496">
        <v>0</v>
      </c>
      <c r="K2496" s="11">
        <f t="shared" si="38"/>
        <v>-2.1351198877325173E-3</v>
      </c>
    </row>
    <row r="2497" spans="1:11" x14ac:dyDescent="0.2">
      <c r="A2497" s="2">
        <v>46092</v>
      </c>
      <c r="B2497">
        <v>6790.08984375</v>
      </c>
      <c r="C2497">
        <v>6811.14990234375</v>
      </c>
      <c r="D2497">
        <v>6745.58984375</v>
      </c>
      <c r="E2497">
        <v>6775.7998046875</v>
      </c>
      <c r="F2497">
        <v>6775.7998046875</v>
      </c>
      <c r="G2497">
        <v>5511090000</v>
      </c>
      <c r="H2497">
        <v>0</v>
      </c>
      <c r="I2497">
        <v>0</v>
      </c>
      <c r="K2497" s="11">
        <f t="shared" si="38"/>
        <v>-8.376012017449197E-4</v>
      </c>
    </row>
    <row r="2498" spans="1:11" x14ac:dyDescent="0.2">
      <c r="A2498" s="2">
        <v>46093</v>
      </c>
      <c r="B2498">
        <v>6740.8798828125</v>
      </c>
      <c r="C2498">
        <v>6740.8798828125</v>
      </c>
      <c r="D2498">
        <v>6670.39990234375</v>
      </c>
      <c r="E2498">
        <v>6672.6201171875</v>
      </c>
      <c r="F2498">
        <v>6672.6201171875</v>
      </c>
      <c r="G2498">
        <v>6292170000</v>
      </c>
      <c r="H2498">
        <v>0</v>
      </c>
      <c r="I2498">
        <v>0</v>
      </c>
      <c r="K2498" s="11">
        <f t="shared" si="38"/>
        <v>-1.5227676506708532E-2</v>
      </c>
    </row>
    <row r="2499" spans="1:11" x14ac:dyDescent="0.2">
      <c r="A2499" s="2">
        <v>46094</v>
      </c>
      <c r="B2499">
        <v>6673.490234375</v>
      </c>
      <c r="C2499">
        <v>6733.2998046875</v>
      </c>
      <c r="D2499">
        <v>6623.919921875</v>
      </c>
      <c r="E2499">
        <v>6632.18994140625</v>
      </c>
      <c r="F2499">
        <v>6632.18994140625</v>
      </c>
      <c r="G2499">
        <v>5337120000</v>
      </c>
      <c r="H2499">
        <v>0</v>
      </c>
      <c r="I2499">
        <v>0</v>
      </c>
      <c r="K2499" s="11">
        <f t="shared" si="38"/>
        <v>-6.0591154705643691E-3</v>
      </c>
    </row>
    <row r="2500" spans="1:11" x14ac:dyDescent="0.2">
      <c r="A2500" s="2">
        <v>46097</v>
      </c>
      <c r="B2500">
        <v>6674.3701171875</v>
      </c>
      <c r="C2500">
        <v>6729.7900390625</v>
      </c>
      <c r="D2500">
        <v>6674.3701171875</v>
      </c>
      <c r="E2500">
        <v>6699.3798828125</v>
      </c>
      <c r="F2500">
        <v>6699.3798828125</v>
      </c>
      <c r="G2500">
        <v>5176290000</v>
      </c>
      <c r="H2500">
        <v>0</v>
      </c>
      <c r="I2500">
        <v>0</v>
      </c>
      <c r="K2500" s="11">
        <f t="shared" ref="K2500:K2514" si="39">(E2500/E2499)-1</f>
        <v>1.0130883162251969E-2</v>
      </c>
    </row>
    <row r="2501" spans="1:11" x14ac:dyDescent="0.2">
      <c r="A2501" s="2">
        <v>46098</v>
      </c>
      <c r="B2501">
        <v>6722.35009765625</v>
      </c>
      <c r="C2501">
        <v>6754.2998046875</v>
      </c>
      <c r="D2501">
        <v>6710.7998046875</v>
      </c>
      <c r="E2501">
        <v>6716.08984375</v>
      </c>
      <c r="F2501">
        <v>6716.08984375</v>
      </c>
      <c r="G2501">
        <v>5063390000</v>
      </c>
      <c r="H2501">
        <v>0</v>
      </c>
      <c r="I2501">
        <v>0</v>
      </c>
      <c r="K2501" s="11">
        <f t="shared" si="39"/>
        <v>2.4942548757937999E-3</v>
      </c>
    </row>
    <row r="2502" spans="1:11" x14ac:dyDescent="0.2">
      <c r="A2502" s="2">
        <v>46099</v>
      </c>
      <c r="B2502">
        <v>6697.16015625</v>
      </c>
      <c r="C2502">
        <v>6705.18017578125</v>
      </c>
      <c r="D2502">
        <v>6621.66015625</v>
      </c>
      <c r="E2502">
        <v>6624.7001953125</v>
      </c>
      <c r="F2502">
        <v>6624.7001953125</v>
      </c>
      <c r="G2502">
        <v>5275480000</v>
      </c>
      <c r="H2502">
        <v>0</v>
      </c>
      <c r="I2502">
        <v>0</v>
      </c>
      <c r="K2502" s="11">
        <f t="shared" si="39"/>
        <v>-1.3607567880073446E-2</v>
      </c>
    </row>
    <row r="2503" spans="1:11" x14ac:dyDescent="0.2">
      <c r="A2503" s="2">
        <v>46100</v>
      </c>
      <c r="B2503">
        <v>6583.1201171875</v>
      </c>
      <c r="C2503">
        <v>6636.740234375</v>
      </c>
      <c r="D2503">
        <v>6557.81982421875</v>
      </c>
      <c r="E2503">
        <v>6606.490234375</v>
      </c>
      <c r="F2503">
        <v>6606.490234375</v>
      </c>
      <c r="G2503">
        <v>5973390000</v>
      </c>
      <c r="H2503">
        <v>0</v>
      </c>
      <c r="I2503">
        <v>0</v>
      </c>
      <c r="K2503" s="11">
        <f t="shared" si="39"/>
        <v>-2.7487977418789722E-3</v>
      </c>
    </row>
    <row r="2504" spans="1:11" x14ac:dyDescent="0.2">
      <c r="A2504" s="2">
        <v>46101</v>
      </c>
      <c r="B2504">
        <v>6594.66015625</v>
      </c>
      <c r="C2504">
        <v>6594.66015625</v>
      </c>
      <c r="D2504">
        <v>6473.52001953125</v>
      </c>
      <c r="E2504">
        <v>6506.47998046875</v>
      </c>
      <c r="F2504">
        <v>6506.47998046875</v>
      </c>
      <c r="G2504">
        <v>10025820000</v>
      </c>
      <c r="H2504">
        <v>0</v>
      </c>
      <c r="I2504">
        <v>0</v>
      </c>
      <c r="K2504" s="11">
        <f t="shared" si="39"/>
        <v>-1.5138182356779217E-2</v>
      </c>
    </row>
    <row r="2505" spans="1:11" x14ac:dyDescent="0.2">
      <c r="A2505" s="2">
        <v>46104</v>
      </c>
      <c r="B2505">
        <v>6574.9599609375</v>
      </c>
      <c r="C2505">
        <v>6651.6201171875</v>
      </c>
      <c r="D2505">
        <v>6565.5498046875</v>
      </c>
      <c r="E2505">
        <v>6581</v>
      </c>
      <c r="F2505">
        <v>6581</v>
      </c>
      <c r="G2505">
        <v>6020650000</v>
      </c>
      <c r="H2505">
        <v>0</v>
      </c>
      <c r="I2505">
        <v>0</v>
      </c>
      <c r="K2505" s="11">
        <f t="shared" si="39"/>
        <v>1.1453200463990454E-2</v>
      </c>
    </row>
    <row r="2506" spans="1:11" x14ac:dyDescent="0.2">
      <c r="A2506" s="2">
        <v>46105</v>
      </c>
      <c r="B2506">
        <v>6552.08984375</v>
      </c>
      <c r="C2506">
        <v>6595.75</v>
      </c>
      <c r="D2506">
        <v>6525.10986328125</v>
      </c>
      <c r="E2506">
        <v>6556.3701171875</v>
      </c>
      <c r="F2506">
        <v>6556.3701171875</v>
      </c>
      <c r="G2506">
        <v>5278580000</v>
      </c>
      <c r="H2506">
        <v>0</v>
      </c>
      <c r="I2506">
        <v>0</v>
      </c>
      <c r="K2506" s="11">
        <f t="shared" si="39"/>
        <v>-3.7425745042546366E-3</v>
      </c>
    </row>
    <row r="2507" spans="1:11" x14ac:dyDescent="0.2">
      <c r="A2507" s="2">
        <v>46106</v>
      </c>
      <c r="B2507">
        <v>6598.35009765625</v>
      </c>
      <c r="C2507">
        <v>6633.93994140625</v>
      </c>
      <c r="D2507">
        <v>6568.41015625</v>
      </c>
      <c r="E2507">
        <v>6591.89990234375</v>
      </c>
      <c r="F2507">
        <v>6591.89990234375</v>
      </c>
      <c r="G2507">
        <v>4936720000</v>
      </c>
      <c r="H2507">
        <v>0</v>
      </c>
      <c r="I2507">
        <v>0</v>
      </c>
      <c r="K2507" s="11">
        <f t="shared" si="39"/>
        <v>5.419124381509377E-3</v>
      </c>
    </row>
    <row r="2508" spans="1:11" x14ac:dyDescent="0.2">
      <c r="A2508" s="2">
        <v>46107</v>
      </c>
      <c r="B2508">
        <v>6555.85986328125</v>
      </c>
      <c r="C2508">
        <v>6573.22021484375</v>
      </c>
      <c r="D2508">
        <v>6473.7900390625</v>
      </c>
      <c r="E2508">
        <v>6477.16015625</v>
      </c>
      <c r="F2508">
        <v>6477.16015625</v>
      </c>
      <c r="G2508">
        <v>4845560000</v>
      </c>
      <c r="H2508">
        <v>0</v>
      </c>
      <c r="I2508">
        <v>0</v>
      </c>
      <c r="K2508" s="11">
        <f t="shared" si="39"/>
        <v>-1.7406172392416708E-2</v>
      </c>
    </row>
    <row r="2509" spans="1:11" x14ac:dyDescent="0.2">
      <c r="A2509" s="2">
        <v>46108</v>
      </c>
      <c r="B2509">
        <v>6453.89013671875</v>
      </c>
      <c r="C2509">
        <v>6453.89013671875</v>
      </c>
      <c r="D2509">
        <v>6356.080078125</v>
      </c>
      <c r="E2509">
        <v>6368.85009765625</v>
      </c>
      <c r="F2509">
        <v>6368.85009765625</v>
      </c>
      <c r="G2509">
        <v>5303490000</v>
      </c>
      <c r="H2509">
        <v>0</v>
      </c>
      <c r="I2509">
        <v>0</v>
      </c>
      <c r="K2509" s="11">
        <f t="shared" si="39"/>
        <v>-1.6721843521074309E-2</v>
      </c>
    </row>
    <row r="2510" spans="1:11" x14ac:dyDescent="0.2">
      <c r="A2510" s="2">
        <v>46111</v>
      </c>
      <c r="B2510">
        <v>6403.3701171875</v>
      </c>
      <c r="C2510">
        <v>6427.31005859375</v>
      </c>
      <c r="D2510">
        <v>6316.91015625</v>
      </c>
      <c r="E2510">
        <v>6343.72021484375</v>
      </c>
      <c r="F2510">
        <v>6343.72021484375</v>
      </c>
      <c r="G2510">
        <v>5458640000</v>
      </c>
      <c r="H2510">
        <v>0</v>
      </c>
      <c r="I2510">
        <v>0</v>
      </c>
      <c r="K2510" s="11">
        <f t="shared" si="39"/>
        <v>-3.9457488286226416E-3</v>
      </c>
    </row>
    <row r="2511" spans="1:11" x14ac:dyDescent="0.2">
      <c r="A2511" s="2">
        <v>46112</v>
      </c>
      <c r="B2511">
        <v>6395.8798828125</v>
      </c>
      <c r="C2511">
        <v>6539.0498046875</v>
      </c>
      <c r="D2511">
        <v>6395.8798828125</v>
      </c>
      <c r="E2511">
        <v>6528.52001953125</v>
      </c>
      <c r="F2511">
        <v>6528.52001953125</v>
      </c>
      <c r="G2511">
        <v>6396100000</v>
      </c>
      <c r="H2511">
        <v>0</v>
      </c>
      <c r="I2511">
        <v>0</v>
      </c>
      <c r="K2511" s="11">
        <f t="shared" si="39"/>
        <v>2.913114047102594E-2</v>
      </c>
    </row>
    <row r="2512" spans="1:11" x14ac:dyDescent="0.2">
      <c r="A2512" s="2">
        <v>46113</v>
      </c>
      <c r="B2512">
        <v>6556.56005859375</v>
      </c>
      <c r="C2512">
        <v>6609.669921875</v>
      </c>
      <c r="D2512">
        <v>6554.2900390625</v>
      </c>
      <c r="E2512">
        <v>6575.31982421875</v>
      </c>
      <c r="F2512">
        <v>6575.31982421875</v>
      </c>
      <c r="G2512">
        <v>5637260000</v>
      </c>
      <c r="H2512">
        <v>0</v>
      </c>
      <c r="I2512">
        <v>0</v>
      </c>
      <c r="K2512" s="11">
        <f t="shared" si="39"/>
        <v>7.1685166848673987E-3</v>
      </c>
    </row>
    <row r="2513" spans="1:11" x14ac:dyDescent="0.2">
      <c r="A2513" s="2">
        <v>46114</v>
      </c>
      <c r="B2513">
        <v>6512.60986328125</v>
      </c>
      <c r="C2513">
        <v>6601.91015625</v>
      </c>
      <c r="D2513">
        <v>6474.93994140625</v>
      </c>
      <c r="E2513">
        <v>6582.68994140625</v>
      </c>
      <c r="F2513">
        <v>6582.68994140625</v>
      </c>
      <c r="G2513">
        <v>4740740000</v>
      </c>
      <c r="H2513">
        <v>0</v>
      </c>
      <c r="I2513">
        <v>0</v>
      </c>
      <c r="K2513" s="11">
        <f t="shared" si="39"/>
        <v>1.1208758485563575E-3</v>
      </c>
    </row>
    <row r="2514" spans="1:11" x14ac:dyDescent="0.2">
      <c r="A2514" s="2">
        <v>46118</v>
      </c>
      <c r="B2514">
        <v>6587.66015625</v>
      </c>
      <c r="C2514">
        <v>6618.1298828125</v>
      </c>
      <c r="D2514">
        <v>6579.72021484375</v>
      </c>
      <c r="E2514">
        <v>6611.830078125</v>
      </c>
      <c r="F2514">
        <v>6611.830078125</v>
      </c>
      <c r="G2514">
        <v>3906440000</v>
      </c>
      <c r="H2514">
        <v>0</v>
      </c>
      <c r="I2514">
        <v>0</v>
      </c>
      <c r="K2514" s="11">
        <f t="shared" si="39"/>
        <v>4.4267825126402816E-3</v>
      </c>
    </row>
  </sheetData>
  <sortState xmlns:xlrd2="http://schemas.microsoft.com/office/spreadsheetml/2017/richdata2" ref="A2:A2514">
    <sortCondition ref="A1:A251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20.1640625" customWidth="1"/>
    <col min="3" max="3" width="8.83203125" style="11"/>
    <col min="4" max="4" width="8.83203125" style="12"/>
    <col min="5" max="5" width="19.83203125" style="13" customWidth="1"/>
    <col min="6" max="6" width="20.5" bestFit="1" customWidth="1"/>
    <col min="7" max="7" width="37.6640625" customWidth="1"/>
  </cols>
  <sheetData>
    <row r="1" spans="1:8" x14ac:dyDescent="0.2">
      <c r="A1" s="1" t="s">
        <v>0</v>
      </c>
      <c r="B1" s="1" t="s">
        <v>9</v>
      </c>
      <c r="C1" s="11" t="s">
        <v>27</v>
      </c>
      <c r="D1" s="12" t="s">
        <v>28</v>
      </c>
      <c r="E1" s="13" t="s">
        <v>29</v>
      </c>
    </row>
    <row r="2" spans="1:8" x14ac:dyDescent="0.2">
      <c r="A2" s="2">
        <v>42495</v>
      </c>
      <c r="B2">
        <v>0.14249999999999999</v>
      </c>
      <c r="C2" s="11">
        <f>YEAR(A2)</f>
        <v>2016</v>
      </c>
      <c r="D2" s="12">
        <f>SUMIF(C:C,C2,B:B)</f>
        <v>0.42749999999999999</v>
      </c>
    </row>
    <row r="3" spans="1:8" x14ac:dyDescent="0.2">
      <c r="A3" s="2">
        <v>42586</v>
      </c>
      <c r="B3">
        <v>0.14249999999999999</v>
      </c>
      <c r="C3" s="11">
        <f t="shared" ref="C3:C41" si="0">YEAR(A3)</f>
        <v>2016</v>
      </c>
      <c r="D3" s="12">
        <f t="shared" ref="D3:D41" si="1">SUMIF(C:C,C3,B:B)</f>
        <v>0.42749999999999999</v>
      </c>
    </row>
    <row r="4" spans="1:8" x14ac:dyDescent="0.2">
      <c r="A4" s="2">
        <v>42677</v>
      </c>
      <c r="B4">
        <v>0.14249999999999999</v>
      </c>
      <c r="C4" s="11">
        <f t="shared" si="0"/>
        <v>2016</v>
      </c>
      <c r="D4" s="12">
        <f t="shared" si="1"/>
        <v>0.42749999999999999</v>
      </c>
    </row>
    <row r="5" spans="1:8" x14ac:dyDescent="0.2">
      <c r="A5" s="2">
        <v>42775</v>
      </c>
      <c r="B5">
        <v>0.14249999999999999</v>
      </c>
      <c r="C5" s="11">
        <f t="shared" si="0"/>
        <v>2017</v>
      </c>
      <c r="D5" s="12">
        <f t="shared" si="1"/>
        <v>0.61499999999999999</v>
      </c>
      <c r="E5" s="13">
        <f t="shared" ref="E5:E41" si="2">(D5/D4)-1</f>
        <v>0.43859649122807021</v>
      </c>
    </row>
    <row r="6" spans="1:8" x14ac:dyDescent="0.2">
      <c r="A6" s="2">
        <v>42866</v>
      </c>
      <c r="B6">
        <v>0.1575</v>
      </c>
      <c r="C6" s="11">
        <f t="shared" si="0"/>
        <v>2017</v>
      </c>
      <c r="D6" s="12">
        <f t="shared" si="1"/>
        <v>0.61499999999999999</v>
      </c>
      <c r="F6" s="11" t="s">
        <v>30</v>
      </c>
      <c r="G6" s="13">
        <f>AVERAGE(E5,E9,E13,E17,E21,E25,E29,E33)</f>
        <v>0.11684299973520582</v>
      </c>
    </row>
    <row r="7" spans="1:8" x14ac:dyDescent="0.2">
      <c r="A7" s="2">
        <v>42957</v>
      </c>
      <c r="B7">
        <v>0.1575</v>
      </c>
      <c r="C7" s="11">
        <f t="shared" si="0"/>
        <v>2017</v>
      </c>
      <c r="D7" s="12">
        <f t="shared" si="1"/>
        <v>0.61499999999999999</v>
      </c>
      <c r="F7" s="11" t="s">
        <v>31</v>
      </c>
      <c r="G7" s="11" t="s">
        <v>32</v>
      </c>
      <c r="H7" s="13">
        <f>1.03/253.5</f>
        <v>4.0631163708086783E-3</v>
      </c>
    </row>
    <row r="8" spans="1:8" x14ac:dyDescent="0.2">
      <c r="A8" s="2">
        <v>43049</v>
      </c>
      <c r="B8">
        <v>0.1575</v>
      </c>
      <c r="C8" s="11">
        <f t="shared" si="0"/>
        <v>2017</v>
      </c>
      <c r="D8" s="12">
        <f t="shared" si="1"/>
        <v>0.61499999999999999</v>
      </c>
    </row>
    <row r="9" spans="1:8" x14ac:dyDescent="0.2">
      <c r="A9" s="2">
        <v>43140</v>
      </c>
      <c r="B9">
        <v>0.1575</v>
      </c>
      <c r="C9" s="11">
        <f t="shared" si="0"/>
        <v>2018</v>
      </c>
      <c r="D9" s="12">
        <f t="shared" si="1"/>
        <v>0.70499999999999996</v>
      </c>
      <c r="E9" s="13">
        <f t="shared" si="2"/>
        <v>0.14634146341463405</v>
      </c>
    </row>
    <row r="10" spans="1:8" x14ac:dyDescent="0.2">
      <c r="A10" s="2">
        <v>43231</v>
      </c>
      <c r="B10">
        <v>0.1825</v>
      </c>
      <c r="C10" s="11">
        <f t="shared" si="0"/>
        <v>2018</v>
      </c>
      <c r="D10" s="12">
        <f t="shared" si="1"/>
        <v>0.70499999999999996</v>
      </c>
    </row>
    <row r="11" spans="1:8" x14ac:dyDescent="0.2">
      <c r="A11" s="2">
        <v>43322</v>
      </c>
      <c r="B11">
        <v>0.1825</v>
      </c>
      <c r="C11" s="11">
        <f t="shared" si="0"/>
        <v>2018</v>
      </c>
      <c r="D11" s="12">
        <f t="shared" si="1"/>
        <v>0.70499999999999996</v>
      </c>
    </row>
    <row r="12" spans="1:8" x14ac:dyDescent="0.2">
      <c r="A12" s="2">
        <v>43412</v>
      </c>
      <c r="B12">
        <v>0.1825</v>
      </c>
      <c r="C12" s="11">
        <f t="shared" si="0"/>
        <v>2018</v>
      </c>
      <c r="D12" s="12">
        <f t="shared" si="1"/>
        <v>0.70499999999999996</v>
      </c>
    </row>
    <row r="13" spans="1:8" x14ac:dyDescent="0.2">
      <c r="A13" s="2">
        <v>43504</v>
      </c>
      <c r="B13">
        <v>0.1825</v>
      </c>
      <c r="C13" s="11">
        <f t="shared" si="0"/>
        <v>2019</v>
      </c>
      <c r="D13" s="12">
        <f t="shared" si="1"/>
        <v>0.76</v>
      </c>
      <c r="E13" s="13">
        <f t="shared" si="2"/>
        <v>7.8014184397163122E-2</v>
      </c>
    </row>
    <row r="14" spans="1:8" x14ac:dyDescent="0.2">
      <c r="A14" s="2">
        <v>43595</v>
      </c>
      <c r="B14">
        <v>0.1925</v>
      </c>
      <c r="C14" s="11">
        <f t="shared" si="0"/>
        <v>2019</v>
      </c>
      <c r="D14" s="12">
        <f t="shared" si="1"/>
        <v>0.76</v>
      </c>
    </row>
    <row r="15" spans="1:8" x14ac:dyDescent="0.2">
      <c r="A15" s="2">
        <v>43686</v>
      </c>
      <c r="B15">
        <v>0.1925</v>
      </c>
      <c r="C15" s="11">
        <f t="shared" si="0"/>
        <v>2019</v>
      </c>
      <c r="D15" s="12">
        <f t="shared" si="1"/>
        <v>0.76</v>
      </c>
    </row>
    <row r="16" spans="1:8" x14ac:dyDescent="0.2">
      <c r="A16" s="2">
        <v>43776</v>
      </c>
      <c r="B16">
        <v>0.1925</v>
      </c>
      <c r="C16" s="11">
        <f t="shared" si="0"/>
        <v>2019</v>
      </c>
      <c r="D16" s="12">
        <f t="shared" si="1"/>
        <v>0.76</v>
      </c>
    </row>
    <row r="17" spans="1:5" x14ac:dyDescent="0.2">
      <c r="A17" s="2">
        <v>43868</v>
      </c>
      <c r="B17">
        <v>0.1925</v>
      </c>
      <c r="C17" s="11">
        <f t="shared" si="0"/>
        <v>2020</v>
      </c>
      <c r="D17" s="12">
        <f t="shared" si="1"/>
        <v>0.80749999999999988</v>
      </c>
      <c r="E17" s="13">
        <f t="shared" si="2"/>
        <v>6.2499999999999778E-2</v>
      </c>
    </row>
    <row r="18" spans="1:5" x14ac:dyDescent="0.2">
      <c r="A18" s="2">
        <v>43959</v>
      </c>
      <c r="B18">
        <v>0.20499999999999999</v>
      </c>
      <c r="C18" s="11">
        <f t="shared" si="0"/>
        <v>2020</v>
      </c>
      <c r="D18" s="12">
        <f t="shared" si="1"/>
        <v>0.80749999999999988</v>
      </c>
    </row>
    <row r="19" spans="1:5" x14ac:dyDescent="0.2">
      <c r="A19" s="2">
        <v>44050</v>
      </c>
      <c r="B19">
        <v>0.20499999999999999</v>
      </c>
      <c r="C19" s="11">
        <f t="shared" si="0"/>
        <v>2020</v>
      </c>
      <c r="D19" s="12">
        <f t="shared" si="1"/>
        <v>0.80749999999999988</v>
      </c>
    </row>
    <row r="20" spans="1:5" x14ac:dyDescent="0.2">
      <c r="A20" s="2">
        <v>44141</v>
      </c>
      <c r="B20">
        <v>0.20499999999999999</v>
      </c>
      <c r="C20" s="11">
        <f t="shared" si="0"/>
        <v>2020</v>
      </c>
      <c r="D20" s="12">
        <f t="shared" si="1"/>
        <v>0.80749999999999988</v>
      </c>
    </row>
    <row r="21" spans="1:5" x14ac:dyDescent="0.2">
      <c r="A21" s="2">
        <v>44232</v>
      </c>
      <c r="B21">
        <v>0.20499999999999999</v>
      </c>
      <c r="C21" s="11">
        <f t="shared" si="0"/>
        <v>2021</v>
      </c>
      <c r="D21" s="12">
        <f t="shared" si="1"/>
        <v>0.86499999999999999</v>
      </c>
      <c r="E21" s="13">
        <f t="shared" si="2"/>
        <v>7.1207430340557432E-2</v>
      </c>
    </row>
    <row r="22" spans="1:5" x14ac:dyDescent="0.2">
      <c r="A22" s="2">
        <v>44323</v>
      </c>
      <c r="B22">
        <v>0.22</v>
      </c>
      <c r="C22" s="11">
        <f t="shared" si="0"/>
        <v>2021</v>
      </c>
      <c r="D22" s="12">
        <f t="shared" si="1"/>
        <v>0.86499999999999999</v>
      </c>
    </row>
    <row r="23" spans="1:5" x14ac:dyDescent="0.2">
      <c r="A23" s="2">
        <v>44414</v>
      </c>
      <c r="B23">
        <v>0.22</v>
      </c>
      <c r="C23" s="11">
        <f t="shared" si="0"/>
        <v>2021</v>
      </c>
      <c r="D23" s="12">
        <f t="shared" si="1"/>
        <v>0.86499999999999999</v>
      </c>
    </row>
    <row r="24" spans="1:5" x14ac:dyDescent="0.2">
      <c r="A24" s="2">
        <v>44505</v>
      </c>
      <c r="B24">
        <v>0.22</v>
      </c>
      <c r="C24" s="11">
        <f t="shared" si="0"/>
        <v>2021</v>
      </c>
      <c r="D24" s="12">
        <f t="shared" si="1"/>
        <v>0.86499999999999999</v>
      </c>
    </row>
    <row r="25" spans="1:5" x14ac:dyDescent="0.2">
      <c r="A25" s="2">
        <v>44596</v>
      </c>
      <c r="B25">
        <v>0.22</v>
      </c>
      <c r="C25" s="11">
        <f t="shared" si="0"/>
        <v>2022</v>
      </c>
      <c r="D25" s="12">
        <f t="shared" si="1"/>
        <v>0.91</v>
      </c>
      <c r="E25" s="13">
        <f t="shared" si="2"/>
        <v>5.2023121387283267E-2</v>
      </c>
    </row>
    <row r="26" spans="1:5" x14ac:dyDescent="0.2">
      <c r="A26" s="2">
        <v>44687</v>
      </c>
      <c r="B26">
        <v>0.23</v>
      </c>
      <c r="C26" s="11">
        <f t="shared" si="0"/>
        <v>2022</v>
      </c>
      <c r="D26" s="12">
        <f t="shared" si="1"/>
        <v>0.91</v>
      </c>
    </row>
    <row r="27" spans="1:5" x14ac:dyDescent="0.2">
      <c r="A27" s="2">
        <v>44778</v>
      </c>
      <c r="B27">
        <v>0.23</v>
      </c>
      <c r="C27" s="11">
        <f t="shared" si="0"/>
        <v>2022</v>
      </c>
      <c r="D27" s="12">
        <f t="shared" si="1"/>
        <v>0.91</v>
      </c>
    </row>
    <row r="28" spans="1:5" x14ac:dyDescent="0.2">
      <c r="A28" s="2">
        <v>44869</v>
      </c>
      <c r="B28">
        <v>0.23</v>
      </c>
      <c r="C28" s="11">
        <f t="shared" si="0"/>
        <v>2022</v>
      </c>
      <c r="D28" s="12">
        <f t="shared" si="1"/>
        <v>0.91</v>
      </c>
    </row>
    <row r="29" spans="1:5" x14ac:dyDescent="0.2">
      <c r="A29" s="2">
        <v>44967</v>
      </c>
      <c r="B29">
        <v>0.23</v>
      </c>
      <c r="C29" s="11">
        <f t="shared" si="0"/>
        <v>2023</v>
      </c>
      <c r="D29" s="12">
        <f t="shared" si="1"/>
        <v>0.95</v>
      </c>
      <c r="E29" s="13">
        <f t="shared" si="2"/>
        <v>4.39560439560438E-2</v>
      </c>
    </row>
    <row r="30" spans="1:5" x14ac:dyDescent="0.2">
      <c r="A30" s="2">
        <v>45058</v>
      </c>
      <c r="B30">
        <v>0.24</v>
      </c>
      <c r="C30" s="11">
        <f t="shared" si="0"/>
        <v>2023</v>
      </c>
      <c r="D30" s="12">
        <f t="shared" si="1"/>
        <v>0.95</v>
      </c>
    </row>
    <row r="31" spans="1:5" x14ac:dyDescent="0.2">
      <c r="A31" s="2">
        <v>45149</v>
      </c>
      <c r="B31">
        <v>0.24</v>
      </c>
      <c r="C31" s="11">
        <f t="shared" si="0"/>
        <v>2023</v>
      </c>
      <c r="D31" s="12">
        <f t="shared" si="1"/>
        <v>0.95</v>
      </c>
    </row>
    <row r="32" spans="1:5" x14ac:dyDescent="0.2">
      <c r="A32" s="2">
        <v>45240</v>
      </c>
      <c r="B32">
        <v>0.24</v>
      </c>
      <c r="C32" s="11">
        <f t="shared" si="0"/>
        <v>2023</v>
      </c>
      <c r="D32" s="12">
        <f t="shared" si="1"/>
        <v>0.95</v>
      </c>
    </row>
    <row r="33" spans="1:5" x14ac:dyDescent="0.2">
      <c r="A33" s="2">
        <v>45331</v>
      </c>
      <c r="B33">
        <v>0.24</v>
      </c>
      <c r="C33" s="11">
        <f t="shared" si="0"/>
        <v>2024</v>
      </c>
      <c r="D33" s="12">
        <f t="shared" si="1"/>
        <v>0.99</v>
      </c>
      <c r="E33" s="13">
        <f t="shared" si="2"/>
        <v>4.2105263157894868E-2</v>
      </c>
    </row>
    <row r="34" spans="1:5" x14ac:dyDescent="0.2">
      <c r="A34" s="2">
        <v>45422</v>
      </c>
      <c r="B34">
        <v>0.25</v>
      </c>
      <c r="C34" s="11">
        <f t="shared" si="0"/>
        <v>2024</v>
      </c>
      <c r="D34" s="12">
        <f t="shared" si="1"/>
        <v>0.99</v>
      </c>
    </row>
    <row r="35" spans="1:5" x14ac:dyDescent="0.2">
      <c r="A35" s="2">
        <v>45516</v>
      </c>
      <c r="B35">
        <v>0.25</v>
      </c>
      <c r="C35" s="11">
        <f t="shared" si="0"/>
        <v>2024</v>
      </c>
      <c r="D35" s="12">
        <f t="shared" si="1"/>
        <v>0.99</v>
      </c>
    </row>
    <row r="36" spans="1:5" x14ac:dyDescent="0.2">
      <c r="A36" s="2">
        <v>45604</v>
      </c>
      <c r="B36">
        <v>0.25</v>
      </c>
      <c r="C36" s="11">
        <f t="shared" si="0"/>
        <v>2024</v>
      </c>
      <c r="D36" s="12">
        <f t="shared" si="1"/>
        <v>0.99</v>
      </c>
    </row>
    <row r="37" spans="1:5" x14ac:dyDescent="0.2">
      <c r="A37" s="2">
        <v>45698</v>
      </c>
      <c r="B37">
        <v>0.25</v>
      </c>
      <c r="C37" s="11">
        <f t="shared" si="0"/>
        <v>2025</v>
      </c>
      <c r="D37" s="12">
        <f t="shared" si="1"/>
        <v>1.03</v>
      </c>
      <c r="E37" s="13">
        <f t="shared" si="2"/>
        <v>4.0404040404040442E-2</v>
      </c>
    </row>
    <row r="38" spans="1:5" x14ac:dyDescent="0.2">
      <c r="A38" s="2">
        <v>45789</v>
      </c>
      <c r="B38">
        <v>0.26</v>
      </c>
      <c r="C38" s="11">
        <f t="shared" si="0"/>
        <v>2025</v>
      </c>
      <c r="D38" s="12">
        <f t="shared" si="1"/>
        <v>1.03</v>
      </c>
    </row>
    <row r="39" spans="1:5" x14ac:dyDescent="0.2">
      <c r="A39" s="2">
        <v>45880</v>
      </c>
      <c r="B39">
        <v>0.26</v>
      </c>
      <c r="C39" s="11">
        <f t="shared" si="0"/>
        <v>2025</v>
      </c>
      <c r="D39" s="12">
        <f t="shared" si="1"/>
        <v>1.03</v>
      </c>
    </row>
    <row r="40" spans="1:5" x14ac:dyDescent="0.2">
      <c r="A40" s="2">
        <v>45971</v>
      </c>
      <c r="B40">
        <v>0.26</v>
      </c>
      <c r="C40" s="11">
        <f t="shared" si="0"/>
        <v>2025</v>
      </c>
      <c r="D40" s="12">
        <f t="shared" si="1"/>
        <v>1.03</v>
      </c>
    </row>
    <row r="41" spans="1:5" x14ac:dyDescent="0.2">
      <c r="A41" s="2">
        <v>46062</v>
      </c>
      <c r="B41">
        <v>0.26</v>
      </c>
      <c r="C41" s="11">
        <f t="shared" si="0"/>
        <v>2026</v>
      </c>
      <c r="D41" s="12">
        <f t="shared" si="1"/>
        <v>0.26</v>
      </c>
      <c r="E41" s="13">
        <f t="shared" si="2"/>
        <v>-0.74757281553398058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500"/>
  <sheetViews>
    <sheetView workbookViewId="0">
      <selection activeCell="D2" sqref="D2"/>
    </sheetView>
  </sheetViews>
  <sheetFormatPr baseColWidth="10" defaultColWidth="8.83203125" defaultRowHeight="15" x14ac:dyDescent="0.2"/>
  <cols>
    <col min="1" max="1" width="25.5" customWidth="1"/>
    <col min="3" max="3" width="30.1640625" style="11" customWidth="1"/>
    <col min="4" max="4" width="28.33203125" customWidth="1"/>
  </cols>
  <sheetData>
    <row r="1" spans="1:4" x14ac:dyDescent="0.2">
      <c r="A1" s="1" t="s">
        <v>10</v>
      </c>
      <c r="B1" s="1" t="s">
        <v>11</v>
      </c>
      <c r="C1" s="11" t="s">
        <v>22</v>
      </c>
      <c r="D1" s="11" t="s">
        <v>23</v>
      </c>
    </row>
    <row r="2" spans="1:4" x14ac:dyDescent="0.2">
      <c r="A2" s="2">
        <v>42467</v>
      </c>
      <c r="B2">
        <v>1.7</v>
      </c>
      <c r="C2" s="11">
        <f>B2/100</f>
        <v>1.7000000000000001E-2</v>
      </c>
      <c r="D2" s="12">
        <f>AVERAGE(C2:C2500)</f>
        <v>2.7544377751100451E-2</v>
      </c>
    </row>
    <row r="3" spans="1:4" x14ac:dyDescent="0.2">
      <c r="A3" s="2">
        <v>42468</v>
      </c>
      <c r="B3">
        <v>1.72</v>
      </c>
      <c r="C3" s="11">
        <f t="shared" ref="C3:C66" si="0">B3/100</f>
        <v>1.72E-2</v>
      </c>
    </row>
    <row r="4" spans="1:4" x14ac:dyDescent="0.2">
      <c r="A4" s="2">
        <v>42471</v>
      </c>
      <c r="B4">
        <v>1.73</v>
      </c>
      <c r="C4" s="11">
        <f t="shared" si="0"/>
        <v>1.7299999999999999E-2</v>
      </c>
    </row>
    <row r="5" spans="1:4" x14ac:dyDescent="0.2">
      <c r="A5" s="2">
        <v>42472</v>
      </c>
      <c r="B5">
        <v>1.79</v>
      </c>
      <c r="C5" s="11">
        <f t="shared" si="0"/>
        <v>1.7899999999999999E-2</v>
      </c>
    </row>
    <row r="6" spans="1:4" x14ac:dyDescent="0.2">
      <c r="A6" s="2">
        <v>42473</v>
      </c>
      <c r="B6">
        <v>1.77</v>
      </c>
      <c r="C6" s="11">
        <f t="shared" si="0"/>
        <v>1.77E-2</v>
      </c>
    </row>
    <row r="7" spans="1:4" x14ac:dyDescent="0.2">
      <c r="A7" s="2">
        <v>42474</v>
      </c>
      <c r="B7">
        <v>1.8</v>
      </c>
      <c r="C7" s="11">
        <f t="shared" si="0"/>
        <v>1.8000000000000002E-2</v>
      </c>
    </row>
    <row r="8" spans="1:4" x14ac:dyDescent="0.2">
      <c r="A8" s="2">
        <v>42475</v>
      </c>
      <c r="B8">
        <v>1.76</v>
      </c>
      <c r="C8" s="11">
        <f t="shared" si="0"/>
        <v>1.7600000000000001E-2</v>
      </c>
    </row>
    <row r="9" spans="1:4" x14ac:dyDescent="0.2">
      <c r="A9" s="2">
        <v>42478</v>
      </c>
      <c r="B9">
        <v>1.78</v>
      </c>
      <c r="C9" s="11">
        <f t="shared" si="0"/>
        <v>1.78E-2</v>
      </c>
    </row>
    <row r="10" spans="1:4" x14ac:dyDescent="0.2">
      <c r="A10" s="2">
        <v>42479</v>
      </c>
      <c r="B10">
        <v>1.79</v>
      </c>
      <c r="C10" s="11">
        <f t="shared" si="0"/>
        <v>1.7899999999999999E-2</v>
      </c>
    </row>
    <row r="11" spans="1:4" x14ac:dyDescent="0.2">
      <c r="A11" s="2">
        <v>42480</v>
      </c>
      <c r="B11">
        <v>1.85</v>
      </c>
      <c r="C11" s="11">
        <f t="shared" si="0"/>
        <v>1.8500000000000003E-2</v>
      </c>
    </row>
    <row r="12" spans="1:4" x14ac:dyDescent="0.2">
      <c r="A12" s="2">
        <v>42481</v>
      </c>
      <c r="B12">
        <v>1.88</v>
      </c>
      <c r="C12" s="11">
        <f t="shared" si="0"/>
        <v>1.8799999999999997E-2</v>
      </c>
    </row>
    <row r="13" spans="1:4" x14ac:dyDescent="0.2">
      <c r="A13" s="2">
        <v>42482</v>
      </c>
      <c r="B13">
        <v>1.89</v>
      </c>
      <c r="C13" s="11">
        <f t="shared" si="0"/>
        <v>1.89E-2</v>
      </c>
    </row>
    <row r="14" spans="1:4" x14ac:dyDescent="0.2">
      <c r="A14" s="2">
        <v>42485</v>
      </c>
      <c r="B14">
        <v>1.91</v>
      </c>
      <c r="C14" s="11">
        <f t="shared" si="0"/>
        <v>1.9099999999999999E-2</v>
      </c>
    </row>
    <row r="15" spans="1:4" x14ac:dyDescent="0.2">
      <c r="A15" s="2">
        <v>42486</v>
      </c>
      <c r="B15">
        <v>1.94</v>
      </c>
      <c r="C15" s="11">
        <f t="shared" si="0"/>
        <v>1.9400000000000001E-2</v>
      </c>
    </row>
    <row r="16" spans="1:4" x14ac:dyDescent="0.2">
      <c r="A16" s="2">
        <v>42487</v>
      </c>
      <c r="B16">
        <v>1.87</v>
      </c>
      <c r="C16" s="11">
        <f t="shared" si="0"/>
        <v>1.8700000000000001E-2</v>
      </c>
    </row>
    <row r="17" spans="1:3" x14ac:dyDescent="0.2">
      <c r="A17" s="2">
        <v>42488</v>
      </c>
      <c r="B17">
        <v>1.84</v>
      </c>
      <c r="C17" s="11">
        <f t="shared" si="0"/>
        <v>1.84E-2</v>
      </c>
    </row>
    <row r="18" spans="1:3" x14ac:dyDescent="0.2">
      <c r="A18" s="2">
        <v>42489</v>
      </c>
      <c r="B18">
        <v>1.83</v>
      </c>
      <c r="C18" s="11">
        <f t="shared" si="0"/>
        <v>1.83E-2</v>
      </c>
    </row>
    <row r="19" spans="1:3" x14ac:dyDescent="0.2">
      <c r="A19" s="2">
        <v>42492</v>
      </c>
      <c r="B19">
        <v>1.88</v>
      </c>
      <c r="C19" s="11">
        <f t="shared" si="0"/>
        <v>1.8799999999999997E-2</v>
      </c>
    </row>
    <row r="20" spans="1:3" x14ac:dyDescent="0.2">
      <c r="A20" s="2">
        <v>42493</v>
      </c>
      <c r="B20">
        <v>1.81</v>
      </c>
      <c r="C20" s="11">
        <f t="shared" si="0"/>
        <v>1.8100000000000002E-2</v>
      </c>
    </row>
    <row r="21" spans="1:3" x14ac:dyDescent="0.2">
      <c r="A21" s="2">
        <v>42494</v>
      </c>
      <c r="B21">
        <v>1.79</v>
      </c>
      <c r="C21" s="11">
        <f t="shared" si="0"/>
        <v>1.7899999999999999E-2</v>
      </c>
    </row>
    <row r="22" spans="1:3" x14ac:dyDescent="0.2">
      <c r="A22" s="2">
        <v>42495</v>
      </c>
      <c r="B22">
        <v>1.76</v>
      </c>
      <c r="C22" s="11">
        <f t="shared" si="0"/>
        <v>1.7600000000000001E-2</v>
      </c>
    </row>
    <row r="23" spans="1:3" x14ac:dyDescent="0.2">
      <c r="A23" s="2">
        <v>42496</v>
      </c>
      <c r="B23">
        <v>1.79</v>
      </c>
      <c r="C23" s="11">
        <f t="shared" si="0"/>
        <v>1.7899999999999999E-2</v>
      </c>
    </row>
    <row r="24" spans="1:3" x14ac:dyDescent="0.2">
      <c r="A24" s="2">
        <v>42499</v>
      </c>
      <c r="B24">
        <v>1.77</v>
      </c>
      <c r="C24" s="11">
        <f t="shared" si="0"/>
        <v>1.77E-2</v>
      </c>
    </row>
    <row r="25" spans="1:3" x14ac:dyDescent="0.2">
      <c r="A25" s="2">
        <v>42500</v>
      </c>
      <c r="B25">
        <v>1.77</v>
      </c>
      <c r="C25" s="11">
        <f t="shared" si="0"/>
        <v>1.77E-2</v>
      </c>
    </row>
    <row r="26" spans="1:3" x14ac:dyDescent="0.2">
      <c r="A26" s="2">
        <v>42501</v>
      </c>
      <c r="B26">
        <v>1.73</v>
      </c>
      <c r="C26" s="11">
        <f t="shared" si="0"/>
        <v>1.7299999999999999E-2</v>
      </c>
    </row>
    <row r="27" spans="1:3" x14ac:dyDescent="0.2">
      <c r="A27" s="2">
        <v>42502</v>
      </c>
      <c r="B27">
        <v>1.75</v>
      </c>
      <c r="C27" s="11">
        <f t="shared" si="0"/>
        <v>1.7500000000000002E-2</v>
      </c>
    </row>
    <row r="28" spans="1:3" x14ac:dyDescent="0.2">
      <c r="A28" s="2">
        <v>42503</v>
      </c>
      <c r="B28">
        <v>1.71</v>
      </c>
      <c r="C28" s="11">
        <f t="shared" si="0"/>
        <v>1.7100000000000001E-2</v>
      </c>
    </row>
    <row r="29" spans="1:3" x14ac:dyDescent="0.2">
      <c r="A29" s="2">
        <v>42506</v>
      </c>
      <c r="B29">
        <v>1.75</v>
      </c>
      <c r="C29" s="11">
        <f t="shared" si="0"/>
        <v>1.7500000000000002E-2</v>
      </c>
    </row>
    <row r="30" spans="1:3" x14ac:dyDescent="0.2">
      <c r="A30" s="2">
        <v>42507</v>
      </c>
      <c r="B30">
        <v>1.76</v>
      </c>
      <c r="C30" s="11">
        <f t="shared" si="0"/>
        <v>1.7600000000000001E-2</v>
      </c>
    </row>
    <row r="31" spans="1:3" x14ac:dyDescent="0.2">
      <c r="A31" s="2">
        <v>42508</v>
      </c>
      <c r="B31">
        <v>1.87</v>
      </c>
      <c r="C31" s="11">
        <f t="shared" si="0"/>
        <v>1.8700000000000001E-2</v>
      </c>
    </row>
    <row r="32" spans="1:3" x14ac:dyDescent="0.2">
      <c r="A32" s="2">
        <v>42509</v>
      </c>
      <c r="B32">
        <v>1.85</v>
      </c>
      <c r="C32" s="11">
        <f t="shared" si="0"/>
        <v>1.8500000000000003E-2</v>
      </c>
    </row>
    <row r="33" spans="1:3" x14ac:dyDescent="0.2">
      <c r="A33" s="2">
        <v>42510</v>
      </c>
      <c r="B33">
        <v>1.85</v>
      </c>
      <c r="C33" s="11">
        <f t="shared" si="0"/>
        <v>1.8500000000000003E-2</v>
      </c>
    </row>
    <row r="34" spans="1:3" x14ac:dyDescent="0.2">
      <c r="A34" s="2">
        <v>42513</v>
      </c>
      <c r="B34">
        <v>1.84</v>
      </c>
      <c r="C34" s="11">
        <f t="shared" si="0"/>
        <v>1.84E-2</v>
      </c>
    </row>
    <row r="35" spans="1:3" x14ac:dyDescent="0.2">
      <c r="A35" s="2">
        <v>42514</v>
      </c>
      <c r="B35">
        <v>1.86</v>
      </c>
      <c r="C35" s="11">
        <f t="shared" si="0"/>
        <v>1.8600000000000002E-2</v>
      </c>
    </row>
    <row r="36" spans="1:3" x14ac:dyDescent="0.2">
      <c r="A36" s="2">
        <v>42515</v>
      </c>
      <c r="B36">
        <v>1.87</v>
      </c>
      <c r="C36" s="11">
        <f t="shared" si="0"/>
        <v>1.8700000000000001E-2</v>
      </c>
    </row>
    <row r="37" spans="1:3" x14ac:dyDescent="0.2">
      <c r="A37" s="2">
        <v>42516</v>
      </c>
      <c r="B37">
        <v>1.83</v>
      </c>
      <c r="C37" s="11">
        <f t="shared" si="0"/>
        <v>1.83E-2</v>
      </c>
    </row>
    <row r="38" spans="1:3" x14ac:dyDescent="0.2">
      <c r="A38" s="2">
        <v>42517</v>
      </c>
      <c r="B38">
        <v>1.85</v>
      </c>
      <c r="C38" s="11">
        <f t="shared" si="0"/>
        <v>1.8500000000000003E-2</v>
      </c>
    </row>
    <row r="39" spans="1:3" x14ac:dyDescent="0.2">
      <c r="A39" s="2">
        <v>42521</v>
      </c>
      <c r="B39">
        <v>1.84</v>
      </c>
      <c r="C39" s="11">
        <f t="shared" si="0"/>
        <v>1.84E-2</v>
      </c>
    </row>
    <row r="40" spans="1:3" x14ac:dyDescent="0.2">
      <c r="A40" s="2">
        <v>42522</v>
      </c>
      <c r="B40">
        <v>1.85</v>
      </c>
      <c r="C40" s="11">
        <f t="shared" si="0"/>
        <v>1.8500000000000003E-2</v>
      </c>
    </row>
    <row r="41" spans="1:3" x14ac:dyDescent="0.2">
      <c r="A41" s="2">
        <v>42523</v>
      </c>
      <c r="B41">
        <v>1.81</v>
      </c>
      <c r="C41" s="11">
        <f t="shared" si="0"/>
        <v>1.8100000000000002E-2</v>
      </c>
    </row>
    <row r="42" spans="1:3" x14ac:dyDescent="0.2">
      <c r="A42" s="2">
        <v>42524</v>
      </c>
      <c r="B42">
        <v>1.71</v>
      </c>
      <c r="C42" s="11">
        <f t="shared" si="0"/>
        <v>1.7100000000000001E-2</v>
      </c>
    </row>
    <row r="43" spans="1:3" x14ac:dyDescent="0.2">
      <c r="A43" s="2">
        <v>42527</v>
      </c>
      <c r="B43">
        <v>1.73</v>
      </c>
      <c r="C43" s="11">
        <f t="shared" si="0"/>
        <v>1.7299999999999999E-2</v>
      </c>
    </row>
    <row r="44" spans="1:3" x14ac:dyDescent="0.2">
      <c r="A44" s="2">
        <v>42528</v>
      </c>
      <c r="B44">
        <v>1.72</v>
      </c>
      <c r="C44" s="11">
        <f t="shared" si="0"/>
        <v>1.72E-2</v>
      </c>
    </row>
    <row r="45" spans="1:3" x14ac:dyDescent="0.2">
      <c r="A45" s="2">
        <v>42529</v>
      </c>
      <c r="B45">
        <v>1.71</v>
      </c>
      <c r="C45" s="11">
        <f t="shared" si="0"/>
        <v>1.7100000000000001E-2</v>
      </c>
    </row>
    <row r="46" spans="1:3" x14ac:dyDescent="0.2">
      <c r="A46" s="2">
        <v>42530</v>
      </c>
      <c r="B46">
        <v>1.68</v>
      </c>
      <c r="C46" s="11">
        <f t="shared" si="0"/>
        <v>1.6799999999999999E-2</v>
      </c>
    </row>
    <row r="47" spans="1:3" x14ac:dyDescent="0.2">
      <c r="A47" s="2">
        <v>42531</v>
      </c>
      <c r="B47">
        <v>1.64</v>
      </c>
      <c r="C47" s="11">
        <f t="shared" si="0"/>
        <v>1.6399999999999998E-2</v>
      </c>
    </row>
    <row r="48" spans="1:3" x14ac:dyDescent="0.2">
      <c r="A48" s="2">
        <v>42534</v>
      </c>
      <c r="B48">
        <v>1.62</v>
      </c>
      <c r="C48" s="11">
        <f t="shared" si="0"/>
        <v>1.6200000000000003E-2</v>
      </c>
    </row>
    <row r="49" spans="1:3" x14ac:dyDescent="0.2">
      <c r="A49" s="2">
        <v>42535</v>
      </c>
      <c r="B49">
        <v>1.62</v>
      </c>
      <c r="C49" s="11">
        <f t="shared" si="0"/>
        <v>1.6200000000000003E-2</v>
      </c>
    </row>
    <row r="50" spans="1:3" x14ac:dyDescent="0.2">
      <c r="A50" s="2">
        <v>42536</v>
      </c>
      <c r="B50">
        <v>1.6</v>
      </c>
      <c r="C50" s="11">
        <f t="shared" si="0"/>
        <v>1.6E-2</v>
      </c>
    </row>
    <row r="51" spans="1:3" x14ac:dyDescent="0.2">
      <c r="A51" s="2">
        <v>42537</v>
      </c>
      <c r="B51">
        <v>1.57</v>
      </c>
      <c r="C51" s="11">
        <f t="shared" si="0"/>
        <v>1.5700000000000002E-2</v>
      </c>
    </row>
    <row r="52" spans="1:3" x14ac:dyDescent="0.2">
      <c r="A52" s="2">
        <v>42538</v>
      </c>
      <c r="B52">
        <v>1.62</v>
      </c>
      <c r="C52" s="11">
        <f t="shared" si="0"/>
        <v>1.6200000000000003E-2</v>
      </c>
    </row>
    <row r="53" spans="1:3" x14ac:dyDescent="0.2">
      <c r="A53" s="2">
        <v>42541</v>
      </c>
      <c r="B53">
        <v>1.67</v>
      </c>
      <c r="C53" s="11">
        <f t="shared" si="0"/>
        <v>1.67E-2</v>
      </c>
    </row>
    <row r="54" spans="1:3" x14ac:dyDescent="0.2">
      <c r="A54" s="2">
        <v>42542</v>
      </c>
      <c r="B54">
        <v>1.71</v>
      </c>
      <c r="C54" s="11">
        <f t="shared" si="0"/>
        <v>1.7100000000000001E-2</v>
      </c>
    </row>
    <row r="55" spans="1:3" x14ac:dyDescent="0.2">
      <c r="A55" s="2">
        <v>42543</v>
      </c>
      <c r="B55">
        <v>1.69</v>
      </c>
      <c r="C55" s="11">
        <f t="shared" si="0"/>
        <v>1.6899999999999998E-2</v>
      </c>
    </row>
    <row r="56" spans="1:3" x14ac:dyDescent="0.2">
      <c r="A56" s="2">
        <v>42544</v>
      </c>
      <c r="B56">
        <v>1.74</v>
      </c>
      <c r="C56" s="11">
        <f t="shared" si="0"/>
        <v>1.7399999999999999E-2</v>
      </c>
    </row>
    <row r="57" spans="1:3" x14ac:dyDescent="0.2">
      <c r="A57" s="2">
        <v>42545</v>
      </c>
      <c r="B57">
        <v>1.57</v>
      </c>
      <c r="C57" s="11">
        <f t="shared" si="0"/>
        <v>1.5700000000000002E-2</v>
      </c>
    </row>
    <row r="58" spans="1:3" x14ac:dyDescent="0.2">
      <c r="A58" s="2">
        <v>42548</v>
      </c>
      <c r="B58">
        <v>1.46</v>
      </c>
      <c r="C58" s="11">
        <f t="shared" si="0"/>
        <v>1.46E-2</v>
      </c>
    </row>
    <row r="59" spans="1:3" x14ac:dyDescent="0.2">
      <c r="A59" s="2">
        <v>42549</v>
      </c>
      <c r="B59">
        <v>1.46</v>
      </c>
      <c r="C59" s="11">
        <f t="shared" si="0"/>
        <v>1.46E-2</v>
      </c>
    </row>
    <row r="60" spans="1:3" x14ac:dyDescent="0.2">
      <c r="A60" s="2">
        <v>42550</v>
      </c>
      <c r="B60">
        <v>1.5</v>
      </c>
      <c r="C60" s="11">
        <f t="shared" si="0"/>
        <v>1.4999999999999999E-2</v>
      </c>
    </row>
    <row r="61" spans="1:3" x14ac:dyDescent="0.2">
      <c r="A61" s="2">
        <v>42551</v>
      </c>
      <c r="B61">
        <v>1.49</v>
      </c>
      <c r="C61" s="11">
        <f t="shared" si="0"/>
        <v>1.49E-2</v>
      </c>
    </row>
    <row r="62" spans="1:3" x14ac:dyDescent="0.2">
      <c r="A62" s="2">
        <v>42552</v>
      </c>
      <c r="B62">
        <v>1.46</v>
      </c>
      <c r="C62" s="11">
        <f t="shared" si="0"/>
        <v>1.46E-2</v>
      </c>
    </row>
    <row r="63" spans="1:3" x14ac:dyDescent="0.2">
      <c r="A63" s="2">
        <v>42556</v>
      </c>
      <c r="B63">
        <v>1.37</v>
      </c>
      <c r="C63" s="11">
        <f t="shared" si="0"/>
        <v>1.37E-2</v>
      </c>
    </row>
    <row r="64" spans="1:3" x14ac:dyDescent="0.2">
      <c r="A64" s="2">
        <v>42557</v>
      </c>
      <c r="B64">
        <v>1.38</v>
      </c>
      <c r="C64" s="11">
        <f t="shared" si="0"/>
        <v>1.38E-2</v>
      </c>
    </row>
    <row r="65" spans="1:3" x14ac:dyDescent="0.2">
      <c r="A65" s="2">
        <v>42558</v>
      </c>
      <c r="B65">
        <v>1.4</v>
      </c>
      <c r="C65" s="11">
        <f t="shared" si="0"/>
        <v>1.3999999999999999E-2</v>
      </c>
    </row>
    <row r="66" spans="1:3" x14ac:dyDescent="0.2">
      <c r="A66" s="2">
        <v>42559</v>
      </c>
      <c r="B66">
        <v>1.37</v>
      </c>
      <c r="C66" s="11">
        <f t="shared" si="0"/>
        <v>1.37E-2</v>
      </c>
    </row>
    <row r="67" spans="1:3" x14ac:dyDescent="0.2">
      <c r="A67" s="2">
        <v>42562</v>
      </c>
      <c r="B67">
        <v>1.43</v>
      </c>
      <c r="C67" s="11">
        <f t="shared" ref="C67:C130" si="1">B67/100</f>
        <v>1.43E-2</v>
      </c>
    </row>
    <row r="68" spans="1:3" x14ac:dyDescent="0.2">
      <c r="A68" s="2">
        <v>42563</v>
      </c>
      <c r="B68">
        <v>1.53</v>
      </c>
      <c r="C68" s="11">
        <f t="shared" si="1"/>
        <v>1.5300000000000001E-2</v>
      </c>
    </row>
    <row r="69" spans="1:3" x14ac:dyDescent="0.2">
      <c r="A69" s="2">
        <v>42564</v>
      </c>
      <c r="B69">
        <v>1.48</v>
      </c>
      <c r="C69" s="11">
        <f t="shared" si="1"/>
        <v>1.4800000000000001E-2</v>
      </c>
    </row>
    <row r="70" spans="1:3" x14ac:dyDescent="0.2">
      <c r="A70" s="2">
        <v>42565</v>
      </c>
      <c r="B70">
        <v>1.53</v>
      </c>
      <c r="C70" s="11">
        <f t="shared" si="1"/>
        <v>1.5300000000000001E-2</v>
      </c>
    </row>
    <row r="71" spans="1:3" x14ac:dyDescent="0.2">
      <c r="A71" s="2">
        <v>42566</v>
      </c>
      <c r="B71">
        <v>1.6</v>
      </c>
      <c r="C71" s="11">
        <f t="shared" si="1"/>
        <v>1.6E-2</v>
      </c>
    </row>
    <row r="72" spans="1:3" x14ac:dyDescent="0.2">
      <c r="A72" s="2">
        <v>42569</v>
      </c>
      <c r="B72">
        <v>1.59</v>
      </c>
      <c r="C72" s="11">
        <f t="shared" si="1"/>
        <v>1.5900000000000001E-2</v>
      </c>
    </row>
    <row r="73" spans="1:3" x14ac:dyDescent="0.2">
      <c r="A73" s="2">
        <v>42570</v>
      </c>
      <c r="B73">
        <v>1.56</v>
      </c>
      <c r="C73" s="11">
        <f t="shared" si="1"/>
        <v>1.5600000000000001E-2</v>
      </c>
    </row>
    <row r="74" spans="1:3" x14ac:dyDescent="0.2">
      <c r="A74" s="2">
        <v>42571</v>
      </c>
      <c r="B74">
        <v>1.59</v>
      </c>
      <c r="C74" s="11">
        <f t="shared" si="1"/>
        <v>1.5900000000000001E-2</v>
      </c>
    </row>
    <row r="75" spans="1:3" x14ac:dyDescent="0.2">
      <c r="A75" s="2">
        <v>42572</v>
      </c>
      <c r="B75">
        <v>1.57</v>
      </c>
      <c r="C75" s="11">
        <f t="shared" si="1"/>
        <v>1.5700000000000002E-2</v>
      </c>
    </row>
    <row r="76" spans="1:3" x14ac:dyDescent="0.2">
      <c r="A76" s="2">
        <v>42573</v>
      </c>
      <c r="B76">
        <v>1.57</v>
      </c>
      <c r="C76" s="11">
        <f t="shared" si="1"/>
        <v>1.5700000000000002E-2</v>
      </c>
    </row>
    <row r="77" spans="1:3" x14ac:dyDescent="0.2">
      <c r="A77" s="2">
        <v>42576</v>
      </c>
      <c r="B77">
        <v>1.58</v>
      </c>
      <c r="C77" s="11">
        <f t="shared" si="1"/>
        <v>1.5800000000000002E-2</v>
      </c>
    </row>
    <row r="78" spans="1:3" x14ac:dyDescent="0.2">
      <c r="A78" s="2">
        <v>42577</v>
      </c>
      <c r="B78">
        <v>1.57</v>
      </c>
      <c r="C78" s="11">
        <f t="shared" si="1"/>
        <v>1.5700000000000002E-2</v>
      </c>
    </row>
    <row r="79" spans="1:3" x14ac:dyDescent="0.2">
      <c r="A79" s="2">
        <v>42578</v>
      </c>
      <c r="B79">
        <v>1.52</v>
      </c>
      <c r="C79" s="11">
        <f t="shared" si="1"/>
        <v>1.52E-2</v>
      </c>
    </row>
    <row r="80" spans="1:3" x14ac:dyDescent="0.2">
      <c r="A80" s="2">
        <v>42579</v>
      </c>
      <c r="B80">
        <v>1.52</v>
      </c>
      <c r="C80" s="11">
        <f t="shared" si="1"/>
        <v>1.52E-2</v>
      </c>
    </row>
    <row r="81" spans="1:3" x14ac:dyDescent="0.2">
      <c r="A81" s="2">
        <v>42580</v>
      </c>
      <c r="B81">
        <v>1.46</v>
      </c>
      <c r="C81" s="11">
        <f t="shared" si="1"/>
        <v>1.46E-2</v>
      </c>
    </row>
    <row r="82" spans="1:3" x14ac:dyDescent="0.2">
      <c r="A82" s="2">
        <v>42583</v>
      </c>
      <c r="B82">
        <v>1.51</v>
      </c>
      <c r="C82" s="11">
        <f t="shared" si="1"/>
        <v>1.5100000000000001E-2</v>
      </c>
    </row>
    <row r="83" spans="1:3" x14ac:dyDescent="0.2">
      <c r="A83" s="2">
        <v>42584</v>
      </c>
      <c r="B83">
        <v>1.55</v>
      </c>
      <c r="C83" s="11">
        <f t="shared" si="1"/>
        <v>1.55E-2</v>
      </c>
    </row>
    <row r="84" spans="1:3" x14ac:dyDescent="0.2">
      <c r="A84" s="2">
        <v>42585</v>
      </c>
      <c r="B84">
        <v>1.55</v>
      </c>
      <c r="C84" s="11">
        <f t="shared" si="1"/>
        <v>1.55E-2</v>
      </c>
    </row>
    <row r="85" spans="1:3" x14ac:dyDescent="0.2">
      <c r="A85" s="2">
        <v>42586</v>
      </c>
      <c r="B85">
        <v>1.51</v>
      </c>
      <c r="C85" s="11">
        <f t="shared" si="1"/>
        <v>1.5100000000000001E-2</v>
      </c>
    </row>
    <row r="86" spans="1:3" x14ac:dyDescent="0.2">
      <c r="A86" s="2">
        <v>42587</v>
      </c>
      <c r="B86">
        <v>1.59</v>
      </c>
      <c r="C86" s="11">
        <f t="shared" si="1"/>
        <v>1.5900000000000001E-2</v>
      </c>
    </row>
    <row r="87" spans="1:3" x14ac:dyDescent="0.2">
      <c r="A87" s="2">
        <v>42590</v>
      </c>
      <c r="B87">
        <v>1.59</v>
      </c>
      <c r="C87" s="11">
        <f t="shared" si="1"/>
        <v>1.5900000000000001E-2</v>
      </c>
    </row>
    <row r="88" spans="1:3" x14ac:dyDescent="0.2">
      <c r="A88" s="2">
        <v>42591</v>
      </c>
      <c r="B88">
        <v>1.55</v>
      </c>
      <c r="C88" s="11">
        <f t="shared" si="1"/>
        <v>1.55E-2</v>
      </c>
    </row>
    <row r="89" spans="1:3" x14ac:dyDescent="0.2">
      <c r="A89" s="2">
        <v>42592</v>
      </c>
      <c r="B89">
        <v>1.5</v>
      </c>
      <c r="C89" s="11">
        <f t="shared" si="1"/>
        <v>1.4999999999999999E-2</v>
      </c>
    </row>
    <row r="90" spans="1:3" x14ac:dyDescent="0.2">
      <c r="A90" s="2">
        <v>42593</v>
      </c>
      <c r="B90">
        <v>1.57</v>
      </c>
      <c r="C90" s="11">
        <f t="shared" si="1"/>
        <v>1.5700000000000002E-2</v>
      </c>
    </row>
    <row r="91" spans="1:3" x14ac:dyDescent="0.2">
      <c r="A91" s="2">
        <v>42594</v>
      </c>
      <c r="B91">
        <v>1.51</v>
      </c>
      <c r="C91" s="11">
        <f t="shared" si="1"/>
        <v>1.5100000000000001E-2</v>
      </c>
    </row>
    <row r="92" spans="1:3" x14ac:dyDescent="0.2">
      <c r="A92" s="2">
        <v>42597</v>
      </c>
      <c r="B92">
        <v>1.55</v>
      </c>
      <c r="C92" s="11">
        <f t="shared" si="1"/>
        <v>1.55E-2</v>
      </c>
    </row>
    <row r="93" spans="1:3" x14ac:dyDescent="0.2">
      <c r="A93" s="2">
        <v>42598</v>
      </c>
      <c r="B93">
        <v>1.57</v>
      </c>
      <c r="C93" s="11">
        <f t="shared" si="1"/>
        <v>1.5700000000000002E-2</v>
      </c>
    </row>
    <row r="94" spans="1:3" x14ac:dyDescent="0.2">
      <c r="A94" s="2">
        <v>42599</v>
      </c>
      <c r="B94">
        <v>1.56</v>
      </c>
      <c r="C94" s="11">
        <f t="shared" si="1"/>
        <v>1.5600000000000001E-2</v>
      </c>
    </row>
    <row r="95" spans="1:3" x14ac:dyDescent="0.2">
      <c r="A95" s="2">
        <v>42600</v>
      </c>
      <c r="B95">
        <v>1.53</v>
      </c>
      <c r="C95" s="11">
        <f t="shared" si="1"/>
        <v>1.5300000000000001E-2</v>
      </c>
    </row>
    <row r="96" spans="1:3" x14ac:dyDescent="0.2">
      <c r="A96" s="2">
        <v>42601</v>
      </c>
      <c r="B96">
        <v>1.58</v>
      </c>
      <c r="C96" s="11">
        <f t="shared" si="1"/>
        <v>1.5800000000000002E-2</v>
      </c>
    </row>
    <row r="97" spans="1:3" x14ac:dyDescent="0.2">
      <c r="A97" s="2">
        <v>42604</v>
      </c>
      <c r="B97">
        <v>1.55</v>
      </c>
      <c r="C97" s="11">
        <f t="shared" si="1"/>
        <v>1.55E-2</v>
      </c>
    </row>
    <row r="98" spans="1:3" x14ac:dyDescent="0.2">
      <c r="A98" s="2">
        <v>42605</v>
      </c>
      <c r="B98">
        <v>1.55</v>
      </c>
      <c r="C98" s="11">
        <f t="shared" si="1"/>
        <v>1.55E-2</v>
      </c>
    </row>
    <row r="99" spans="1:3" x14ac:dyDescent="0.2">
      <c r="A99" s="2">
        <v>42606</v>
      </c>
      <c r="B99">
        <v>1.56</v>
      </c>
      <c r="C99" s="11">
        <f t="shared" si="1"/>
        <v>1.5600000000000001E-2</v>
      </c>
    </row>
    <row r="100" spans="1:3" x14ac:dyDescent="0.2">
      <c r="A100" s="2">
        <v>42607</v>
      </c>
      <c r="B100">
        <v>1.58</v>
      </c>
      <c r="C100" s="11">
        <f t="shared" si="1"/>
        <v>1.5800000000000002E-2</v>
      </c>
    </row>
    <row r="101" spans="1:3" x14ac:dyDescent="0.2">
      <c r="A101" s="2">
        <v>42608</v>
      </c>
      <c r="B101">
        <v>1.62</v>
      </c>
      <c r="C101" s="11">
        <f t="shared" si="1"/>
        <v>1.6200000000000003E-2</v>
      </c>
    </row>
    <row r="102" spans="1:3" x14ac:dyDescent="0.2">
      <c r="A102" s="2">
        <v>42611</v>
      </c>
      <c r="B102">
        <v>1.57</v>
      </c>
      <c r="C102" s="11">
        <f t="shared" si="1"/>
        <v>1.5700000000000002E-2</v>
      </c>
    </row>
    <row r="103" spans="1:3" x14ac:dyDescent="0.2">
      <c r="A103" s="2">
        <v>42612</v>
      </c>
      <c r="B103">
        <v>1.57</v>
      </c>
      <c r="C103" s="11">
        <f t="shared" si="1"/>
        <v>1.5700000000000002E-2</v>
      </c>
    </row>
    <row r="104" spans="1:3" x14ac:dyDescent="0.2">
      <c r="A104" s="2">
        <v>42613</v>
      </c>
      <c r="B104">
        <v>1.58</v>
      </c>
      <c r="C104" s="11">
        <f t="shared" si="1"/>
        <v>1.5800000000000002E-2</v>
      </c>
    </row>
    <row r="105" spans="1:3" x14ac:dyDescent="0.2">
      <c r="A105" s="2">
        <v>42614</v>
      </c>
      <c r="B105">
        <v>1.57</v>
      </c>
      <c r="C105" s="11">
        <f t="shared" si="1"/>
        <v>1.5700000000000002E-2</v>
      </c>
    </row>
    <row r="106" spans="1:3" x14ac:dyDescent="0.2">
      <c r="A106" s="2">
        <v>42615</v>
      </c>
      <c r="B106">
        <v>1.6</v>
      </c>
      <c r="C106" s="11">
        <f t="shared" si="1"/>
        <v>1.6E-2</v>
      </c>
    </row>
    <row r="107" spans="1:3" x14ac:dyDescent="0.2">
      <c r="A107" s="2">
        <v>42619</v>
      </c>
      <c r="B107">
        <v>1.55</v>
      </c>
      <c r="C107" s="11">
        <f t="shared" si="1"/>
        <v>1.55E-2</v>
      </c>
    </row>
    <row r="108" spans="1:3" x14ac:dyDescent="0.2">
      <c r="A108" s="2">
        <v>42620</v>
      </c>
      <c r="B108">
        <v>1.54</v>
      </c>
      <c r="C108" s="11">
        <f t="shared" si="1"/>
        <v>1.54E-2</v>
      </c>
    </row>
    <row r="109" spans="1:3" x14ac:dyDescent="0.2">
      <c r="A109" s="2">
        <v>42621</v>
      </c>
      <c r="B109">
        <v>1.61</v>
      </c>
      <c r="C109" s="11">
        <f t="shared" si="1"/>
        <v>1.61E-2</v>
      </c>
    </row>
    <row r="110" spans="1:3" x14ac:dyDescent="0.2">
      <c r="A110" s="2">
        <v>42622</v>
      </c>
      <c r="B110">
        <v>1.67</v>
      </c>
      <c r="C110" s="11">
        <f t="shared" si="1"/>
        <v>1.67E-2</v>
      </c>
    </row>
    <row r="111" spans="1:3" x14ac:dyDescent="0.2">
      <c r="A111" s="2">
        <v>42625</v>
      </c>
      <c r="B111">
        <v>1.68</v>
      </c>
      <c r="C111" s="11">
        <f t="shared" si="1"/>
        <v>1.6799999999999999E-2</v>
      </c>
    </row>
    <row r="112" spans="1:3" x14ac:dyDescent="0.2">
      <c r="A112" s="2">
        <v>42626</v>
      </c>
      <c r="B112">
        <v>1.73</v>
      </c>
      <c r="C112" s="11">
        <f t="shared" si="1"/>
        <v>1.7299999999999999E-2</v>
      </c>
    </row>
    <row r="113" spans="1:3" x14ac:dyDescent="0.2">
      <c r="A113" s="2">
        <v>42627</v>
      </c>
      <c r="B113">
        <v>1.7</v>
      </c>
      <c r="C113" s="11">
        <f t="shared" si="1"/>
        <v>1.7000000000000001E-2</v>
      </c>
    </row>
    <row r="114" spans="1:3" x14ac:dyDescent="0.2">
      <c r="A114" s="2">
        <v>42628</v>
      </c>
      <c r="B114">
        <v>1.71</v>
      </c>
      <c r="C114" s="11">
        <f t="shared" si="1"/>
        <v>1.7100000000000001E-2</v>
      </c>
    </row>
    <row r="115" spans="1:3" x14ac:dyDescent="0.2">
      <c r="A115" s="2">
        <v>42629</v>
      </c>
      <c r="B115">
        <v>1.7</v>
      </c>
      <c r="C115" s="11">
        <f t="shared" si="1"/>
        <v>1.7000000000000001E-2</v>
      </c>
    </row>
    <row r="116" spans="1:3" x14ac:dyDescent="0.2">
      <c r="A116" s="2">
        <v>42632</v>
      </c>
      <c r="B116">
        <v>1.7</v>
      </c>
      <c r="C116" s="11">
        <f t="shared" si="1"/>
        <v>1.7000000000000001E-2</v>
      </c>
    </row>
    <row r="117" spans="1:3" x14ac:dyDescent="0.2">
      <c r="A117" s="2">
        <v>42633</v>
      </c>
      <c r="B117">
        <v>1.69</v>
      </c>
      <c r="C117" s="11">
        <f t="shared" si="1"/>
        <v>1.6899999999999998E-2</v>
      </c>
    </row>
    <row r="118" spans="1:3" x14ac:dyDescent="0.2">
      <c r="A118" s="2">
        <v>42634</v>
      </c>
      <c r="B118">
        <v>1.66</v>
      </c>
      <c r="C118" s="11">
        <f t="shared" si="1"/>
        <v>1.66E-2</v>
      </c>
    </row>
    <row r="119" spans="1:3" x14ac:dyDescent="0.2">
      <c r="A119" s="2">
        <v>42635</v>
      </c>
      <c r="B119">
        <v>1.63</v>
      </c>
      <c r="C119" s="11">
        <f t="shared" si="1"/>
        <v>1.6299999999999999E-2</v>
      </c>
    </row>
    <row r="120" spans="1:3" x14ac:dyDescent="0.2">
      <c r="A120" s="2">
        <v>42636</v>
      </c>
      <c r="B120">
        <v>1.62</v>
      </c>
      <c r="C120" s="11">
        <f t="shared" si="1"/>
        <v>1.6200000000000003E-2</v>
      </c>
    </row>
    <row r="121" spans="1:3" x14ac:dyDescent="0.2">
      <c r="A121" s="2">
        <v>42639</v>
      </c>
      <c r="B121">
        <v>1.59</v>
      </c>
      <c r="C121" s="11">
        <f t="shared" si="1"/>
        <v>1.5900000000000001E-2</v>
      </c>
    </row>
    <row r="122" spans="1:3" x14ac:dyDescent="0.2">
      <c r="A122" s="2">
        <v>42640</v>
      </c>
      <c r="B122">
        <v>1.56</v>
      </c>
      <c r="C122" s="11">
        <f t="shared" si="1"/>
        <v>1.5600000000000001E-2</v>
      </c>
    </row>
    <row r="123" spans="1:3" x14ac:dyDescent="0.2">
      <c r="A123" s="2">
        <v>42641</v>
      </c>
      <c r="B123">
        <v>1.57</v>
      </c>
      <c r="C123" s="11">
        <f t="shared" si="1"/>
        <v>1.5700000000000002E-2</v>
      </c>
    </row>
    <row r="124" spans="1:3" x14ac:dyDescent="0.2">
      <c r="A124" s="2">
        <v>42642</v>
      </c>
      <c r="B124">
        <v>1.56</v>
      </c>
      <c r="C124" s="11">
        <f t="shared" si="1"/>
        <v>1.5600000000000001E-2</v>
      </c>
    </row>
    <row r="125" spans="1:3" x14ac:dyDescent="0.2">
      <c r="A125" s="2">
        <v>42643</v>
      </c>
      <c r="B125">
        <v>1.6</v>
      </c>
      <c r="C125" s="11">
        <f t="shared" si="1"/>
        <v>1.6E-2</v>
      </c>
    </row>
    <row r="126" spans="1:3" x14ac:dyDescent="0.2">
      <c r="A126" s="2">
        <v>42646</v>
      </c>
      <c r="B126">
        <v>1.63</v>
      </c>
      <c r="C126" s="11">
        <f t="shared" si="1"/>
        <v>1.6299999999999999E-2</v>
      </c>
    </row>
    <row r="127" spans="1:3" x14ac:dyDescent="0.2">
      <c r="A127" s="2">
        <v>42647</v>
      </c>
      <c r="B127">
        <v>1.69</v>
      </c>
      <c r="C127" s="11">
        <f t="shared" si="1"/>
        <v>1.6899999999999998E-2</v>
      </c>
    </row>
    <row r="128" spans="1:3" x14ac:dyDescent="0.2">
      <c r="A128" s="2">
        <v>42648</v>
      </c>
      <c r="B128">
        <v>1.72</v>
      </c>
      <c r="C128" s="11">
        <f t="shared" si="1"/>
        <v>1.72E-2</v>
      </c>
    </row>
    <row r="129" spans="1:3" x14ac:dyDescent="0.2">
      <c r="A129" s="2">
        <v>42649</v>
      </c>
      <c r="B129">
        <v>1.75</v>
      </c>
      <c r="C129" s="11">
        <f t="shared" si="1"/>
        <v>1.7500000000000002E-2</v>
      </c>
    </row>
    <row r="130" spans="1:3" x14ac:dyDescent="0.2">
      <c r="A130" s="2">
        <v>42650</v>
      </c>
      <c r="B130">
        <v>1.73</v>
      </c>
      <c r="C130" s="11">
        <f t="shared" si="1"/>
        <v>1.7299999999999999E-2</v>
      </c>
    </row>
    <row r="131" spans="1:3" x14ac:dyDescent="0.2">
      <c r="A131" s="2">
        <v>42654</v>
      </c>
      <c r="B131">
        <v>1.77</v>
      </c>
      <c r="C131" s="11">
        <f t="shared" ref="C131:C194" si="2">B131/100</f>
        <v>1.77E-2</v>
      </c>
    </row>
    <row r="132" spans="1:3" x14ac:dyDescent="0.2">
      <c r="A132" s="2">
        <v>42655</v>
      </c>
      <c r="B132">
        <v>1.79</v>
      </c>
      <c r="C132" s="11">
        <f t="shared" si="2"/>
        <v>1.7899999999999999E-2</v>
      </c>
    </row>
    <row r="133" spans="1:3" x14ac:dyDescent="0.2">
      <c r="A133" s="2">
        <v>42656</v>
      </c>
      <c r="B133">
        <v>1.75</v>
      </c>
      <c r="C133" s="11">
        <f t="shared" si="2"/>
        <v>1.7500000000000002E-2</v>
      </c>
    </row>
    <row r="134" spans="1:3" x14ac:dyDescent="0.2">
      <c r="A134" s="2">
        <v>42657</v>
      </c>
      <c r="B134">
        <v>1.8</v>
      </c>
      <c r="C134" s="11">
        <f t="shared" si="2"/>
        <v>1.8000000000000002E-2</v>
      </c>
    </row>
    <row r="135" spans="1:3" x14ac:dyDescent="0.2">
      <c r="A135" s="2">
        <v>42660</v>
      </c>
      <c r="B135">
        <v>1.77</v>
      </c>
      <c r="C135" s="11">
        <f t="shared" si="2"/>
        <v>1.77E-2</v>
      </c>
    </row>
    <row r="136" spans="1:3" x14ac:dyDescent="0.2">
      <c r="A136" s="2">
        <v>42661</v>
      </c>
      <c r="B136">
        <v>1.75</v>
      </c>
      <c r="C136" s="11">
        <f t="shared" si="2"/>
        <v>1.7500000000000002E-2</v>
      </c>
    </row>
    <row r="137" spans="1:3" x14ac:dyDescent="0.2">
      <c r="A137" s="2">
        <v>42662</v>
      </c>
      <c r="B137">
        <v>1.76</v>
      </c>
      <c r="C137" s="11">
        <f t="shared" si="2"/>
        <v>1.7600000000000001E-2</v>
      </c>
    </row>
    <row r="138" spans="1:3" x14ac:dyDescent="0.2">
      <c r="A138" s="2">
        <v>42663</v>
      </c>
      <c r="B138">
        <v>1.76</v>
      </c>
      <c r="C138" s="11">
        <f t="shared" si="2"/>
        <v>1.7600000000000001E-2</v>
      </c>
    </row>
    <row r="139" spans="1:3" x14ac:dyDescent="0.2">
      <c r="A139" s="2">
        <v>42664</v>
      </c>
      <c r="B139">
        <v>1.74</v>
      </c>
      <c r="C139" s="11">
        <f t="shared" si="2"/>
        <v>1.7399999999999999E-2</v>
      </c>
    </row>
    <row r="140" spans="1:3" x14ac:dyDescent="0.2">
      <c r="A140" s="2">
        <v>42667</v>
      </c>
      <c r="B140">
        <v>1.77</v>
      </c>
      <c r="C140" s="11">
        <f t="shared" si="2"/>
        <v>1.77E-2</v>
      </c>
    </row>
    <row r="141" spans="1:3" x14ac:dyDescent="0.2">
      <c r="A141" s="2">
        <v>42668</v>
      </c>
      <c r="B141">
        <v>1.77</v>
      </c>
      <c r="C141" s="11">
        <f t="shared" si="2"/>
        <v>1.77E-2</v>
      </c>
    </row>
    <row r="142" spans="1:3" x14ac:dyDescent="0.2">
      <c r="A142" s="2">
        <v>42669</v>
      </c>
      <c r="B142">
        <v>1.79</v>
      </c>
      <c r="C142" s="11">
        <f t="shared" si="2"/>
        <v>1.7899999999999999E-2</v>
      </c>
    </row>
    <row r="143" spans="1:3" x14ac:dyDescent="0.2">
      <c r="A143" s="2">
        <v>42670</v>
      </c>
      <c r="B143">
        <v>1.85</v>
      </c>
      <c r="C143" s="11">
        <f t="shared" si="2"/>
        <v>1.8500000000000003E-2</v>
      </c>
    </row>
    <row r="144" spans="1:3" x14ac:dyDescent="0.2">
      <c r="A144" s="2">
        <v>42671</v>
      </c>
      <c r="B144">
        <v>1.86</v>
      </c>
      <c r="C144" s="11">
        <f t="shared" si="2"/>
        <v>1.8600000000000002E-2</v>
      </c>
    </row>
    <row r="145" spans="1:3" x14ac:dyDescent="0.2">
      <c r="A145" s="2">
        <v>42674</v>
      </c>
      <c r="B145">
        <v>1.84</v>
      </c>
      <c r="C145" s="11">
        <f t="shared" si="2"/>
        <v>1.84E-2</v>
      </c>
    </row>
    <row r="146" spans="1:3" x14ac:dyDescent="0.2">
      <c r="A146" s="2">
        <v>42675</v>
      </c>
      <c r="B146">
        <v>1.83</v>
      </c>
      <c r="C146" s="11">
        <f t="shared" si="2"/>
        <v>1.83E-2</v>
      </c>
    </row>
    <row r="147" spans="1:3" x14ac:dyDescent="0.2">
      <c r="A147" s="2">
        <v>42676</v>
      </c>
      <c r="B147">
        <v>1.81</v>
      </c>
      <c r="C147" s="11">
        <f t="shared" si="2"/>
        <v>1.8100000000000002E-2</v>
      </c>
    </row>
    <row r="148" spans="1:3" x14ac:dyDescent="0.2">
      <c r="A148" s="2">
        <v>42677</v>
      </c>
      <c r="B148">
        <v>1.82</v>
      </c>
      <c r="C148" s="11">
        <f t="shared" si="2"/>
        <v>1.8200000000000001E-2</v>
      </c>
    </row>
    <row r="149" spans="1:3" x14ac:dyDescent="0.2">
      <c r="A149" s="2">
        <v>42678</v>
      </c>
      <c r="B149">
        <v>1.79</v>
      </c>
      <c r="C149" s="11">
        <f t="shared" si="2"/>
        <v>1.7899999999999999E-2</v>
      </c>
    </row>
    <row r="150" spans="1:3" x14ac:dyDescent="0.2">
      <c r="A150" s="2">
        <v>42681</v>
      </c>
      <c r="B150">
        <v>1.83</v>
      </c>
      <c r="C150" s="11">
        <f t="shared" si="2"/>
        <v>1.83E-2</v>
      </c>
    </row>
    <row r="151" spans="1:3" x14ac:dyDescent="0.2">
      <c r="A151" s="2">
        <v>42682</v>
      </c>
      <c r="B151">
        <v>1.88</v>
      </c>
      <c r="C151" s="11">
        <f t="shared" si="2"/>
        <v>1.8799999999999997E-2</v>
      </c>
    </row>
    <row r="152" spans="1:3" x14ac:dyDescent="0.2">
      <c r="A152" s="2">
        <v>42683</v>
      </c>
      <c r="B152">
        <v>2.0699999999999998</v>
      </c>
      <c r="C152" s="11">
        <f t="shared" si="2"/>
        <v>2.07E-2</v>
      </c>
    </row>
    <row r="153" spans="1:3" x14ac:dyDescent="0.2">
      <c r="A153" s="2">
        <v>42684</v>
      </c>
      <c r="B153">
        <v>2.15</v>
      </c>
      <c r="C153" s="11">
        <f t="shared" si="2"/>
        <v>2.1499999999999998E-2</v>
      </c>
    </row>
    <row r="154" spans="1:3" x14ac:dyDescent="0.2">
      <c r="A154" s="2">
        <v>42688</v>
      </c>
      <c r="B154">
        <v>2.23</v>
      </c>
      <c r="C154" s="11">
        <f t="shared" si="2"/>
        <v>2.23E-2</v>
      </c>
    </row>
    <row r="155" spans="1:3" x14ac:dyDescent="0.2">
      <c r="A155" s="2">
        <v>42689</v>
      </c>
      <c r="B155">
        <v>2.23</v>
      </c>
      <c r="C155" s="11">
        <f t="shared" si="2"/>
        <v>2.23E-2</v>
      </c>
    </row>
    <row r="156" spans="1:3" x14ac:dyDescent="0.2">
      <c r="A156" s="2">
        <v>42690</v>
      </c>
      <c r="B156">
        <v>2.2200000000000002</v>
      </c>
      <c r="C156" s="11">
        <f t="shared" si="2"/>
        <v>2.2200000000000001E-2</v>
      </c>
    </row>
    <row r="157" spans="1:3" x14ac:dyDescent="0.2">
      <c r="A157" s="2">
        <v>42691</v>
      </c>
      <c r="B157">
        <v>2.29</v>
      </c>
      <c r="C157" s="11">
        <f t="shared" si="2"/>
        <v>2.29E-2</v>
      </c>
    </row>
    <row r="158" spans="1:3" x14ac:dyDescent="0.2">
      <c r="A158" s="2">
        <v>42692</v>
      </c>
      <c r="B158">
        <v>2.34</v>
      </c>
      <c r="C158" s="11">
        <f t="shared" si="2"/>
        <v>2.3399999999999997E-2</v>
      </c>
    </row>
    <row r="159" spans="1:3" x14ac:dyDescent="0.2">
      <c r="A159" s="2">
        <v>42695</v>
      </c>
      <c r="B159">
        <v>2.33</v>
      </c>
      <c r="C159" s="11">
        <f t="shared" si="2"/>
        <v>2.3300000000000001E-2</v>
      </c>
    </row>
    <row r="160" spans="1:3" x14ac:dyDescent="0.2">
      <c r="A160" s="2">
        <v>42696</v>
      </c>
      <c r="B160">
        <v>2.31</v>
      </c>
      <c r="C160" s="11">
        <f t="shared" si="2"/>
        <v>2.3099999999999999E-2</v>
      </c>
    </row>
    <row r="161" spans="1:3" x14ac:dyDescent="0.2">
      <c r="A161" s="2">
        <v>42697</v>
      </c>
      <c r="B161">
        <v>2.36</v>
      </c>
      <c r="C161" s="11">
        <f t="shared" si="2"/>
        <v>2.3599999999999999E-2</v>
      </c>
    </row>
    <row r="162" spans="1:3" x14ac:dyDescent="0.2">
      <c r="A162" s="2">
        <v>42699</v>
      </c>
      <c r="B162">
        <v>2.36</v>
      </c>
      <c r="C162" s="11">
        <f t="shared" si="2"/>
        <v>2.3599999999999999E-2</v>
      </c>
    </row>
    <row r="163" spans="1:3" x14ac:dyDescent="0.2">
      <c r="A163" s="2">
        <v>42702</v>
      </c>
      <c r="B163">
        <v>2.3199999999999998</v>
      </c>
      <c r="C163" s="11">
        <f t="shared" si="2"/>
        <v>2.3199999999999998E-2</v>
      </c>
    </row>
    <row r="164" spans="1:3" x14ac:dyDescent="0.2">
      <c r="A164" s="2">
        <v>42703</v>
      </c>
      <c r="B164">
        <v>2.2999999999999998</v>
      </c>
      <c r="C164" s="11">
        <f t="shared" si="2"/>
        <v>2.3E-2</v>
      </c>
    </row>
    <row r="165" spans="1:3" x14ac:dyDescent="0.2">
      <c r="A165" s="2">
        <v>42704</v>
      </c>
      <c r="B165">
        <v>2.37</v>
      </c>
      <c r="C165" s="11">
        <f t="shared" si="2"/>
        <v>2.3700000000000002E-2</v>
      </c>
    </row>
    <row r="166" spans="1:3" x14ac:dyDescent="0.2">
      <c r="A166" s="2">
        <v>42705</v>
      </c>
      <c r="B166">
        <v>2.4500000000000002</v>
      </c>
      <c r="C166" s="11">
        <f t="shared" si="2"/>
        <v>2.4500000000000001E-2</v>
      </c>
    </row>
    <row r="167" spans="1:3" x14ac:dyDescent="0.2">
      <c r="A167" s="2">
        <v>42706</v>
      </c>
      <c r="B167">
        <v>2.4</v>
      </c>
      <c r="C167" s="11">
        <f t="shared" si="2"/>
        <v>2.4E-2</v>
      </c>
    </row>
    <row r="168" spans="1:3" x14ac:dyDescent="0.2">
      <c r="A168" s="2">
        <v>42709</v>
      </c>
      <c r="B168">
        <v>2.39</v>
      </c>
      <c r="C168" s="11">
        <f t="shared" si="2"/>
        <v>2.3900000000000001E-2</v>
      </c>
    </row>
    <row r="169" spans="1:3" x14ac:dyDescent="0.2">
      <c r="A169" s="2">
        <v>42710</v>
      </c>
      <c r="B169">
        <v>2.39</v>
      </c>
      <c r="C169" s="11">
        <f t="shared" si="2"/>
        <v>2.3900000000000001E-2</v>
      </c>
    </row>
    <row r="170" spans="1:3" x14ac:dyDescent="0.2">
      <c r="A170" s="2">
        <v>42711</v>
      </c>
      <c r="B170">
        <v>2.34</v>
      </c>
      <c r="C170" s="11">
        <f t="shared" si="2"/>
        <v>2.3399999999999997E-2</v>
      </c>
    </row>
    <row r="171" spans="1:3" x14ac:dyDescent="0.2">
      <c r="A171" s="2">
        <v>42712</v>
      </c>
      <c r="B171">
        <v>2.4</v>
      </c>
      <c r="C171" s="11">
        <f t="shared" si="2"/>
        <v>2.4E-2</v>
      </c>
    </row>
    <row r="172" spans="1:3" x14ac:dyDescent="0.2">
      <c r="A172" s="2">
        <v>42713</v>
      </c>
      <c r="B172">
        <v>2.4700000000000002</v>
      </c>
      <c r="C172" s="11">
        <f t="shared" si="2"/>
        <v>2.4700000000000003E-2</v>
      </c>
    </row>
    <row r="173" spans="1:3" x14ac:dyDescent="0.2">
      <c r="A173" s="2">
        <v>42716</v>
      </c>
      <c r="B173">
        <v>2.4900000000000002</v>
      </c>
      <c r="C173" s="11">
        <f t="shared" si="2"/>
        <v>2.4900000000000002E-2</v>
      </c>
    </row>
    <row r="174" spans="1:3" x14ac:dyDescent="0.2">
      <c r="A174" s="2">
        <v>42717</v>
      </c>
      <c r="B174">
        <v>2.48</v>
      </c>
      <c r="C174" s="11">
        <f t="shared" si="2"/>
        <v>2.4799999999999999E-2</v>
      </c>
    </row>
    <row r="175" spans="1:3" x14ac:dyDescent="0.2">
      <c r="A175" s="2">
        <v>42718</v>
      </c>
      <c r="B175">
        <v>2.54</v>
      </c>
      <c r="C175" s="11">
        <f t="shared" si="2"/>
        <v>2.5399999999999999E-2</v>
      </c>
    </row>
    <row r="176" spans="1:3" x14ac:dyDescent="0.2">
      <c r="A176" s="2">
        <v>42719</v>
      </c>
      <c r="B176">
        <v>2.6</v>
      </c>
      <c r="C176" s="11">
        <f t="shared" si="2"/>
        <v>2.6000000000000002E-2</v>
      </c>
    </row>
    <row r="177" spans="1:3" x14ac:dyDescent="0.2">
      <c r="A177" s="2">
        <v>42720</v>
      </c>
      <c r="B177">
        <v>2.6</v>
      </c>
      <c r="C177" s="11">
        <f t="shared" si="2"/>
        <v>2.6000000000000002E-2</v>
      </c>
    </row>
    <row r="178" spans="1:3" x14ac:dyDescent="0.2">
      <c r="A178" s="2">
        <v>42723</v>
      </c>
      <c r="B178">
        <v>2.54</v>
      </c>
      <c r="C178" s="11">
        <f t="shared" si="2"/>
        <v>2.5399999999999999E-2</v>
      </c>
    </row>
    <row r="179" spans="1:3" x14ac:dyDescent="0.2">
      <c r="A179" s="2">
        <v>42724</v>
      </c>
      <c r="B179">
        <v>2.57</v>
      </c>
      <c r="C179" s="11">
        <f t="shared" si="2"/>
        <v>2.5699999999999997E-2</v>
      </c>
    </row>
    <row r="180" spans="1:3" x14ac:dyDescent="0.2">
      <c r="A180" s="2">
        <v>42725</v>
      </c>
      <c r="B180">
        <v>2.5499999999999998</v>
      </c>
      <c r="C180" s="11">
        <f t="shared" si="2"/>
        <v>2.5499999999999998E-2</v>
      </c>
    </row>
    <row r="181" spans="1:3" x14ac:dyDescent="0.2">
      <c r="A181" s="2">
        <v>42726</v>
      </c>
      <c r="B181">
        <v>2.5499999999999998</v>
      </c>
      <c r="C181" s="11">
        <f t="shared" si="2"/>
        <v>2.5499999999999998E-2</v>
      </c>
    </row>
    <row r="182" spans="1:3" x14ac:dyDescent="0.2">
      <c r="A182" s="2">
        <v>42727</v>
      </c>
      <c r="B182">
        <v>2.5499999999999998</v>
      </c>
      <c r="C182" s="11">
        <f t="shared" si="2"/>
        <v>2.5499999999999998E-2</v>
      </c>
    </row>
    <row r="183" spans="1:3" x14ac:dyDescent="0.2">
      <c r="A183" s="2">
        <v>42731</v>
      </c>
      <c r="B183">
        <v>2.57</v>
      </c>
      <c r="C183" s="11">
        <f t="shared" si="2"/>
        <v>2.5699999999999997E-2</v>
      </c>
    </row>
    <row r="184" spans="1:3" x14ac:dyDescent="0.2">
      <c r="A184" s="2">
        <v>42732</v>
      </c>
      <c r="B184">
        <v>2.5099999999999998</v>
      </c>
      <c r="C184" s="11">
        <f t="shared" si="2"/>
        <v>2.5099999999999997E-2</v>
      </c>
    </row>
    <row r="185" spans="1:3" x14ac:dyDescent="0.2">
      <c r="A185" s="2">
        <v>42733</v>
      </c>
      <c r="B185">
        <v>2.4900000000000002</v>
      </c>
      <c r="C185" s="11">
        <f t="shared" si="2"/>
        <v>2.4900000000000002E-2</v>
      </c>
    </row>
    <row r="186" spans="1:3" x14ac:dyDescent="0.2">
      <c r="A186" s="2">
        <v>42734</v>
      </c>
      <c r="B186">
        <v>2.4500000000000002</v>
      </c>
      <c r="C186" s="11">
        <f t="shared" si="2"/>
        <v>2.4500000000000001E-2</v>
      </c>
    </row>
    <row r="187" spans="1:3" x14ac:dyDescent="0.2">
      <c r="A187" s="2">
        <v>42738</v>
      </c>
      <c r="B187">
        <v>2.4500000000000002</v>
      </c>
      <c r="C187" s="11">
        <f t="shared" si="2"/>
        <v>2.4500000000000001E-2</v>
      </c>
    </row>
    <row r="188" spans="1:3" x14ac:dyDescent="0.2">
      <c r="A188" s="2">
        <v>42739</v>
      </c>
      <c r="B188">
        <v>2.46</v>
      </c>
      <c r="C188" s="11">
        <f t="shared" si="2"/>
        <v>2.46E-2</v>
      </c>
    </row>
    <row r="189" spans="1:3" x14ac:dyDescent="0.2">
      <c r="A189" s="2">
        <v>42740</v>
      </c>
      <c r="B189">
        <v>2.37</v>
      </c>
      <c r="C189" s="11">
        <f t="shared" si="2"/>
        <v>2.3700000000000002E-2</v>
      </c>
    </row>
    <row r="190" spans="1:3" x14ac:dyDescent="0.2">
      <c r="A190" s="2">
        <v>42741</v>
      </c>
      <c r="B190">
        <v>2.42</v>
      </c>
      <c r="C190" s="11">
        <f t="shared" si="2"/>
        <v>2.4199999999999999E-2</v>
      </c>
    </row>
    <row r="191" spans="1:3" x14ac:dyDescent="0.2">
      <c r="A191" s="2">
        <v>42744</v>
      </c>
      <c r="B191">
        <v>2.38</v>
      </c>
      <c r="C191" s="11">
        <f t="shared" si="2"/>
        <v>2.3799999999999998E-2</v>
      </c>
    </row>
    <row r="192" spans="1:3" x14ac:dyDescent="0.2">
      <c r="A192" s="2">
        <v>42745</v>
      </c>
      <c r="B192">
        <v>2.38</v>
      </c>
      <c r="C192" s="11">
        <f t="shared" si="2"/>
        <v>2.3799999999999998E-2</v>
      </c>
    </row>
    <row r="193" spans="1:3" x14ac:dyDescent="0.2">
      <c r="A193" s="2">
        <v>42746</v>
      </c>
      <c r="B193">
        <v>2.38</v>
      </c>
      <c r="C193" s="11">
        <f t="shared" si="2"/>
        <v>2.3799999999999998E-2</v>
      </c>
    </row>
    <row r="194" spans="1:3" x14ac:dyDescent="0.2">
      <c r="A194" s="2">
        <v>42747</v>
      </c>
      <c r="B194">
        <v>2.36</v>
      </c>
      <c r="C194" s="11">
        <f t="shared" si="2"/>
        <v>2.3599999999999999E-2</v>
      </c>
    </row>
    <row r="195" spans="1:3" x14ac:dyDescent="0.2">
      <c r="A195" s="2">
        <v>42748</v>
      </c>
      <c r="B195">
        <v>2.4</v>
      </c>
      <c r="C195" s="11">
        <f t="shared" ref="C195:C258" si="3">B195/100</f>
        <v>2.4E-2</v>
      </c>
    </row>
    <row r="196" spans="1:3" x14ac:dyDescent="0.2">
      <c r="A196" s="2">
        <v>42752</v>
      </c>
      <c r="B196">
        <v>2.33</v>
      </c>
      <c r="C196" s="11">
        <f t="shared" si="3"/>
        <v>2.3300000000000001E-2</v>
      </c>
    </row>
    <row r="197" spans="1:3" x14ac:dyDescent="0.2">
      <c r="A197" s="2">
        <v>42753</v>
      </c>
      <c r="B197">
        <v>2.42</v>
      </c>
      <c r="C197" s="11">
        <f t="shared" si="3"/>
        <v>2.4199999999999999E-2</v>
      </c>
    </row>
    <row r="198" spans="1:3" x14ac:dyDescent="0.2">
      <c r="A198" s="2">
        <v>42754</v>
      </c>
      <c r="B198">
        <v>2.4700000000000002</v>
      </c>
      <c r="C198" s="11">
        <f t="shared" si="3"/>
        <v>2.4700000000000003E-2</v>
      </c>
    </row>
    <row r="199" spans="1:3" x14ac:dyDescent="0.2">
      <c r="A199" s="2">
        <v>42755</v>
      </c>
      <c r="B199">
        <v>2.48</v>
      </c>
      <c r="C199" s="11">
        <f t="shared" si="3"/>
        <v>2.4799999999999999E-2</v>
      </c>
    </row>
    <row r="200" spans="1:3" x14ac:dyDescent="0.2">
      <c r="A200" s="2">
        <v>42758</v>
      </c>
      <c r="B200">
        <v>2.41</v>
      </c>
      <c r="C200" s="11">
        <f t="shared" si="3"/>
        <v>2.41E-2</v>
      </c>
    </row>
    <row r="201" spans="1:3" x14ac:dyDescent="0.2">
      <c r="A201" s="2">
        <v>42759</v>
      </c>
      <c r="B201">
        <v>2.4700000000000002</v>
      </c>
      <c r="C201" s="11">
        <f t="shared" si="3"/>
        <v>2.4700000000000003E-2</v>
      </c>
    </row>
    <row r="202" spans="1:3" x14ac:dyDescent="0.2">
      <c r="A202" s="2">
        <v>42760</v>
      </c>
      <c r="B202">
        <v>2.5299999999999998</v>
      </c>
      <c r="C202" s="11">
        <f t="shared" si="3"/>
        <v>2.53E-2</v>
      </c>
    </row>
    <row r="203" spans="1:3" x14ac:dyDescent="0.2">
      <c r="A203" s="2">
        <v>42761</v>
      </c>
      <c r="B203">
        <v>2.5099999999999998</v>
      </c>
      <c r="C203" s="11">
        <f t="shared" si="3"/>
        <v>2.5099999999999997E-2</v>
      </c>
    </row>
    <row r="204" spans="1:3" x14ac:dyDescent="0.2">
      <c r="A204" s="2">
        <v>42762</v>
      </c>
      <c r="B204">
        <v>2.4900000000000002</v>
      </c>
      <c r="C204" s="11">
        <f t="shared" si="3"/>
        <v>2.4900000000000002E-2</v>
      </c>
    </row>
    <row r="205" spans="1:3" x14ac:dyDescent="0.2">
      <c r="A205" s="2">
        <v>42765</v>
      </c>
      <c r="B205">
        <v>2.4900000000000002</v>
      </c>
      <c r="C205" s="11">
        <f t="shared" si="3"/>
        <v>2.4900000000000002E-2</v>
      </c>
    </row>
    <row r="206" spans="1:3" x14ac:dyDescent="0.2">
      <c r="A206" s="2">
        <v>42766</v>
      </c>
      <c r="B206">
        <v>2.4500000000000002</v>
      </c>
      <c r="C206" s="11">
        <f t="shared" si="3"/>
        <v>2.4500000000000001E-2</v>
      </c>
    </row>
    <row r="207" spans="1:3" x14ac:dyDescent="0.2">
      <c r="A207" s="2">
        <v>42767</v>
      </c>
      <c r="B207">
        <v>2.48</v>
      </c>
      <c r="C207" s="11">
        <f t="shared" si="3"/>
        <v>2.4799999999999999E-2</v>
      </c>
    </row>
    <row r="208" spans="1:3" x14ac:dyDescent="0.2">
      <c r="A208" s="2">
        <v>42768</v>
      </c>
      <c r="B208">
        <v>2.48</v>
      </c>
      <c r="C208" s="11">
        <f t="shared" si="3"/>
        <v>2.4799999999999999E-2</v>
      </c>
    </row>
    <row r="209" spans="1:3" x14ac:dyDescent="0.2">
      <c r="A209" s="2">
        <v>42769</v>
      </c>
      <c r="B209">
        <v>2.4900000000000002</v>
      </c>
      <c r="C209" s="11">
        <f t="shared" si="3"/>
        <v>2.4900000000000002E-2</v>
      </c>
    </row>
    <row r="210" spans="1:3" x14ac:dyDescent="0.2">
      <c r="A210" s="2">
        <v>42772</v>
      </c>
      <c r="B210">
        <v>2.42</v>
      </c>
      <c r="C210" s="11">
        <f t="shared" si="3"/>
        <v>2.4199999999999999E-2</v>
      </c>
    </row>
    <row r="211" spans="1:3" x14ac:dyDescent="0.2">
      <c r="A211" s="2">
        <v>42773</v>
      </c>
      <c r="B211">
        <v>2.4</v>
      </c>
      <c r="C211" s="11">
        <f t="shared" si="3"/>
        <v>2.4E-2</v>
      </c>
    </row>
    <row r="212" spans="1:3" x14ac:dyDescent="0.2">
      <c r="A212" s="2">
        <v>42774</v>
      </c>
      <c r="B212">
        <v>2.34</v>
      </c>
      <c r="C212" s="11">
        <f t="shared" si="3"/>
        <v>2.3399999999999997E-2</v>
      </c>
    </row>
    <row r="213" spans="1:3" x14ac:dyDescent="0.2">
      <c r="A213" s="2">
        <v>42775</v>
      </c>
      <c r="B213">
        <v>2.4</v>
      </c>
      <c r="C213" s="11">
        <f t="shared" si="3"/>
        <v>2.4E-2</v>
      </c>
    </row>
    <row r="214" spans="1:3" x14ac:dyDescent="0.2">
      <c r="A214" s="2">
        <v>42776</v>
      </c>
      <c r="B214">
        <v>2.41</v>
      </c>
      <c r="C214" s="11">
        <f t="shared" si="3"/>
        <v>2.41E-2</v>
      </c>
    </row>
    <row r="215" spans="1:3" x14ac:dyDescent="0.2">
      <c r="A215" s="2">
        <v>42779</v>
      </c>
      <c r="B215">
        <v>2.4300000000000002</v>
      </c>
      <c r="C215" s="11">
        <f t="shared" si="3"/>
        <v>2.4300000000000002E-2</v>
      </c>
    </row>
    <row r="216" spans="1:3" x14ac:dyDescent="0.2">
      <c r="A216" s="2">
        <v>42780</v>
      </c>
      <c r="B216">
        <v>2.4700000000000002</v>
      </c>
      <c r="C216" s="11">
        <f t="shared" si="3"/>
        <v>2.4700000000000003E-2</v>
      </c>
    </row>
    <row r="217" spans="1:3" x14ac:dyDescent="0.2">
      <c r="A217" s="2">
        <v>42781</v>
      </c>
      <c r="B217">
        <v>2.5099999999999998</v>
      </c>
      <c r="C217" s="11">
        <f t="shared" si="3"/>
        <v>2.5099999999999997E-2</v>
      </c>
    </row>
    <row r="218" spans="1:3" x14ac:dyDescent="0.2">
      <c r="A218" s="2">
        <v>42782</v>
      </c>
      <c r="B218">
        <v>2.4500000000000002</v>
      </c>
      <c r="C218" s="11">
        <f t="shared" si="3"/>
        <v>2.4500000000000001E-2</v>
      </c>
    </row>
    <row r="219" spans="1:3" x14ac:dyDescent="0.2">
      <c r="A219" s="2">
        <v>42783</v>
      </c>
      <c r="B219">
        <v>2.42</v>
      </c>
      <c r="C219" s="11">
        <f t="shared" si="3"/>
        <v>2.4199999999999999E-2</v>
      </c>
    </row>
    <row r="220" spans="1:3" x14ac:dyDescent="0.2">
      <c r="A220" s="2">
        <v>42787</v>
      </c>
      <c r="B220">
        <v>2.4300000000000002</v>
      </c>
      <c r="C220" s="11">
        <f t="shared" si="3"/>
        <v>2.4300000000000002E-2</v>
      </c>
    </row>
    <row r="221" spans="1:3" x14ac:dyDescent="0.2">
      <c r="A221" s="2">
        <v>42788</v>
      </c>
      <c r="B221">
        <v>2.42</v>
      </c>
      <c r="C221" s="11">
        <f t="shared" si="3"/>
        <v>2.4199999999999999E-2</v>
      </c>
    </row>
    <row r="222" spans="1:3" x14ac:dyDescent="0.2">
      <c r="A222" s="2">
        <v>42789</v>
      </c>
      <c r="B222">
        <v>2.38</v>
      </c>
      <c r="C222" s="11">
        <f t="shared" si="3"/>
        <v>2.3799999999999998E-2</v>
      </c>
    </row>
    <row r="223" spans="1:3" x14ac:dyDescent="0.2">
      <c r="A223" s="2">
        <v>42790</v>
      </c>
      <c r="B223">
        <v>2.31</v>
      </c>
      <c r="C223" s="11">
        <f t="shared" si="3"/>
        <v>2.3099999999999999E-2</v>
      </c>
    </row>
    <row r="224" spans="1:3" x14ac:dyDescent="0.2">
      <c r="A224" s="2">
        <v>42793</v>
      </c>
      <c r="B224">
        <v>2.36</v>
      </c>
      <c r="C224" s="11">
        <f t="shared" si="3"/>
        <v>2.3599999999999999E-2</v>
      </c>
    </row>
    <row r="225" spans="1:3" x14ac:dyDescent="0.2">
      <c r="A225" s="2">
        <v>42794</v>
      </c>
      <c r="B225">
        <v>2.36</v>
      </c>
      <c r="C225" s="11">
        <f t="shared" si="3"/>
        <v>2.3599999999999999E-2</v>
      </c>
    </row>
    <row r="226" spans="1:3" x14ac:dyDescent="0.2">
      <c r="A226" s="2">
        <v>42795</v>
      </c>
      <c r="B226">
        <v>2.46</v>
      </c>
      <c r="C226" s="11">
        <f t="shared" si="3"/>
        <v>2.46E-2</v>
      </c>
    </row>
    <row r="227" spans="1:3" x14ac:dyDescent="0.2">
      <c r="A227" s="2">
        <v>42796</v>
      </c>
      <c r="B227">
        <v>2.4900000000000002</v>
      </c>
      <c r="C227" s="11">
        <f t="shared" si="3"/>
        <v>2.4900000000000002E-2</v>
      </c>
    </row>
    <row r="228" spans="1:3" x14ac:dyDescent="0.2">
      <c r="A228" s="2">
        <v>42797</v>
      </c>
      <c r="B228">
        <v>2.4900000000000002</v>
      </c>
      <c r="C228" s="11">
        <f t="shared" si="3"/>
        <v>2.4900000000000002E-2</v>
      </c>
    </row>
    <row r="229" spans="1:3" x14ac:dyDescent="0.2">
      <c r="A229" s="2">
        <v>42800</v>
      </c>
      <c r="B229">
        <v>2.4900000000000002</v>
      </c>
      <c r="C229" s="11">
        <f t="shared" si="3"/>
        <v>2.4900000000000002E-2</v>
      </c>
    </row>
    <row r="230" spans="1:3" x14ac:dyDescent="0.2">
      <c r="A230" s="2">
        <v>42801</v>
      </c>
      <c r="B230">
        <v>2.52</v>
      </c>
      <c r="C230" s="11">
        <f t="shared" si="3"/>
        <v>2.52E-2</v>
      </c>
    </row>
    <row r="231" spans="1:3" x14ac:dyDescent="0.2">
      <c r="A231" s="2">
        <v>42802</v>
      </c>
      <c r="B231">
        <v>2.57</v>
      </c>
      <c r="C231" s="11">
        <f t="shared" si="3"/>
        <v>2.5699999999999997E-2</v>
      </c>
    </row>
    <row r="232" spans="1:3" x14ac:dyDescent="0.2">
      <c r="A232" s="2">
        <v>42803</v>
      </c>
      <c r="B232">
        <v>2.6</v>
      </c>
      <c r="C232" s="11">
        <f t="shared" si="3"/>
        <v>2.6000000000000002E-2</v>
      </c>
    </row>
    <row r="233" spans="1:3" x14ac:dyDescent="0.2">
      <c r="A233" s="2">
        <v>42804</v>
      </c>
      <c r="B233">
        <v>2.58</v>
      </c>
      <c r="C233" s="11">
        <f t="shared" si="3"/>
        <v>2.58E-2</v>
      </c>
    </row>
    <row r="234" spans="1:3" x14ac:dyDescent="0.2">
      <c r="A234" s="2">
        <v>42807</v>
      </c>
      <c r="B234">
        <v>2.62</v>
      </c>
      <c r="C234" s="11">
        <f t="shared" si="3"/>
        <v>2.6200000000000001E-2</v>
      </c>
    </row>
    <row r="235" spans="1:3" x14ac:dyDescent="0.2">
      <c r="A235" s="2">
        <v>42808</v>
      </c>
      <c r="B235">
        <v>2.6</v>
      </c>
      <c r="C235" s="11">
        <f t="shared" si="3"/>
        <v>2.6000000000000002E-2</v>
      </c>
    </row>
    <row r="236" spans="1:3" x14ac:dyDescent="0.2">
      <c r="A236" s="2">
        <v>42809</v>
      </c>
      <c r="B236">
        <v>2.5099999999999998</v>
      </c>
      <c r="C236" s="11">
        <f t="shared" si="3"/>
        <v>2.5099999999999997E-2</v>
      </c>
    </row>
    <row r="237" spans="1:3" x14ac:dyDescent="0.2">
      <c r="A237" s="2">
        <v>42810</v>
      </c>
      <c r="B237">
        <v>2.5299999999999998</v>
      </c>
      <c r="C237" s="11">
        <f t="shared" si="3"/>
        <v>2.53E-2</v>
      </c>
    </row>
    <row r="238" spans="1:3" x14ac:dyDescent="0.2">
      <c r="A238" s="2">
        <v>42811</v>
      </c>
      <c r="B238">
        <v>2.5</v>
      </c>
      <c r="C238" s="11">
        <f t="shared" si="3"/>
        <v>2.5000000000000001E-2</v>
      </c>
    </row>
    <row r="239" spans="1:3" x14ac:dyDescent="0.2">
      <c r="A239" s="2">
        <v>42814</v>
      </c>
      <c r="B239">
        <v>2.4700000000000002</v>
      </c>
      <c r="C239" s="11">
        <f t="shared" si="3"/>
        <v>2.4700000000000003E-2</v>
      </c>
    </row>
    <row r="240" spans="1:3" x14ac:dyDescent="0.2">
      <c r="A240" s="2">
        <v>42815</v>
      </c>
      <c r="B240">
        <v>2.4300000000000002</v>
      </c>
      <c r="C240" s="11">
        <f t="shared" si="3"/>
        <v>2.4300000000000002E-2</v>
      </c>
    </row>
    <row r="241" spans="1:3" x14ac:dyDescent="0.2">
      <c r="A241" s="2">
        <v>42816</v>
      </c>
      <c r="B241">
        <v>2.4</v>
      </c>
      <c r="C241" s="11">
        <f t="shared" si="3"/>
        <v>2.4E-2</v>
      </c>
    </row>
    <row r="242" spans="1:3" x14ac:dyDescent="0.2">
      <c r="A242" s="2">
        <v>42817</v>
      </c>
      <c r="B242">
        <v>2.41</v>
      </c>
      <c r="C242" s="11">
        <f t="shared" si="3"/>
        <v>2.41E-2</v>
      </c>
    </row>
    <row r="243" spans="1:3" x14ac:dyDescent="0.2">
      <c r="A243" s="2">
        <v>42818</v>
      </c>
      <c r="B243">
        <v>2.4</v>
      </c>
      <c r="C243" s="11">
        <f t="shared" si="3"/>
        <v>2.4E-2</v>
      </c>
    </row>
    <row r="244" spans="1:3" x14ac:dyDescent="0.2">
      <c r="A244" s="2">
        <v>42821</v>
      </c>
      <c r="B244">
        <v>2.38</v>
      </c>
      <c r="C244" s="11">
        <f t="shared" si="3"/>
        <v>2.3799999999999998E-2</v>
      </c>
    </row>
    <row r="245" spans="1:3" x14ac:dyDescent="0.2">
      <c r="A245" s="2">
        <v>42822</v>
      </c>
      <c r="B245">
        <v>2.42</v>
      </c>
      <c r="C245" s="11">
        <f t="shared" si="3"/>
        <v>2.4199999999999999E-2</v>
      </c>
    </row>
    <row r="246" spans="1:3" x14ac:dyDescent="0.2">
      <c r="A246" s="2">
        <v>42823</v>
      </c>
      <c r="B246">
        <v>2.39</v>
      </c>
      <c r="C246" s="11">
        <f t="shared" si="3"/>
        <v>2.3900000000000001E-2</v>
      </c>
    </row>
    <row r="247" spans="1:3" x14ac:dyDescent="0.2">
      <c r="A247" s="2">
        <v>42824</v>
      </c>
      <c r="B247">
        <v>2.42</v>
      </c>
      <c r="C247" s="11">
        <f t="shared" si="3"/>
        <v>2.4199999999999999E-2</v>
      </c>
    </row>
    <row r="248" spans="1:3" x14ac:dyDescent="0.2">
      <c r="A248" s="2">
        <v>42825</v>
      </c>
      <c r="B248">
        <v>2.4</v>
      </c>
      <c r="C248" s="11">
        <f t="shared" si="3"/>
        <v>2.4E-2</v>
      </c>
    </row>
    <row r="249" spans="1:3" x14ac:dyDescent="0.2">
      <c r="A249" s="2">
        <v>42828</v>
      </c>
      <c r="B249">
        <v>2.35</v>
      </c>
      <c r="C249" s="11">
        <f t="shared" si="3"/>
        <v>2.35E-2</v>
      </c>
    </row>
    <row r="250" spans="1:3" x14ac:dyDescent="0.2">
      <c r="A250" s="2">
        <v>42829</v>
      </c>
      <c r="B250">
        <v>2.36</v>
      </c>
      <c r="C250" s="11">
        <f t="shared" si="3"/>
        <v>2.3599999999999999E-2</v>
      </c>
    </row>
    <row r="251" spans="1:3" x14ac:dyDescent="0.2">
      <c r="A251" s="2">
        <v>42830</v>
      </c>
      <c r="B251">
        <v>2.34</v>
      </c>
      <c r="C251" s="11">
        <f t="shared" si="3"/>
        <v>2.3399999999999997E-2</v>
      </c>
    </row>
    <row r="252" spans="1:3" x14ac:dyDescent="0.2">
      <c r="A252" s="2">
        <v>42831</v>
      </c>
      <c r="B252">
        <v>2.34</v>
      </c>
      <c r="C252" s="11">
        <f t="shared" si="3"/>
        <v>2.3399999999999997E-2</v>
      </c>
    </row>
    <row r="253" spans="1:3" x14ac:dyDescent="0.2">
      <c r="A253" s="2">
        <v>42832</v>
      </c>
      <c r="B253">
        <v>2.38</v>
      </c>
      <c r="C253" s="11">
        <f t="shared" si="3"/>
        <v>2.3799999999999998E-2</v>
      </c>
    </row>
    <row r="254" spans="1:3" x14ac:dyDescent="0.2">
      <c r="A254" s="2">
        <v>42835</v>
      </c>
      <c r="B254">
        <v>2.37</v>
      </c>
      <c r="C254" s="11">
        <f t="shared" si="3"/>
        <v>2.3700000000000002E-2</v>
      </c>
    </row>
    <row r="255" spans="1:3" x14ac:dyDescent="0.2">
      <c r="A255" s="2">
        <v>42836</v>
      </c>
      <c r="B255">
        <v>2.3199999999999998</v>
      </c>
      <c r="C255" s="11">
        <f t="shared" si="3"/>
        <v>2.3199999999999998E-2</v>
      </c>
    </row>
    <row r="256" spans="1:3" x14ac:dyDescent="0.2">
      <c r="A256" s="2">
        <v>42837</v>
      </c>
      <c r="B256">
        <v>2.2799999999999998</v>
      </c>
      <c r="C256" s="11">
        <f t="shared" si="3"/>
        <v>2.2799999999999997E-2</v>
      </c>
    </row>
    <row r="257" spans="1:3" x14ac:dyDescent="0.2">
      <c r="A257" s="2">
        <v>42838</v>
      </c>
      <c r="B257">
        <v>2.2400000000000002</v>
      </c>
      <c r="C257" s="11">
        <f t="shared" si="3"/>
        <v>2.2400000000000003E-2</v>
      </c>
    </row>
    <row r="258" spans="1:3" x14ac:dyDescent="0.2">
      <c r="A258" s="2">
        <v>42842</v>
      </c>
      <c r="B258">
        <v>2.2599999999999998</v>
      </c>
      <c r="C258" s="11">
        <f t="shared" si="3"/>
        <v>2.2599999999999999E-2</v>
      </c>
    </row>
    <row r="259" spans="1:3" x14ac:dyDescent="0.2">
      <c r="A259" s="2">
        <v>42843</v>
      </c>
      <c r="B259">
        <v>2.1800000000000002</v>
      </c>
      <c r="C259" s="11">
        <f t="shared" ref="C259:C322" si="4">B259/100</f>
        <v>2.18E-2</v>
      </c>
    </row>
    <row r="260" spans="1:3" x14ac:dyDescent="0.2">
      <c r="A260" s="2">
        <v>42844</v>
      </c>
      <c r="B260">
        <v>2.21</v>
      </c>
      <c r="C260" s="11">
        <f t="shared" si="4"/>
        <v>2.2099999999999998E-2</v>
      </c>
    </row>
    <row r="261" spans="1:3" x14ac:dyDescent="0.2">
      <c r="A261" s="2">
        <v>42845</v>
      </c>
      <c r="B261">
        <v>2.2400000000000002</v>
      </c>
      <c r="C261" s="11">
        <f t="shared" si="4"/>
        <v>2.2400000000000003E-2</v>
      </c>
    </row>
    <row r="262" spans="1:3" x14ac:dyDescent="0.2">
      <c r="A262" s="2">
        <v>42846</v>
      </c>
      <c r="B262">
        <v>2.2400000000000002</v>
      </c>
      <c r="C262" s="11">
        <f t="shared" si="4"/>
        <v>2.2400000000000003E-2</v>
      </c>
    </row>
    <row r="263" spans="1:3" x14ac:dyDescent="0.2">
      <c r="A263" s="2">
        <v>42849</v>
      </c>
      <c r="B263">
        <v>2.2799999999999998</v>
      </c>
      <c r="C263" s="11">
        <f t="shared" si="4"/>
        <v>2.2799999999999997E-2</v>
      </c>
    </row>
    <row r="264" spans="1:3" x14ac:dyDescent="0.2">
      <c r="A264" s="2">
        <v>42850</v>
      </c>
      <c r="B264">
        <v>2.35</v>
      </c>
      <c r="C264" s="11">
        <f t="shared" si="4"/>
        <v>2.35E-2</v>
      </c>
    </row>
    <row r="265" spans="1:3" x14ac:dyDescent="0.2">
      <c r="A265" s="2">
        <v>42851</v>
      </c>
      <c r="B265">
        <v>2.3199999999999998</v>
      </c>
      <c r="C265" s="11">
        <f t="shared" si="4"/>
        <v>2.3199999999999998E-2</v>
      </c>
    </row>
    <row r="266" spans="1:3" x14ac:dyDescent="0.2">
      <c r="A266" s="2">
        <v>42852</v>
      </c>
      <c r="B266">
        <v>2.2999999999999998</v>
      </c>
      <c r="C266" s="11">
        <f t="shared" si="4"/>
        <v>2.3E-2</v>
      </c>
    </row>
    <row r="267" spans="1:3" x14ac:dyDescent="0.2">
      <c r="A267" s="2">
        <v>42853</v>
      </c>
      <c r="B267">
        <v>2.29</v>
      </c>
      <c r="C267" s="11">
        <f t="shared" si="4"/>
        <v>2.29E-2</v>
      </c>
    </row>
    <row r="268" spans="1:3" x14ac:dyDescent="0.2">
      <c r="A268" s="2">
        <v>42856</v>
      </c>
      <c r="B268">
        <v>2.33</v>
      </c>
      <c r="C268" s="11">
        <f t="shared" si="4"/>
        <v>2.3300000000000001E-2</v>
      </c>
    </row>
    <row r="269" spans="1:3" x14ac:dyDescent="0.2">
      <c r="A269" s="2">
        <v>42857</v>
      </c>
      <c r="B269">
        <v>2.29</v>
      </c>
      <c r="C269" s="11">
        <f t="shared" si="4"/>
        <v>2.29E-2</v>
      </c>
    </row>
    <row r="270" spans="1:3" x14ac:dyDescent="0.2">
      <c r="A270" s="2">
        <v>42858</v>
      </c>
      <c r="B270">
        <v>2.33</v>
      </c>
      <c r="C270" s="11">
        <f t="shared" si="4"/>
        <v>2.3300000000000001E-2</v>
      </c>
    </row>
    <row r="271" spans="1:3" x14ac:dyDescent="0.2">
      <c r="A271" s="2">
        <v>42859</v>
      </c>
      <c r="B271">
        <v>2.36</v>
      </c>
      <c r="C271" s="11">
        <f t="shared" si="4"/>
        <v>2.3599999999999999E-2</v>
      </c>
    </row>
    <row r="272" spans="1:3" x14ac:dyDescent="0.2">
      <c r="A272" s="2">
        <v>42860</v>
      </c>
      <c r="B272">
        <v>2.36</v>
      </c>
      <c r="C272" s="11">
        <f t="shared" si="4"/>
        <v>2.3599999999999999E-2</v>
      </c>
    </row>
    <row r="273" spans="1:3" x14ac:dyDescent="0.2">
      <c r="A273" s="2">
        <v>42863</v>
      </c>
      <c r="B273">
        <v>2.39</v>
      </c>
      <c r="C273" s="11">
        <f t="shared" si="4"/>
        <v>2.3900000000000001E-2</v>
      </c>
    </row>
    <row r="274" spans="1:3" x14ac:dyDescent="0.2">
      <c r="A274" s="2">
        <v>42864</v>
      </c>
      <c r="B274">
        <v>2.42</v>
      </c>
      <c r="C274" s="11">
        <f t="shared" si="4"/>
        <v>2.4199999999999999E-2</v>
      </c>
    </row>
    <row r="275" spans="1:3" x14ac:dyDescent="0.2">
      <c r="A275" s="2">
        <v>42865</v>
      </c>
      <c r="B275">
        <v>2.41</v>
      </c>
      <c r="C275" s="11">
        <f t="shared" si="4"/>
        <v>2.41E-2</v>
      </c>
    </row>
    <row r="276" spans="1:3" x14ac:dyDescent="0.2">
      <c r="A276" s="2">
        <v>42866</v>
      </c>
      <c r="B276">
        <v>2.39</v>
      </c>
      <c r="C276" s="11">
        <f t="shared" si="4"/>
        <v>2.3900000000000001E-2</v>
      </c>
    </row>
    <row r="277" spans="1:3" x14ac:dyDescent="0.2">
      <c r="A277" s="2">
        <v>42867</v>
      </c>
      <c r="B277">
        <v>2.33</v>
      </c>
      <c r="C277" s="11">
        <f t="shared" si="4"/>
        <v>2.3300000000000001E-2</v>
      </c>
    </row>
    <row r="278" spans="1:3" x14ac:dyDescent="0.2">
      <c r="A278" s="2">
        <v>42870</v>
      </c>
      <c r="B278">
        <v>2.34</v>
      </c>
      <c r="C278" s="11">
        <f t="shared" si="4"/>
        <v>2.3399999999999997E-2</v>
      </c>
    </row>
    <row r="279" spans="1:3" x14ac:dyDescent="0.2">
      <c r="A279" s="2">
        <v>42871</v>
      </c>
      <c r="B279">
        <v>2.33</v>
      </c>
      <c r="C279" s="11">
        <f t="shared" si="4"/>
        <v>2.3300000000000001E-2</v>
      </c>
    </row>
    <row r="280" spans="1:3" x14ac:dyDescent="0.2">
      <c r="A280" s="2">
        <v>42872</v>
      </c>
      <c r="B280">
        <v>2.2200000000000002</v>
      </c>
      <c r="C280" s="11">
        <f t="shared" si="4"/>
        <v>2.2200000000000001E-2</v>
      </c>
    </row>
    <row r="281" spans="1:3" x14ac:dyDescent="0.2">
      <c r="A281" s="2">
        <v>42873</v>
      </c>
      <c r="B281">
        <v>2.23</v>
      </c>
      <c r="C281" s="11">
        <f t="shared" si="4"/>
        <v>2.23E-2</v>
      </c>
    </row>
    <row r="282" spans="1:3" x14ac:dyDescent="0.2">
      <c r="A282" s="2">
        <v>42874</v>
      </c>
      <c r="B282">
        <v>2.23</v>
      </c>
      <c r="C282" s="11">
        <f t="shared" si="4"/>
        <v>2.23E-2</v>
      </c>
    </row>
    <row r="283" spans="1:3" x14ac:dyDescent="0.2">
      <c r="A283" s="2">
        <v>42877</v>
      </c>
      <c r="B283">
        <v>2.25</v>
      </c>
      <c r="C283" s="11">
        <f t="shared" si="4"/>
        <v>2.2499999999999999E-2</v>
      </c>
    </row>
    <row r="284" spans="1:3" x14ac:dyDescent="0.2">
      <c r="A284" s="2">
        <v>42878</v>
      </c>
      <c r="B284">
        <v>2.29</v>
      </c>
      <c r="C284" s="11">
        <f t="shared" si="4"/>
        <v>2.29E-2</v>
      </c>
    </row>
    <row r="285" spans="1:3" x14ac:dyDescent="0.2">
      <c r="A285" s="2">
        <v>42879</v>
      </c>
      <c r="B285">
        <v>2.2599999999999998</v>
      </c>
      <c r="C285" s="11">
        <f t="shared" si="4"/>
        <v>2.2599999999999999E-2</v>
      </c>
    </row>
    <row r="286" spans="1:3" x14ac:dyDescent="0.2">
      <c r="A286" s="2">
        <v>42880</v>
      </c>
      <c r="B286">
        <v>2.25</v>
      </c>
      <c r="C286" s="11">
        <f t="shared" si="4"/>
        <v>2.2499999999999999E-2</v>
      </c>
    </row>
    <row r="287" spans="1:3" x14ac:dyDescent="0.2">
      <c r="A287" s="2">
        <v>42881</v>
      </c>
      <c r="B287">
        <v>2.25</v>
      </c>
      <c r="C287" s="11">
        <f t="shared" si="4"/>
        <v>2.2499999999999999E-2</v>
      </c>
    </row>
    <row r="288" spans="1:3" x14ac:dyDescent="0.2">
      <c r="A288" s="2">
        <v>42885</v>
      </c>
      <c r="B288">
        <v>2.21</v>
      </c>
      <c r="C288" s="11">
        <f t="shared" si="4"/>
        <v>2.2099999999999998E-2</v>
      </c>
    </row>
    <row r="289" spans="1:3" x14ac:dyDescent="0.2">
      <c r="A289" s="2">
        <v>42886</v>
      </c>
      <c r="B289">
        <v>2.21</v>
      </c>
      <c r="C289" s="11">
        <f t="shared" si="4"/>
        <v>2.2099999999999998E-2</v>
      </c>
    </row>
    <row r="290" spans="1:3" x14ac:dyDescent="0.2">
      <c r="A290" s="2">
        <v>42887</v>
      </c>
      <c r="B290">
        <v>2.21</v>
      </c>
      <c r="C290" s="11">
        <f t="shared" si="4"/>
        <v>2.2099999999999998E-2</v>
      </c>
    </row>
    <row r="291" spans="1:3" x14ac:dyDescent="0.2">
      <c r="A291" s="2">
        <v>42888</v>
      </c>
      <c r="B291">
        <v>2.15</v>
      </c>
      <c r="C291" s="11">
        <f t="shared" si="4"/>
        <v>2.1499999999999998E-2</v>
      </c>
    </row>
    <row r="292" spans="1:3" x14ac:dyDescent="0.2">
      <c r="A292" s="2">
        <v>42891</v>
      </c>
      <c r="B292">
        <v>2.1800000000000002</v>
      </c>
      <c r="C292" s="11">
        <f t="shared" si="4"/>
        <v>2.18E-2</v>
      </c>
    </row>
    <row r="293" spans="1:3" x14ac:dyDescent="0.2">
      <c r="A293" s="2">
        <v>42892</v>
      </c>
      <c r="B293">
        <v>2.14</v>
      </c>
      <c r="C293" s="11">
        <f t="shared" si="4"/>
        <v>2.1400000000000002E-2</v>
      </c>
    </row>
    <row r="294" spans="1:3" x14ac:dyDescent="0.2">
      <c r="A294" s="2">
        <v>42893</v>
      </c>
      <c r="B294">
        <v>2.1800000000000002</v>
      </c>
      <c r="C294" s="11">
        <f t="shared" si="4"/>
        <v>2.18E-2</v>
      </c>
    </row>
    <row r="295" spans="1:3" x14ac:dyDescent="0.2">
      <c r="A295" s="2">
        <v>42894</v>
      </c>
      <c r="B295">
        <v>2.19</v>
      </c>
      <c r="C295" s="11">
        <f t="shared" si="4"/>
        <v>2.1899999999999999E-2</v>
      </c>
    </row>
    <row r="296" spans="1:3" x14ac:dyDescent="0.2">
      <c r="A296" s="2">
        <v>42895</v>
      </c>
      <c r="B296">
        <v>2.21</v>
      </c>
      <c r="C296" s="11">
        <f t="shared" si="4"/>
        <v>2.2099999999999998E-2</v>
      </c>
    </row>
    <row r="297" spans="1:3" x14ac:dyDescent="0.2">
      <c r="A297" s="2">
        <v>42898</v>
      </c>
      <c r="B297">
        <v>2.21</v>
      </c>
      <c r="C297" s="11">
        <f t="shared" si="4"/>
        <v>2.2099999999999998E-2</v>
      </c>
    </row>
    <row r="298" spans="1:3" x14ac:dyDescent="0.2">
      <c r="A298" s="2">
        <v>42899</v>
      </c>
      <c r="B298">
        <v>2.21</v>
      </c>
      <c r="C298" s="11">
        <f t="shared" si="4"/>
        <v>2.2099999999999998E-2</v>
      </c>
    </row>
    <row r="299" spans="1:3" x14ac:dyDescent="0.2">
      <c r="A299" s="2">
        <v>42900</v>
      </c>
      <c r="B299">
        <v>2.15</v>
      </c>
      <c r="C299" s="11">
        <f t="shared" si="4"/>
        <v>2.1499999999999998E-2</v>
      </c>
    </row>
    <row r="300" spans="1:3" x14ac:dyDescent="0.2">
      <c r="A300" s="2">
        <v>42901</v>
      </c>
      <c r="B300">
        <v>2.16</v>
      </c>
      <c r="C300" s="11">
        <f t="shared" si="4"/>
        <v>2.1600000000000001E-2</v>
      </c>
    </row>
    <row r="301" spans="1:3" x14ac:dyDescent="0.2">
      <c r="A301" s="2">
        <v>42902</v>
      </c>
      <c r="B301">
        <v>2.16</v>
      </c>
      <c r="C301" s="11">
        <f t="shared" si="4"/>
        <v>2.1600000000000001E-2</v>
      </c>
    </row>
    <row r="302" spans="1:3" x14ac:dyDescent="0.2">
      <c r="A302" s="2">
        <v>42905</v>
      </c>
      <c r="B302">
        <v>2.19</v>
      </c>
      <c r="C302" s="11">
        <f t="shared" si="4"/>
        <v>2.1899999999999999E-2</v>
      </c>
    </row>
    <row r="303" spans="1:3" x14ac:dyDescent="0.2">
      <c r="A303" s="2">
        <v>42906</v>
      </c>
      <c r="B303">
        <v>2.16</v>
      </c>
      <c r="C303" s="11">
        <f t="shared" si="4"/>
        <v>2.1600000000000001E-2</v>
      </c>
    </row>
    <row r="304" spans="1:3" x14ac:dyDescent="0.2">
      <c r="A304" s="2">
        <v>42907</v>
      </c>
      <c r="B304">
        <v>2.16</v>
      </c>
      <c r="C304" s="11">
        <f t="shared" si="4"/>
        <v>2.1600000000000001E-2</v>
      </c>
    </row>
    <row r="305" spans="1:3" x14ac:dyDescent="0.2">
      <c r="A305" s="2">
        <v>42908</v>
      </c>
      <c r="B305">
        <v>2.15</v>
      </c>
      <c r="C305" s="11">
        <f t="shared" si="4"/>
        <v>2.1499999999999998E-2</v>
      </c>
    </row>
    <row r="306" spans="1:3" x14ac:dyDescent="0.2">
      <c r="A306" s="2">
        <v>42909</v>
      </c>
      <c r="B306">
        <v>2.15</v>
      </c>
      <c r="C306" s="11">
        <f t="shared" si="4"/>
        <v>2.1499999999999998E-2</v>
      </c>
    </row>
    <row r="307" spans="1:3" x14ac:dyDescent="0.2">
      <c r="A307" s="2">
        <v>42912</v>
      </c>
      <c r="B307">
        <v>2.14</v>
      </c>
      <c r="C307" s="11">
        <f t="shared" si="4"/>
        <v>2.1400000000000002E-2</v>
      </c>
    </row>
    <row r="308" spans="1:3" x14ac:dyDescent="0.2">
      <c r="A308" s="2">
        <v>42913</v>
      </c>
      <c r="B308">
        <v>2.21</v>
      </c>
      <c r="C308" s="11">
        <f t="shared" si="4"/>
        <v>2.2099999999999998E-2</v>
      </c>
    </row>
    <row r="309" spans="1:3" x14ac:dyDescent="0.2">
      <c r="A309" s="2">
        <v>42914</v>
      </c>
      <c r="B309">
        <v>2.2200000000000002</v>
      </c>
      <c r="C309" s="11">
        <f t="shared" si="4"/>
        <v>2.2200000000000001E-2</v>
      </c>
    </row>
    <row r="310" spans="1:3" x14ac:dyDescent="0.2">
      <c r="A310" s="2">
        <v>42915</v>
      </c>
      <c r="B310">
        <v>2.27</v>
      </c>
      <c r="C310" s="11">
        <f t="shared" si="4"/>
        <v>2.2700000000000001E-2</v>
      </c>
    </row>
    <row r="311" spans="1:3" x14ac:dyDescent="0.2">
      <c r="A311" s="2">
        <v>42916</v>
      </c>
      <c r="B311">
        <v>2.31</v>
      </c>
      <c r="C311" s="11">
        <f t="shared" si="4"/>
        <v>2.3099999999999999E-2</v>
      </c>
    </row>
    <row r="312" spans="1:3" x14ac:dyDescent="0.2">
      <c r="A312" s="2">
        <v>42919</v>
      </c>
      <c r="B312">
        <v>2.35</v>
      </c>
      <c r="C312" s="11">
        <f t="shared" si="4"/>
        <v>2.35E-2</v>
      </c>
    </row>
    <row r="313" spans="1:3" x14ac:dyDescent="0.2">
      <c r="A313" s="2">
        <v>42921</v>
      </c>
      <c r="B313">
        <v>2.33</v>
      </c>
      <c r="C313" s="11">
        <f t="shared" si="4"/>
        <v>2.3300000000000001E-2</v>
      </c>
    </row>
    <row r="314" spans="1:3" x14ac:dyDescent="0.2">
      <c r="A314" s="2">
        <v>42922</v>
      </c>
      <c r="B314">
        <v>2.37</v>
      </c>
      <c r="C314" s="11">
        <f t="shared" si="4"/>
        <v>2.3700000000000002E-2</v>
      </c>
    </row>
    <row r="315" spans="1:3" x14ac:dyDescent="0.2">
      <c r="A315" s="2">
        <v>42923</v>
      </c>
      <c r="B315">
        <v>2.39</v>
      </c>
      <c r="C315" s="11">
        <f t="shared" si="4"/>
        <v>2.3900000000000001E-2</v>
      </c>
    </row>
    <row r="316" spans="1:3" x14ac:dyDescent="0.2">
      <c r="A316" s="2">
        <v>42926</v>
      </c>
      <c r="B316">
        <v>2.38</v>
      </c>
      <c r="C316" s="11">
        <f t="shared" si="4"/>
        <v>2.3799999999999998E-2</v>
      </c>
    </row>
    <row r="317" spans="1:3" x14ac:dyDescent="0.2">
      <c r="A317" s="2">
        <v>42927</v>
      </c>
      <c r="B317">
        <v>2.37</v>
      </c>
      <c r="C317" s="11">
        <f t="shared" si="4"/>
        <v>2.3700000000000002E-2</v>
      </c>
    </row>
    <row r="318" spans="1:3" x14ac:dyDescent="0.2">
      <c r="A318" s="2">
        <v>42928</v>
      </c>
      <c r="B318">
        <v>2.33</v>
      </c>
      <c r="C318" s="11">
        <f t="shared" si="4"/>
        <v>2.3300000000000001E-2</v>
      </c>
    </row>
    <row r="319" spans="1:3" x14ac:dyDescent="0.2">
      <c r="A319" s="2">
        <v>42929</v>
      </c>
      <c r="B319">
        <v>2.35</v>
      </c>
      <c r="C319" s="11">
        <f t="shared" si="4"/>
        <v>2.35E-2</v>
      </c>
    </row>
    <row r="320" spans="1:3" x14ac:dyDescent="0.2">
      <c r="A320" s="2">
        <v>42930</v>
      </c>
      <c r="B320">
        <v>2.33</v>
      </c>
      <c r="C320" s="11">
        <f t="shared" si="4"/>
        <v>2.3300000000000001E-2</v>
      </c>
    </row>
    <row r="321" spans="1:3" x14ac:dyDescent="0.2">
      <c r="A321" s="2">
        <v>42933</v>
      </c>
      <c r="B321">
        <v>2.31</v>
      </c>
      <c r="C321" s="11">
        <f t="shared" si="4"/>
        <v>2.3099999999999999E-2</v>
      </c>
    </row>
    <row r="322" spans="1:3" x14ac:dyDescent="0.2">
      <c r="A322" s="2">
        <v>42934</v>
      </c>
      <c r="B322">
        <v>2.27</v>
      </c>
      <c r="C322" s="11">
        <f t="shared" si="4"/>
        <v>2.2700000000000001E-2</v>
      </c>
    </row>
    <row r="323" spans="1:3" x14ac:dyDescent="0.2">
      <c r="A323" s="2">
        <v>42935</v>
      </c>
      <c r="B323">
        <v>2.27</v>
      </c>
      <c r="C323" s="11">
        <f t="shared" ref="C323:C386" si="5">B323/100</f>
        <v>2.2700000000000001E-2</v>
      </c>
    </row>
    <row r="324" spans="1:3" x14ac:dyDescent="0.2">
      <c r="A324" s="2">
        <v>42936</v>
      </c>
      <c r="B324">
        <v>2.27</v>
      </c>
      <c r="C324" s="11">
        <f t="shared" si="5"/>
        <v>2.2700000000000001E-2</v>
      </c>
    </row>
    <row r="325" spans="1:3" x14ac:dyDescent="0.2">
      <c r="A325" s="2">
        <v>42937</v>
      </c>
      <c r="B325">
        <v>2.2400000000000002</v>
      </c>
      <c r="C325" s="11">
        <f t="shared" si="5"/>
        <v>2.2400000000000003E-2</v>
      </c>
    </row>
    <row r="326" spans="1:3" x14ac:dyDescent="0.2">
      <c r="A326" s="2">
        <v>42940</v>
      </c>
      <c r="B326">
        <v>2.2599999999999998</v>
      </c>
      <c r="C326" s="11">
        <f t="shared" si="5"/>
        <v>2.2599999999999999E-2</v>
      </c>
    </row>
    <row r="327" spans="1:3" x14ac:dyDescent="0.2">
      <c r="A327" s="2">
        <v>42941</v>
      </c>
      <c r="B327">
        <v>2.33</v>
      </c>
      <c r="C327" s="11">
        <f t="shared" si="5"/>
        <v>2.3300000000000001E-2</v>
      </c>
    </row>
    <row r="328" spans="1:3" x14ac:dyDescent="0.2">
      <c r="A328" s="2">
        <v>42942</v>
      </c>
      <c r="B328">
        <v>2.29</v>
      </c>
      <c r="C328" s="11">
        <f t="shared" si="5"/>
        <v>2.29E-2</v>
      </c>
    </row>
    <row r="329" spans="1:3" x14ac:dyDescent="0.2">
      <c r="A329" s="2">
        <v>42943</v>
      </c>
      <c r="B329">
        <v>2.3199999999999998</v>
      </c>
      <c r="C329" s="11">
        <f t="shared" si="5"/>
        <v>2.3199999999999998E-2</v>
      </c>
    </row>
    <row r="330" spans="1:3" x14ac:dyDescent="0.2">
      <c r="A330" s="2">
        <v>42944</v>
      </c>
      <c r="B330">
        <v>2.2999999999999998</v>
      </c>
      <c r="C330" s="11">
        <f t="shared" si="5"/>
        <v>2.3E-2</v>
      </c>
    </row>
    <row r="331" spans="1:3" x14ac:dyDescent="0.2">
      <c r="A331" s="2">
        <v>42947</v>
      </c>
      <c r="B331">
        <v>2.2999999999999998</v>
      </c>
      <c r="C331" s="11">
        <f t="shared" si="5"/>
        <v>2.3E-2</v>
      </c>
    </row>
    <row r="332" spans="1:3" x14ac:dyDescent="0.2">
      <c r="A332" s="2">
        <v>42948</v>
      </c>
      <c r="B332">
        <v>2.2599999999999998</v>
      </c>
      <c r="C332" s="11">
        <f t="shared" si="5"/>
        <v>2.2599999999999999E-2</v>
      </c>
    </row>
    <row r="333" spans="1:3" x14ac:dyDescent="0.2">
      <c r="A333" s="2">
        <v>42949</v>
      </c>
      <c r="B333">
        <v>2.27</v>
      </c>
      <c r="C333" s="11">
        <f t="shared" si="5"/>
        <v>2.2700000000000001E-2</v>
      </c>
    </row>
    <row r="334" spans="1:3" x14ac:dyDescent="0.2">
      <c r="A334" s="2">
        <v>42950</v>
      </c>
      <c r="B334">
        <v>2.2400000000000002</v>
      </c>
      <c r="C334" s="11">
        <f t="shared" si="5"/>
        <v>2.2400000000000003E-2</v>
      </c>
    </row>
    <row r="335" spans="1:3" x14ac:dyDescent="0.2">
      <c r="A335" s="2">
        <v>42951</v>
      </c>
      <c r="B335">
        <v>2.27</v>
      </c>
      <c r="C335" s="11">
        <f t="shared" si="5"/>
        <v>2.2700000000000001E-2</v>
      </c>
    </row>
    <row r="336" spans="1:3" x14ac:dyDescent="0.2">
      <c r="A336" s="2">
        <v>42954</v>
      </c>
      <c r="B336">
        <v>2.2599999999999998</v>
      </c>
      <c r="C336" s="11">
        <f t="shared" si="5"/>
        <v>2.2599999999999999E-2</v>
      </c>
    </row>
    <row r="337" spans="1:3" x14ac:dyDescent="0.2">
      <c r="A337" s="2">
        <v>42955</v>
      </c>
      <c r="B337">
        <v>2.29</v>
      </c>
      <c r="C337" s="11">
        <f t="shared" si="5"/>
        <v>2.29E-2</v>
      </c>
    </row>
    <row r="338" spans="1:3" x14ac:dyDescent="0.2">
      <c r="A338" s="2">
        <v>42956</v>
      </c>
      <c r="B338">
        <v>2.2400000000000002</v>
      </c>
      <c r="C338" s="11">
        <f t="shared" si="5"/>
        <v>2.2400000000000003E-2</v>
      </c>
    </row>
    <row r="339" spans="1:3" x14ac:dyDescent="0.2">
      <c r="A339" s="2">
        <v>42957</v>
      </c>
      <c r="B339">
        <v>2.2000000000000002</v>
      </c>
      <c r="C339" s="11">
        <f t="shared" si="5"/>
        <v>2.2000000000000002E-2</v>
      </c>
    </row>
    <row r="340" spans="1:3" x14ac:dyDescent="0.2">
      <c r="A340" s="2">
        <v>42958</v>
      </c>
      <c r="B340">
        <v>2.19</v>
      </c>
      <c r="C340" s="11">
        <f t="shared" si="5"/>
        <v>2.1899999999999999E-2</v>
      </c>
    </row>
    <row r="341" spans="1:3" x14ac:dyDescent="0.2">
      <c r="A341" s="2">
        <v>42961</v>
      </c>
      <c r="B341">
        <v>2.2200000000000002</v>
      </c>
      <c r="C341" s="11">
        <f t="shared" si="5"/>
        <v>2.2200000000000001E-2</v>
      </c>
    </row>
    <row r="342" spans="1:3" x14ac:dyDescent="0.2">
      <c r="A342" s="2">
        <v>42962</v>
      </c>
      <c r="B342">
        <v>2.27</v>
      </c>
      <c r="C342" s="11">
        <f t="shared" si="5"/>
        <v>2.2700000000000001E-2</v>
      </c>
    </row>
    <row r="343" spans="1:3" x14ac:dyDescent="0.2">
      <c r="A343" s="2">
        <v>42963</v>
      </c>
      <c r="B343">
        <v>2.23</v>
      </c>
      <c r="C343" s="11">
        <f t="shared" si="5"/>
        <v>2.23E-2</v>
      </c>
    </row>
    <row r="344" spans="1:3" x14ac:dyDescent="0.2">
      <c r="A344" s="2">
        <v>42964</v>
      </c>
      <c r="B344">
        <v>2.19</v>
      </c>
      <c r="C344" s="11">
        <f t="shared" si="5"/>
        <v>2.1899999999999999E-2</v>
      </c>
    </row>
    <row r="345" spans="1:3" x14ac:dyDescent="0.2">
      <c r="A345" s="2">
        <v>42965</v>
      </c>
      <c r="B345">
        <v>2.19</v>
      </c>
      <c r="C345" s="11">
        <f t="shared" si="5"/>
        <v>2.1899999999999999E-2</v>
      </c>
    </row>
    <row r="346" spans="1:3" x14ac:dyDescent="0.2">
      <c r="A346" s="2">
        <v>42968</v>
      </c>
      <c r="B346">
        <v>2.1800000000000002</v>
      </c>
      <c r="C346" s="11">
        <f t="shared" si="5"/>
        <v>2.18E-2</v>
      </c>
    </row>
    <row r="347" spans="1:3" x14ac:dyDescent="0.2">
      <c r="A347" s="2">
        <v>42969</v>
      </c>
      <c r="B347">
        <v>2.2200000000000002</v>
      </c>
      <c r="C347" s="11">
        <f t="shared" si="5"/>
        <v>2.2200000000000001E-2</v>
      </c>
    </row>
    <row r="348" spans="1:3" x14ac:dyDescent="0.2">
      <c r="A348" s="2">
        <v>42970</v>
      </c>
      <c r="B348">
        <v>2.17</v>
      </c>
      <c r="C348" s="11">
        <f t="shared" si="5"/>
        <v>2.1700000000000001E-2</v>
      </c>
    </row>
    <row r="349" spans="1:3" x14ac:dyDescent="0.2">
      <c r="A349" s="2">
        <v>42971</v>
      </c>
      <c r="B349">
        <v>2.19</v>
      </c>
      <c r="C349" s="11">
        <f t="shared" si="5"/>
        <v>2.1899999999999999E-2</v>
      </c>
    </row>
    <row r="350" spans="1:3" x14ac:dyDescent="0.2">
      <c r="A350" s="2">
        <v>42972</v>
      </c>
      <c r="B350">
        <v>2.17</v>
      </c>
      <c r="C350" s="11">
        <f t="shared" si="5"/>
        <v>2.1700000000000001E-2</v>
      </c>
    </row>
    <row r="351" spans="1:3" x14ac:dyDescent="0.2">
      <c r="A351" s="2">
        <v>42975</v>
      </c>
      <c r="B351">
        <v>2.16</v>
      </c>
      <c r="C351" s="11">
        <f t="shared" si="5"/>
        <v>2.1600000000000001E-2</v>
      </c>
    </row>
    <row r="352" spans="1:3" x14ac:dyDescent="0.2">
      <c r="A352" s="2">
        <v>42976</v>
      </c>
      <c r="B352">
        <v>2.13</v>
      </c>
      <c r="C352" s="11">
        <f t="shared" si="5"/>
        <v>2.1299999999999999E-2</v>
      </c>
    </row>
    <row r="353" spans="1:3" x14ac:dyDescent="0.2">
      <c r="A353" s="2">
        <v>42977</v>
      </c>
      <c r="B353">
        <v>2.15</v>
      </c>
      <c r="C353" s="11">
        <f t="shared" si="5"/>
        <v>2.1499999999999998E-2</v>
      </c>
    </row>
    <row r="354" spans="1:3" x14ac:dyDescent="0.2">
      <c r="A354" s="2">
        <v>42978</v>
      </c>
      <c r="B354">
        <v>2.12</v>
      </c>
      <c r="C354" s="11">
        <f t="shared" si="5"/>
        <v>2.12E-2</v>
      </c>
    </row>
    <row r="355" spans="1:3" x14ac:dyDescent="0.2">
      <c r="A355" s="2">
        <v>42979</v>
      </c>
      <c r="B355">
        <v>2.16</v>
      </c>
      <c r="C355" s="11">
        <f t="shared" si="5"/>
        <v>2.1600000000000001E-2</v>
      </c>
    </row>
    <row r="356" spans="1:3" x14ac:dyDescent="0.2">
      <c r="A356" s="2">
        <v>42983</v>
      </c>
      <c r="B356">
        <v>2.0699999999999998</v>
      </c>
      <c r="C356" s="11">
        <f t="shared" si="5"/>
        <v>2.07E-2</v>
      </c>
    </row>
    <row r="357" spans="1:3" x14ac:dyDescent="0.2">
      <c r="A357" s="2">
        <v>42984</v>
      </c>
      <c r="B357">
        <v>2.1</v>
      </c>
      <c r="C357" s="11">
        <f t="shared" si="5"/>
        <v>2.1000000000000001E-2</v>
      </c>
    </row>
    <row r="358" spans="1:3" x14ac:dyDescent="0.2">
      <c r="A358" s="2">
        <v>42985</v>
      </c>
      <c r="B358">
        <v>2.0499999999999998</v>
      </c>
      <c r="C358" s="11">
        <f t="shared" si="5"/>
        <v>2.0499999999999997E-2</v>
      </c>
    </row>
    <row r="359" spans="1:3" x14ac:dyDescent="0.2">
      <c r="A359" s="2">
        <v>42986</v>
      </c>
      <c r="B359">
        <v>2.06</v>
      </c>
      <c r="C359" s="11">
        <f t="shared" si="5"/>
        <v>2.06E-2</v>
      </c>
    </row>
    <row r="360" spans="1:3" x14ac:dyDescent="0.2">
      <c r="A360" s="2">
        <v>42989</v>
      </c>
      <c r="B360">
        <v>2.14</v>
      </c>
      <c r="C360" s="11">
        <f t="shared" si="5"/>
        <v>2.1400000000000002E-2</v>
      </c>
    </row>
    <row r="361" spans="1:3" x14ac:dyDescent="0.2">
      <c r="A361" s="2">
        <v>42990</v>
      </c>
      <c r="B361">
        <v>2.17</v>
      </c>
      <c r="C361" s="11">
        <f t="shared" si="5"/>
        <v>2.1700000000000001E-2</v>
      </c>
    </row>
    <row r="362" spans="1:3" x14ac:dyDescent="0.2">
      <c r="A362" s="2">
        <v>42991</v>
      </c>
      <c r="B362">
        <v>2.2000000000000002</v>
      </c>
      <c r="C362" s="11">
        <f t="shared" si="5"/>
        <v>2.2000000000000002E-2</v>
      </c>
    </row>
    <row r="363" spans="1:3" x14ac:dyDescent="0.2">
      <c r="A363" s="2">
        <v>42992</v>
      </c>
      <c r="B363">
        <v>2.2000000000000002</v>
      </c>
      <c r="C363" s="11">
        <f t="shared" si="5"/>
        <v>2.2000000000000002E-2</v>
      </c>
    </row>
    <row r="364" spans="1:3" x14ac:dyDescent="0.2">
      <c r="A364" s="2">
        <v>42993</v>
      </c>
      <c r="B364">
        <v>2.2000000000000002</v>
      </c>
      <c r="C364" s="11">
        <f t="shared" si="5"/>
        <v>2.2000000000000002E-2</v>
      </c>
    </row>
    <row r="365" spans="1:3" x14ac:dyDescent="0.2">
      <c r="A365" s="2">
        <v>42996</v>
      </c>
      <c r="B365">
        <v>2.23</v>
      </c>
      <c r="C365" s="11">
        <f t="shared" si="5"/>
        <v>2.23E-2</v>
      </c>
    </row>
    <row r="366" spans="1:3" x14ac:dyDescent="0.2">
      <c r="A366" s="2">
        <v>42997</v>
      </c>
      <c r="B366">
        <v>2.2400000000000002</v>
      </c>
      <c r="C366" s="11">
        <f t="shared" si="5"/>
        <v>2.2400000000000003E-2</v>
      </c>
    </row>
    <row r="367" spans="1:3" x14ac:dyDescent="0.2">
      <c r="A367" s="2">
        <v>42998</v>
      </c>
      <c r="B367">
        <v>2.2799999999999998</v>
      </c>
      <c r="C367" s="11">
        <f t="shared" si="5"/>
        <v>2.2799999999999997E-2</v>
      </c>
    </row>
    <row r="368" spans="1:3" x14ac:dyDescent="0.2">
      <c r="A368" s="2">
        <v>42999</v>
      </c>
      <c r="B368">
        <v>2.27</v>
      </c>
      <c r="C368" s="11">
        <f t="shared" si="5"/>
        <v>2.2700000000000001E-2</v>
      </c>
    </row>
    <row r="369" spans="1:3" x14ac:dyDescent="0.2">
      <c r="A369" s="2">
        <v>43000</v>
      </c>
      <c r="B369">
        <v>2.2599999999999998</v>
      </c>
      <c r="C369" s="11">
        <f t="shared" si="5"/>
        <v>2.2599999999999999E-2</v>
      </c>
    </row>
    <row r="370" spans="1:3" x14ac:dyDescent="0.2">
      <c r="A370" s="2">
        <v>43003</v>
      </c>
      <c r="B370">
        <v>2.2200000000000002</v>
      </c>
      <c r="C370" s="11">
        <f t="shared" si="5"/>
        <v>2.2200000000000001E-2</v>
      </c>
    </row>
    <row r="371" spans="1:3" x14ac:dyDescent="0.2">
      <c r="A371" s="2">
        <v>43004</v>
      </c>
      <c r="B371">
        <v>2.2400000000000002</v>
      </c>
      <c r="C371" s="11">
        <f t="shared" si="5"/>
        <v>2.2400000000000003E-2</v>
      </c>
    </row>
    <row r="372" spans="1:3" x14ac:dyDescent="0.2">
      <c r="A372" s="2">
        <v>43005</v>
      </c>
      <c r="B372">
        <v>2.31</v>
      </c>
      <c r="C372" s="11">
        <f t="shared" si="5"/>
        <v>2.3099999999999999E-2</v>
      </c>
    </row>
    <row r="373" spans="1:3" x14ac:dyDescent="0.2">
      <c r="A373" s="2">
        <v>43006</v>
      </c>
      <c r="B373">
        <v>2.31</v>
      </c>
      <c r="C373" s="11">
        <f t="shared" si="5"/>
        <v>2.3099999999999999E-2</v>
      </c>
    </row>
    <row r="374" spans="1:3" x14ac:dyDescent="0.2">
      <c r="A374" s="2">
        <v>43007</v>
      </c>
      <c r="B374">
        <v>2.33</v>
      </c>
      <c r="C374" s="11">
        <f t="shared" si="5"/>
        <v>2.3300000000000001E-2</v>
      </c>
    </row>
    <row r="375" spans="1:3" x14ac:dyDescent="0.2">
      <c r="A375" s="2">
        <v>43010</v>
      </c>
      <c r="B375">
        <v>2.34</v>
      </c>
      <c r="C375" s="11">
        <f t="shared" si="5"/>
        <v>2.3399999999999997E-2</v>
      </c>
    </row>
    <row r="376" spans="1:3" x14ac:dyDescent="0.2">
      <c r="A376" s="2">
        <v>43011</v>
      </c>
      <c r="B376">
        <v>2.33</v>
      </c>
      <c r="C376" s="11">
        <f t="shared" si="5"/>
        <v>2.3300000000000001E-2</v>
      </c>
    </row>
    <row r="377" spans="1:3" x14ac:dyDescent="0.2">
      <c r="A377" s="2">
        <v>43012</v>
      </c>
      <c r="B377">
        <v>2.33</v>
      </c>
      <c r="C377" s="11">
        <f t="shared" si="5"/>
        <v>2.3300000000000001E-2</v>
      </c>
    </row>
    <row r="378" spans="1:3" x14ac:dyDescent="0.2">
      <c r="A378" s="2">
        <v>43013</v>
      </c>
      <c r="B378">
        <v>2.35</v>
      </c>
      <c r="C378" s="11">
        <f t="shared" si="5"/>
        <v>2.35E-2</v>
      </c>
    </row>
    <row r="379" spans="1:3" x14ac:dyDescent="0.2">
      <c r="A379" s="2">
        <v>43014</v>
      </c>
      <c r="B379">
        <v>2.37</v>
      </c>
      <c r="C379" s="11">
        <f t="shared" si="5"/>
        <v>2.3700000000000002E-2</v>
      </c>
    </row>
    <row r="380" spans="1:3" x14ac:dyDescent="0.2">
      <c r="A380" s="2">
        <v>43018</v>
      </c>
      <c r="B380">
        <v>2.35</v>
      </c>
      <c r="C380" s="11">
        <f t="shared" si="5"/>
        <v>2.35E-2</v>
      </c>
    </row>
    <row r="381" spans="1:3" x14ac:dyDescent="0.2">
      <c r="A381" s="2">
        <v>43019</v>
      </c>
      <c r="B381">
        <v>2.35</v>
      </c>
      <c r="C381" s="11">
        <f t="shared" si="5"/>
        <v>2.35E-2</v>
      </c>
    </row>
    <row r="382" spans="1:3" x14ac:dyDescent="0.2">
      <c r="A382" s="2">
        <v>43020</v>
      </c>
      <c r="B382">
        <v>2.33</v>
      </c>
      <c r="C382" s="11">
        <f t="shared" si="5"/>
        <v>2.3300000000000001E-2</v>
      </c>
    </row>
    <row r="383" spans="1:3" x14ac:dyDescent="0.2">
      <c r="A383" s="2">
        <v>43021</v>
      </c>
      <c r="B383">
        <v>2.2799999999999998</v>
      </c>
      <c r="C383" s="11">
        <f t="shared" si="5"/>
        <v>2.2799999999999997E-2</v>
      </c>
    </row>
    <row r="384" spans="1:3" x14ac:dyDescent="0.2">
      <c r="A384" s="2">
        <v>43024</v>
      </c>
      <c r="B384">
        <v>2.2999999999999998</v>
      </c>
      <c r="C384" s="11">
        <f t="shared" si="5"/>
        <v>2.3E-2</v>
      </c>
    </row>
    <row r="385" spans="1:3" x14ac:dyDescent="0.2">
      <c r="A385" s="2">
        <v>43025</v>
      </c>
      <c r="B385">
        <v>2.2999999999999998</v>
      </c>
      <c r="C385" s="11">
        <f t="shared" si="5"/>
        <v>2.3E-2</v>
      </c>
    </row>
    <row r="386" spans="1:3" x14ac:dyDescent="0.2">
      <c r="A386" s="2">
        <v>43026</v>
      </c>
      <c r="B386">
        <v>2.34</v>
      </c>
      <c r="C386" s="11">
        <f t="shared" si="5"/>
        <v>2.3399999999999997E-2</v>
      </c>
    </row>
    <row r="387" spans="1:3" x14ac:dyDescent="0.2">
      <c r="A387" s="2">
        <v>43027</v>
      </c>
      <c r="B387">
        <v>2.33</v>
      </c>
      <c r="C387" s="11">
        <f t="shared" ref="C387:C450" si="6">B387/100</f>
        <v>2.3300000000000001E-2</v>
      </c>
    </row>
    <row r="388" spans="1:3" x14ac:dyDescent="0.2">
      <c r="A388" s="2">
        <v>43028</v>
      </c>
      <c r="B388">
        <v>2.39</v>
      </c>
      <c r="C388" s="11">
        <f t="shared" si="6"/>
        <v>2.3900000000000001E-2</v>
      </c>
    </row>
    <row r="389" spans="1:3" x14ac:dyDescent="0.2">
      <c r="A389" s="2">
        <v>43031</v>
      </c>
      <c r="B389">
        <v>2.38</v>
      </c>
      <c r="C389" s="11">
        <f t="shared" si="6"/>
        <v>2.3799999999999998E-2</v>
      </c>
    </row>
    <row r="390" spans="1:3" x14ac:dyDescent="0.2">
      <c r="A390" s="2">
        <v>43032</v>
      </c>
      <c r="B390">
        <v>2.42</v>
      </c>
      <c r="C390" s="11">
        <f t="shared" si="6"/>
        <v>2.4199999999999999E-2</v>
      </c>
    </row>
    <row r="391" spans="1:3" x14ac:dyDescent="0.2">
      <c r="A391" s="2">
        <v>43033</v>
      </c>
      <c r="B391">
        <v>2.44</v>
      </c>
      <c r="C391" s="11">
        <f t="shared" si="6"/>
        <v>2.4399999999999998E-2</v>
      </c>
    </row>
    <row r="392" spans="1:3" x14ac:dyDescent="0.2">
      <c r="A392" s="2">
        <v>43034</v>
      </c>
      <c r="B392">
        <v>2.46</v>
      </c>
      <c r="C392" s="11">
        <f t="shared" si="6"/>
        <v>2.46E-2</v>
      </c>
    </row>
    <row r="393" spans="1:3" x14ac:dyDescent="0.2">
      <c r="A393" s="2">
        <v>43035</v>
      </c>
      <c r="B393">
        <v>2.42</v>
      </c>
      <c r="C393" s="11">
        <f t="shared" si="6"/>
        <v>2.4199999999999999E-2</v>
      </c>
    </row>
    <row r="394" spans="1:3" x14ac:dyDescent="0.2">
      <c r="A394" s="2">
        <v>43038</v>
      </c>
      <c r="B394">
        <v>2.37</v>
      </c>
      <c r="C394" s="11">
        <f t="shared" si="6"/>
        <v>2.3700000000000002E-2</v>
      </c>
    </row>
    <row r="395" spans="1:3" x14ac:dyDescent="0.2">
      <c r="A395" s="2">
        <v>43039</v>
      </c>
      <c r="B395">
        <v>2.38</v>
      </c>
      <c r="C395" s="11">
        <f t="shared" si="6"/>
        <v>2.3799999999999998E-2</v>
      </c>
    </row>
    <row r="396" spans="1:3" x14ac:dyDescent="0.2">
      <c r="A396" s="2">
        <v>43040</v>
      </c>
      <c r="B396">
        <v>2.37</v>
      </c>
      <c r="C396" s="11">
        <f t="shared" si="6"/>
        <v>2.3700000000000002E-2</v>
      </c>
    </row>
    <row r="397" spans="1:3" x14ac:dyDescent="0.2">
      <c r="A397" s="2">
        <v>43041</v>
      </c>
      <c r="B397">
        <v>2.35</v>
      </c>
      <c r="C397" s="11">
        <f t="shared" si="6"/>
        <v>2.35E-2</v>
      </c>
    </row>
    <row r="398" spans="1:3" x14ac:dyDescent="0.2">
      <c r="A398" s="2">
        <v>43042</v>
      </c>
      <c r="B398">
        <v>2.34</v>
      </c>
      <c r="C398" s="11">
        <f t="shared" si="6"/>
        <v>2.3399999999999997E-2</v>
      </c>
    </row>
    <row r="399" spans="1:3" x14ac:dyDescent="0.2">
      <c r="A399" s="2">
        <v>43045</v>
      </c>
      <c r="B399">
        <v>2.3199999999999998</v>
      </c>
      <c r="C399" s="11">
        <f t="shared" si="6"/>
        <v>2.3199999999999998E-2</v>
      </c>
    </row>
    <row r="400" spans="1:3" x14ac:dyDescent="0.2">
      <c r="A400" s="2">
        <v>43046</v>
      </c>
      <c r="B400">
        <v>2.3199999999999998</v>
      </c>
      <c r="C400" s="11">
        <f t="shared" si="6"/>
        <v>2.3199999999999998E-2</v>
      </c>
    </row>
    <row r="401" spans="1:3" x14ac:dyDescent="0.2">
      <c r="A401" s="2">
        <v>43047</v>
      </c>
      <c r="B401">
        <v>2.3199999999999998</v>
      </c>
      <c r="C401" s="11">
        <f t="shared" si="6"/>
        <v>2.3199999999999998E-2</v>
      </c>
    </row>
    <row r="402" spans="1:3" x14ac:dyDescent="0.2">
      <c r="A402" s="2">
        <v>43048</v>
      </c>
      <c r="B402">
        <v>2.33</v>
      </c>
      <c r="C402" s="11">
        <f t="shared" si="6"/>
        <v>2.3300000000000001E-2</v>
      </c>
    </row>
    <row r="403" spans="1:3" x14ac:dyDescent="0.2">
      <c r="A403" s="2">
        <v>43049</v>
      </c>
      <c r="B403">
        <v>2.4</v>
      </c>
      <c r="C403" s="11">
        <f t="shared" si="6"/>
        <v>2.4E-2</v>
      </c>
    </row>
    <row r="404" spans="1:3" x14ac:dyDescent="0.2">
      <c r="A404" s="2">
        <v>43052</v>
      </c>
      <c r="B404">
        <v>2.4</v>
      </c>
      <c r="C404" s="11">
        <f t="shared" si="6"/>
        <v>2.4E-2</v>
      </c>
    </row>
    <row r="405" spans="1:3" x14ac:dyDescent="0.2">
      <c r="A405" s="2">
        <v>43053</v>
      </c>
      <c r="B405">
        <v>2.38</v>
      </c>
      <c r="C405" s="11">
        <f t="shared" si="6"/>
        <v>2.3799999999999998E-2</v>
      </c>
    </row>
    <row r="406" spans="1:3" x14ac:dyDescent="0.2">
      <c r="A406" s="2">
        <v>43054</v>
      </c>
      <c r="B406">
        <v>2.33</v>
      </c>
      <c r="C406" s="11">
        <f t="shared" si="6"/>
        <v>2.3300000000000001E-2</v>
      </c>
    </row>
    <row r="407" spans="1:3" x14ac:dyDescent="0.2">
      <c r="A407" s="2">
        <v>43055</v>
      </c>
      <c r="B407">
        <v>2.37</v>
      </c>
      <c r="C407" s="11">
        <f t="shared" si="6"/>
        <v>2.3700000000000002E-2</v>
      </c>
    </row>
    <row r="408" spans="1:3" x14ac:dyDescent="0.2">
      <c r="A408" s="2">
        <v>43056</v>
      </c>
      <c r="B408">
        <v>2.35</v>
      </c>
      <c r="C408" s="11">
        <f t="shared" si="6"/>
        <v>2.35E-2</v>
      </c>
    </row>
    <row r="409" spans="1:3" x14ac:dyDescent="0.2">
      <c r="A409" s="2">
        <v>43059</v>
      </c>
      <c r="B409">
        <v>2.37</v>
      </c>
      <c r="C409" s="11">
        <f t="shared" si="6"/>
        <v>2.3700000000000002E-2</v>
      </c>
    </row>
    <row r="410" spans="1:3" x14ac:dyDescent="0.2">
      <c r="A410" s="2">
        <v>43060</v>
      </c>
      <c r="B410">
        <v>2.36</v>
      </c>
      <c r="C410" s="11">
        <f t="shared" si="6"/>
        <v>2.3599999999999999E-2</v>
      </c>
    </row>
    <row r="411" spans="1:3" x14ac:dyDescent="0.2">
      <c r="A411" s="2">
        <v>43061</v>
      </c>
      <c r="B411">
        <v>2.3199999999999998</v>
      </c>
      <c r="C411" s="11">
        <f t="shared" si="6"/>
        <v>2.3199999999999998E-2</v>
      </c>
    </row>
    <row r="412" spans="1:3" x14ac:dyDescent="0.2">
      <c r="A412" s="2">
        <v>43063</v>
      </c>
      <c r="B412">
        <v>2.34</v>
      </c>
      <c r="C412" s="11">
        <f t="shared" si="6"/>
        <v>2.3399999999999997E-2</v>
      </c>
    </row>
    <row r="413" spans="1:3" x14ac:dyDescent="0.2">
      <c r="A413" s="2">
        <v>43066</v>
      </c>
      <c r="B413">
        <v>2.3199999999999998</v>
      </c>
      <c r="C413" s="11">
        <f t="shared" si="6"/>
        <v>2.3199999999999998E-2</v>
      </c>
    </row>
    <row r="414" spans="1:3" x14ac:dyDescent="0.2">
      <c r="A414" s="2">
        <v>43067</v>
      </c>
      <c r="B414">
        <v>2.34</v>
      </c>
      <c r="C414" s="11">
        <f t="shared" si="6"/>
        <v>2.3399999999999997E-2</v>
      </c>
    </row>
    <row r="415" spans="1:3" x14ac:dyDescent="0.2">
      <c r="A415" s="2">
        <v>43068</v>
      </c>
      <c r="B415">
        <v>2.37</v>
      </c>
      <c r="C415" s="11">
        <f t="shared" si="6"/>
        <v>2.3700000000000002E-2</v>
      </c>
    </row>
    <row r="416" spans="1:3" x14ac:dyDescent="0.2">
      <c r="A416" s="2">
        <v>43069</v>
      </c>
      <c r="B416">
        <v>2.42</v>
      </c>
      <c r="C416" s="11">
        <f t="shared" si="6"/>
        <v>2.4199999999999999E-2</v>
      </c>
    </row>
    <row r="417" spans="1:3" x14ac:dyDescent="0.2">
      <c r="A417" s="2">
        <v>43070</v>
      </c>
      <c r="B417">
        <v>2.37</v>
      </c>
      <c r="C417" s="11">
        <f t="shared" si="6"/>
        <v>2.3700000000000002E-2</v>
      </c>
    </row>
    <row r="418" spans="1:3" x14ac:dyDescent="0.2">
      <c r="A418" s="2">
        <v>43073</v>
      </c>
      <c r="B418">
        <v>2.37</v>
      </c>
      <c r="C418" s="11">
        <f t="shared" si="6"/>
        <v>2.3700000000000002E-2</v>
      </c>
    </row>
    <row r="419" spans="1:3" x14ac:dyDescent="0.2">
      <c r="A419" s="2">
        <v>43074</v>
      </c>
      <c r="B419">
        <v>2.36</v>
      </c>
      <c r="C419" s="11">
        <f t="shared" si="6"/>
        <v>2.3599999999999999E-2</v>
      </c>
    </row>
    <row r="420" spans="1:3" x14ac:dyDescent="0.2">
      <c r="A420" s="2">
        <v>43075</v>
      </c>
      <c r="B420">
        <v>2.33</v>
      </c>
      <c r="C420" s="11">
        <f t="shared" si="6"/>
        <v>2.3300000000000001E-2</v>
      </c>
    </row>
    <row r="421" spans="1:3" x14ac:dyDescent="0.2">
      <c r="A421" s="2">
        <v>43076</v>
      </c>
      <c r="B421">
        <v>2.37</v>
      </c>
      <c r="C421" s="11">
        <f t="shared" si="6"/>
        <v>2.3700000000000002E-2</v>
      </c>
    </row>
    <row r="422" spans="1:3" x14ac:dyDescent="0.2">
      <c r="A422" s="2">
        <v>43077</v>
      </c>
      <c r="B422">
        <v>2.38</v>
      </c>
      <c r="C422" s="11">
        <f t="shared" si="6"/>
        <v>2.3799999999999998E-2</v>
      </c>
    </row>
    <row r="423" spans="1:3" x14ac:dyDescent="0.2">
      <c r="A423" s="2">
        <v>43080</v>
      </c>
      <c r="B423">
        <v>2.39</v>
      </c>
      <c r="C423" s="11">
        <f t="shared" si="6"/>
        <v>2.3900000000000001E-2</v>
      </c>
    </row>
    <row r="424" spans="1:3" x14ac:dyDescent="0.2">
      <c r="A424" s="2">
        <v>43081</v>
      </c>
      <c r="B424">
        <v>2.4</v>
      </c>
      <c r="C424" s="11">
        <f t="shared" si="6"/>
        <v>2.4E-2</v>
      </c>
    </row>
    <row r="425" spans="1:3" x14ac:dyDescent="0.2">
      <c r="A425" s="2">
        <v>43082</v>
      </c>
      <c r="B425">
        <v>2.36</v>
      </c>
      <c r="C425" s="11">
        <f t="shared" si="6"/>
        <v>2.3599999999999999E-2</v>
      </c>
    </row>
    <row r="426" spans="1:3" x14ac:dyDescent="0.2">
      <c r="A426" s="2">
        <v>43083</v>
      </c>
      <c r="B426">
        <v>2.35</v>
      </c>
      <c r="C426" s="11">
        <f t="shared" si="6"/>
        <v>2.35E-2</v>
      </c>
    </row>
    <row r="427" spans="1:3" x14ac:dyDescent="0.2">
      <c r="A427" s="2">
        <v>43084</v>
      </c>
      <c r="B427">
        <v>2.35</v>
      </c>
      <c r="C427" s="11">
        <f t="shared" si="6"/>
        <v>2.35E-2</v>
      </c>
    </row>
    <row r="428" spans="1:3" x14ac:dyDescent="0.2">
      <c r="A428" s="2">
        <v>43087</v>
      </c>
      <c r="B428">
        <v>2.39</v>
      </c>
      <c r="C428" s="11">
        <f t="shared" si="6"/>
        <v>2.3900000000000001E-2</v>
      </c>
    </row>
    <row r="429" spans="1:3" x14ac:dyDescent="0.2">
      <c r="A429" s="2">
        <v>43088</v>
      </c>
      <c r="B429">
        <v>2.46</v>
      </c>
      <c r="C429" s="11">
        <f t="shared" si="6"/>
        <v>2.46E-2</v>
      </c>
    </row>
    <row r="430" spans="1:3" x14ac:dyDescent="0.2">
      <c r="A430" s="2">
        <v>43089</v>
      </c>
      <c r="B430">
        <v>2.4900000000000002</v>
      </c>
      <c r="C430" s="11">
        <f t="shared" si="6"/>
        <v>2.4900000000000002E-2</v>
      </c>
    </row>
    <row r="431" spans="1:3" x14ac:dyDescent="0.2">
      <c r="A431" s="2">
        <v>43090</v>
      </c>
      <c r="B431">
        <v>2.48</v>
      </c>
      <c r="C431" s="11">
        <f t="shared" si="6"/>
        <v>2.4799999999999999E-2</v>
      </c>
    </row>
    <row r="432" spans="1:3" x14ac:dyDescent="0.2">
      <c r="A432" s="2">
        <v>43091</v>
      </c>
      <c r="B432">
        <v>2.48</v>
      </c>
      <c r="C432" s="11">
        <f t="shared" si="6"/>
        <v>2.4799999999999999E-2</v>
      </c>
    </row>
    <row r="433" spans="1:3" x14ac:dyDescent="0.2">
      <c r="A433" s="2">
        <v>43095</v>
      </c>
      <c r="B433">
        <v>2.4700000000000002</v>
      </c>
      <c r="C433" s="11">
        <f t="shared" si="6"/>
        <v>2.4700000000000003E-2</v>
      </c>
    </row>
    <row r="434" spans="1:3" x14ac:dyDescent="0.2">
      <c r="A434" s="2">
        <v>43096</v>
      </c>
      <c r="B434">
        <v>2.42</v>
      </c>
      <c r="C434" s="11">
        <f t="shared" si="6"/>
        <v>2.4199999999999999E-2</v>
      </c>
    </row>
    <row r="435" spans="1:3" x14ac:dyDescent="0.2">
      <c r="A435" s="2">
        <v>43097</v>
      </c>
      <c r="B435">
        <v>2.4300000000000002</v>
      </c>
      <c r="C435" s="11">
        <f t="shared" si="6"/>
        <v>2.4300000000000002E-2</v>
      </c>
    </row>
    <row r="436" spans="1:3" x14ac:dyDescent="0.2">
      <c r="A436" s="2">
        <v>43098</v>
      </c>
      <c r="B436">
        <v>2.4</v>
      </c>
      <c r="C436" s="11">
        <f t="shared" si="6"/>
        <v>2.4E-2</v>
      </c>
    </row>
    <row r="437" spans="1:3" x14ac:dyDescent="0.2">
      <c r="A437" s="2">
        <v>43102</v>
      </c>
      <c r="B437">
        <v>2.46</v>
      </c>
      <c r="C437" s="11">
        <f t="shared" si="6"/>
        <v>2.46E-2</v>
      </c>
    </row>
    <row r="438" spans="1:3" x14ac:dyDescent="0.2">
      <c r="A438" s="2">
        <v>43103</v>
      </c>
      <c r="B438">
        <v>2.44</v>
      </c>
      <c r="C438" s="11">
        <f t="shared" si="6"/>
        <v>2.4399999999999998E-2</v>
      </c>
    </row>
    <row r="439" spans="1:3" x14ac:dyDescent="0.2">
      <c r="A439" s="2">
        <v>43104</v>
      </c>
      <c r="B439">
        <v>2.46</v>
      </c>
      <c r="C439" s="11">
        <f t="shared" si="6"/>
        <v>2.46E-2</v>
      </c>
    </row>
    <row r="440" spans="1:3" x14ac:dyDescent="0.2">
      <c r="A440" s="2">
        <v>43105</v>
      </c>
      <c r="B440">
        <v>2.4700000000000002</v>
      </c>
      <c r="C440" s="11">
        <f t="shared" si="6"/>
        <v>2.4700000000000003E-2</v>
      </c>
    </row>
    <row r="441" spans="1:3" x14ac:dyDescent="0.2">
      <c r="A441" s="2">
        <v>43108</v>
      </c>
      <c r="B441">
        <v>2.4900000000000002</v>
      </c>
      <c r="C441" s="11">
        <f t="shared" si="6"/>
        <v>2.4900000000000002E-2</v>
      </c>
    </row>
    <row r="442" spans="1:3" x14ac:dyDescent="0.2">
      <c r="A442" s="2">
        <v>43109</v>
      </c>
      <c r="B442">
        <v>2.5499999999999998</v>
      </c>
      <c r="C442" s="11">
        <f t="shared" si="6"/>
        <v>2.5499999999999998E-2</v>
      </c>
    </row>
    <row r="443" spans="1:3" x14ac:dyDescent="0.2">
      <c r="A443" s="2">
        <v>43110</v>
      </c>
      <c r="B443">
        <v>2.5499999999999998</v>
      </c>
      <c r="C443" s="11">
        <f t="shared" si="6"/>
        <v>2.5499999999999998E-2</v>
      </c>
    </row>
    <row r="444" spans="1:3" x14ac:dyDescent="0.2">
      <c r="A444" s="2">
        <v>43111</v>
      </c>
      <c r="B444">
        <v>2.54</v>
      </c>
      <c r="C444" s="11">
        <f t="shared" si="6"/>
        <v>2.5399999999999999E-2</v>
      </c>
    </row>
    <row r="445" spans="1:3" x14ac:dyDescent="0.2">
      <c r="A445" s="2">
        <v>43112</v>
      </c>
      <c r="B445">
        <v>2.5499999999999998</v>
      </c>
      <c r="C445" s="11">
        <f t="shared" si="6"/>
        <v>2.5499999999999998E-2</v>
      </c>
    </row>
    <row r="446" spans="1:3" x14ac:dyDescent="0.2">
      <c r="A446" s="2">
        <v>43116</v>
      </c>
      <c r="B446">
        <v>2.54</v>
      </c>
      <c r="C446" s="11">
        <f t="shared" si="6"/>
        <v>2.5399999999999999E-2</v>
      </c>
    </row>
    <row r="447" spans="1:3" x14ac:dyDescent="0.2">
      <c r="A447" s="2">
        <v>43117</v>
      </c>
      <c r="B447">
        <v>2.57</v>
      </c>
      <c r="C447" s="11">
        <f t="shared" si="6"/>
        <v>2.5699999999999997E-2</v>
      </c>
    </row>
    <row r="448" spans="1:3" x14ac:dyDescent="0.2">
      <c r="A448" s="2">
        <v>43118</v>
      </c>
      <c r="B448">
        <v>2.62</v>
      </c>
      <c r="C448" s="11">
        <f t="shared" si="6"/>
        <v>2.6200000000000001E-2</v>
      </c>
    </row>
    <row r="449" spans="1:3" x14ac:dyDescent="0.2">
      <c r="A449" s="2">
        <v>43119</v>
      </c>
      <c r="B449">
        <v>2.64</v>
      </c>
      <c r="C449" s="11">
        <f t="shared" si="6"/>
        <v>2.64E-2</v>
      </c>
    </row>
    <row r="450" spans="1:3" x14ac:dyDescent="0.2">
      <c r="A450" s="2">
        <v>43122</v>
      </c>
      <c r="B450">
        <v>2.66</v>
      </c>
      <c r="C450" s="11">
        <f t="shared" si="6"/>
        <v>2.6600000000000002E-2</v>
      </c>
    </row>
    <row r="451" spans="1:3" x14ac:dyDescent="0.2">
      <c r="A451" s="2">
        <v>43123</v>
      </c>
      <c r="B451">
        <v>2.63</v>
      </c>
      <c r="C451" s="11">
        <f t="shared" ref="C451:C514" si="7">B451/100</f>
        <v>2.63E-2</v>
      </c>
    </row>
    <row r="452" spans="1:3" x14ac:dyDescent="0.2">
      <c r="A452" s="2">
        <v>43124</v>
      </c>
      <c r="B452">
        <v>2.65</v>
      </c>
      <c r="C452" s="11">
        <f t="shared" si="7"/>
        <v>2.6499999999999999E-2</v>
      </c>
    </row>
    <row r="453" spans="1:3" x14ac:dyDescent="0.2">
      <c r="A453" s="2">
        <v>43125</v>
      </c>
      <c r="B453">
        <v>2.63</v>
      </c>
      <c r="C453" s="11">
        <f t="shared" si="7"/>
        <v>2.63E-2</v>
      </c>
    </row>
    <row r="454" spans="1:3" x14ac:dyDescent="0.2">
      <c r="A454" s="2">
        <v>43126</v>
      </c>
      <c r="B454">
        <v>2.66</v>
      </c>
      <c r="C454" s="11">
        <f t="shared" si="7"/>
        <v>2.6600000000000002E-2</v>
      </c>
    </row>
    <row r="455" spans="1:3" x14ac:dyDescent="0.2">
      <c r="A455" s="2">
        <v>43129</v>
      </c>
      <c r="B455">
        <v>2.7</v>
      </c>
      <c r="C455" s="11">
        <f t="shared" si="7"/>
        <v>2.7000000000000003E-2</v>
      </c>
    </row>
    <row r="456" spans="1:3" x14ac:dyDescent="0.2">
      <c r="A456" s="2">
        <v>43130</v>
      </c>
      <c r="B456">
        <v>2.73</v>
      </c>
      <c r="C456" s="11">
        <f t="shared" si="7"/>
        <v>2.7300000000000001E-2</v>
      </c>
    </row>
    <row r="457" spans="1:3" x14ac:dyDescent="0.2">
      <c r="A457" s="2">
        <v>43131</v>
      </c>
      <c r="B457">
        <v>2.72</v>
      </c>
      <c r="C457" s="11">
        <f t="shared" si="7"/>
        <v>2.7200000000000002E-2</v>
      </c>
    </row>
    <row r="458" spans="1:3" x14ac:dyDescent="0.2">
      <c r="A458" s="2">
        <v>43132</v>
      </c>
      <c r="B458">
        <v>2.78</v>
      </c>
      <c r="C458" s="11">
        <f t="shared" si="7"/>
        <v>2.7799999999999998E-2</v>
      </c>
    </row>
    <row r="459" spans="1:3" x14ac:dyDescent="0.2">
      <c r="A459" s="2">
        <v>43133</v>
      </c>
      <c r="B459">
        <v>2.84</v>
      </c>
      <c r="C459" s="11">
        <f t="shared" si="7"/>
        <v>2.8399999999999998E-2</v>
      </c>
    </row>
    <row r="460" spans="1:3" x14ac:dyDescent="0.2">
      <c r="A460" s="2">
        <v>43136</v>
      </c>
      <c r="B460">
        <v>2.77</v>
      </c>
      <c r="C460" s="11">
        <f t="shared" si="7"/>
        <v>2.7699999999999999E-2</v>
      </c>
    </row>
    <row r="461" spans="1:3" x14ac:dyDescent="0.2">
      <c r="A461" s="2">
        <v>43137</v>
      </c>
      <c r="B461">
        <v>2.79</v>
      </c>
      <c r="C461" s="11">
        <f t="shared" si="7"/>
        <v>2.7900000000000001E-2</v>
      </c>
    </row>
    <row r="462" spans="1:3" x14ac:dyDescent="0.2">
      <c r="A462" s="2">
        <v>43138</v>
      </c>
      <c r="B462">
        <v>2.84</v>
      </c>
      <c r="C462" s="11">
        <f t="shared" si="7"/>
        <v>2.8399999999999998E-2</v>
      </c>
    </row>
    <row r="463" spans="1:3" x14ac:dyDescent="0.2">
      <c r="A463" s="2">
        <v>43139</v>
      </c>
      <c r="B463">
        <v>2.85</v>
      </c>
      <c r="C463" s="11">
        <f t="shared" si="7"/>
        <v>2.8500000000000001E-2</v>
      </c>
    </row>
    <row r="464" spans="1:3" x14ac:dyDescent="0.2">
      <c r="A464" s="2">
        <v>43140</v>
      </c>
      <c r="B464">
        <v>2.83</v>
      </c>
      <c r="C464" s="11">
        <f t="shared" si="7"/>
        <v>2.8300000000000002E-2</v>
      </c>
    </row>
    <row r="465" spans="1:3" x14ac:dyDescent="0.2">
      <c r="A465" s="2">
        <v>43143</v>
      </c>
      <c r="B465">
        <v>2.86</v>
      </c>
      <c r="C465" s="11">
        <f t="shared" si="7"/>
        <v>2.86E-2</v>
      </c>
    </row>
    <row r="466" spans="1:3" x14ac:dyDescent="0.2">
      <c r="A466" s="2">
        <v>43144</v>
      </c>
      <c r="B466">
        <v>2.83</v>
      </c>
      <c r="C466" s="11">
        <f t="shared" si="7"/>
        <v>2.8300000000000002E-2</v>
      </c>
    </row>
    <row r="467" spans="1:3" x14ac:dyDescent="0.2">
      <c r="A467" s="2">
        <v>43145</v>
      </c>
      <c r="B467">
        <v>2.91</v>
      </c>
      <c r="C467" s="11">
        <f t="shared" si="7"/>
        <v>2.9100000000000001E-2</v>
      </c>
    </row>
    <row r="468" spans="1:3" x14ac:dyDescent="0.2">
      <c r="A468" s="2">
        <v>43146</v>
      </c>
      <c r="B468">
        <v>2.9</v>
      </c>
      <c r="C468" s="11">
        <f t="shared" si="7"/>
        <v>2.8999999999999998E-2</v>
      </c>
    </row>
    <row r="469" spans="1:3" x14ac:dyDescent="0.2">
      <c r="A469" s="2">
        <v>43147</v>
      </c>
      <c r="B469">
        <v>2.87</v>
      </c>
      <c r="C469" s="11">
        <f t="shared" si="7"/>
        <v>2.87E-2</v>
      </c>
    </row>
    <row r="470" spans="1:3" x14ac:dyDescent="0.2">
      <c r="A470" s="2">
        <v>43151</v>
      </c>
      <c r="B470">
        <v>2.88</v>
      </c>
      <c r="C470" s="11">
        <f t="shared" si="7"/>
        <v>2.8799999999999999E-2</v>
      </c>
    </row>
    <row r="471" spans="1:3" x14ac:dyDescent="0.2">
      <c r="A471" s="2">
        <v>43152</v>
      </c>
      <c r="B471">
        <v>2.94</v>
      </c>
      <c r="C471" s="11">
        <f t="shared" si="7"/>
        <v>2.9399999999999999E-2</v>
      </c>
    </row>
    <row r="472" spans="1:3" x14ac:dyDescent="0.2">
      <c r="A472" s="2">
        <v>43153</v>
      </c>
      <c r="B472">
        <v>2.92</v>
      </c>
      <c r="C472" s="11">
        <f t="shared" si="7"/>
        <v>2.92E-2</v>
      </c>
    </row>
    <row r="473" spans="1:3" x14ac:dyDescent="0.2">
      <c r="A473" s="2">
        <v>43154</v>
      </c>
      <c r="B473">
        <v>2.88</v>
      </c>
      <c r="C473" s="11">
        <f t="shared" si="7"/>
        <v>2.8799999999999999E-2</v>
      </c>
    </row>
    <row r="474" spans="1:3" x14ac:dyDescent="0.2">
      <c r="A474" s="2">
        <v>43157</v>
      </c>
      <c r="B474">
        <v>2.86</v>
      </c>
      <c r="C474" s="11">
        <f t="shared" si="7"/>
        <v>2.86E-2</v>
      </c>
    </row>
    <row r="475" spans="1:3" x14ac:dyDescent="0.2">
      <c r="A475" s="2">
        <v>43158</v>
      </c>
      <c r="B475">
        <v>2.9</v>
      </c>
      <c r="C475" s="11">
        <f t="shared" si="7"/>
        <v>2.8999999999999998E-2</v>
      </c>
    </row>
    <row r="476" spans="1:3" x14ac:dyDescent="0.2">
      <c r="A476" s="2">
        <v>43159</v>
      </c>
      <c r="B476">
        <v>2.87</v>
      </c>
      <c r="C476" s="11">
        <f t="shared" si="7"/>
        <v>2.87E-2</v>
      </c>
    </row>
    <row r="477" spans="1:3" x14ac:dyDescent="0.2">
      <c r="A477" s="2">
        <v>43160</v>
      </c>
      <c r="B477">
        <v>2.81</v>
      </c>
      <c r="C477" s="11">
        <f t="shared" si="7"/>
        <v>2.81E-2</v>
      </c>
    </row>
    <row r="478" spans="1:3" x14ac:dyDescent="0.2">
      <c r="A478" s="2">
        <v>43161</v>
      </c>
      <c r="B478">
        <v>2.86</v>
      </c>
      <c r="C478" s="11">
        <f t="shared" si="7"/>
        <v>2.86E-2</v>
      </c>
    </row>
    <row r="479" spans="1:3" x14ac:dyDescent="0.2">
      <c r="A479" s="2">
        <v>43164</v>
      </c>
      <c r="B479">
        <v>2.88</v>
      </c>
      <c r="C479" s="11">
        <f t="shared" si="7"/>
        <v>2.8799999999999999E-2</v>
      </c>
    </row>
    <row r="480" spans="1:3" x14ac:dyDescent="0.2">
      <c r="A480" s="2">
        <v>43165</v>
      </c>
      <c r="B480">
        <v>2.88</v>
      </c>
      <c r="C480" s="11">
        <f t="shared" si="7"/>
        <v>2.8799999999999999E-2</v>
      </c>
    </row>
    <row r="481" spans="1:3" x14ac:dyDescent="0.2">
      <c r="A481" s="2">
        <v>43166</v>
      </c>
      <c r="B481">
        <v>2.89</v>
      </c>
      <c r="C481" s="11">
        <f t="shared" si="7"/>
        <v>2.8900000000000002E-2</v>
      </c>
    </row>
    <row r="482" spans="1:3" x14ac:dyDescent="0.2">
      <c r="A482" s="2">
        <v>43167</v>
      </c>
      <c r="B482">
        <v>2.86</v>
      </c>
      <c r="C482" s="11">
        <f t="shared" si="7"/>
        <v>2.86E-2</v>
      </c>
    </row>
    <row r="483" spans="1:3" x14ac:dyDescent="0.2">
      <c r="A483" s="2">
        <v>43168</v>
      </c>
      <c r="B483">
        <v>2.9</v>
      </c>
      <c r="C483" s="11">
        <f t="shared" si="7"/>
        <v>2.8999999999999998E-2</v>
      </c>
    </row>
    <row r="484" spans="1:3" x14ac:dyDescent="0.2">
      <c r="A484" s="2">
        <v>43171</v>
      </c>
      <c r="B484">
        <v>2.87</v>
      </c>
      <c r="C484" s="11">
        <f t="shared" si="7"/>
        <v>2.87E-2</v>
      </c>
    </row>
    <row r="485" spans="1:3" x14ac:dyDescent="0.2">
      <c r="A485" s="2">
        <v>43172</v>
      </c>
      <c r="B485">
        <v>2.84</v>
      </c>
      <c r="C485" s="11">
        <f t="shared" si="7"/>
        <v>2.8399999999999998E-2</v>
      </c>
    </row>
    <row r="486" spans="1:3" x14ac:dyDescent="0.2">
      <c r="A486" s="2">
        <v>43173</v>
      </c>
      <c r="B486">
        <v>2.81</v>
      </c>
      <c r="C486" s="11">
        <f t="shared" si="7"/>
        <v>2.81E-2</v>
      </c>
    </row>
    <row r="487" spans="1:3" x14ac:dyDescent="0.2">
      <c r="A487" s="2">
        <v>43174</v>
      </c>
      <c r="B487">
        <v>2.82</v>
      </c>
      <c r="C487" s="11">
        <f t="shared" si="7"/>
        <v>2.8199999999999999E-2</v>
      </c>
    </row>
    <row r="488" spans="1:3" x14ac:dyDescent="0.2">
      <c r="A488" s="2">
        <v>43175</v>
      </c>
      <c r="B488">
        <v>2.85</v>
      </c>
      <c r="C488" s="11">
        <f t="shared" si="7"/>
        <v>2.8500000000000001E-2</v>
      </c>
    </row>
    <row r="489" spans="1:3" x14ac:dyDescent="0.2">
      <c r="A489" s="2">
        <v>43178</v>
      </c>
      <c r="B489">
        <v>2.85</v>
      </c>
      <c r="C489" s="11">
        <f t="shared" si="7"/>
        <v>2.8500000000000001E-2</v>
      </c>
    </row>
    <row r="490" spans="1:3" x14ac:dyDescent="0.2">
      <c r="A490" s="2">
        <v>43179</v>
      </c>
      <c r="B490">
        <v>2.89</v>
      </c>
      <c r="C490" s="11">
        <f t="shared" si="7"/>
        <v>2.8900000000000002E-2</v>
      </c>
    </row>
    <row r="491" spans="1:3" x14ac:dyDescent="0.2">
      <c r="A491" s="2">
        <v>43180</v>
      </c>
      <c r="B491">
        <v>2.89</v>
      </c>
      <c r="C491" s="11">
        <f t="shared" si="7"/>
        <v>2.8900000000000002E-2</v>
      </c>
    </row>
    <row r="492" spans="1:3" x14ac:dyDescent="0.2">
      <c r="A492" s="2">
        <v>43181</v>
      </c>
      <c r="B492">
        <v>2.83</v>
      </c>
      <c r="C492" s="11">
        <f t="shared" si="7"/>
        <v>2.8300000000000002E-2</v>
      </c>
    </row>
    <row r="493" spans="1:3" x14ac:dyDescent="0.2">
      <c r="A493" s="2">
        <v>43182</v>
      </c>
      <c r="B493">
        <v>2.82</v>
      </c>
      <c r="C493" s="11">
        <f t="shared" si="7"/>
        <v>2.8199999999999999E-2</v>
      </c>
    </row>
    <row r="494" spans="1:3" x14ac:dyDescent="0.2">
      <c r="A494" s="2">
        <v>43185</v>
      </c>
      <c r="B494">
        <v>2.85</v>
      </c>
      <c r="C494" s="11">
        <f t="shared" si="7"/>
        <v>2.8500000000000001E-2</v>
      </c>
    </row>
    <row r="495" spans="1:3" x14ac:dyDescent="0.2">
      <c r="A495" s="2">
        <v>43186</v>
      </c>
      <c r="B495">
        <v>2.78</v>
      </c>
      <c r="C495" s="11">
        <f t="shared" si="7"/>
        <v>2.7799999999999998E-2</v>
      </c>
    </row>
    <row r="496" spans="1:3" x14ac:dyDescent="0.2">
      <c r="A496" s="2">
        <v>43187</v>
      </c>
      <c r="B496">
        <v>2.77</v>
      </c>
      <c r="C496" s="11">
        <f t="shared" si="7"/>
        <v>2.7699999999999999E-2</v>
      </c>
    </row>
    <row r="497" spans="1:3" x14ac:dyDescent="0.2">
      <c r="A497" s="2">
        <v>43188</v>
      </c>
      <c r="B497">
        <v>2.74</v>
      </c>
      <c r="C497" s="11">
        <f t="shared" si="7"/>
        <v>2.7400000000000001E-2</v>
      </c>
    </row>
    <row r="498" spans="1:3" x14ac:dyDescent="0.2">
      <c r="A498" s="2">
        <v>43192</v>
      </c>
      <c r="B498">
        <v>2.73</v>
      </c>
      <c r="C498" s="11">
        <f t="shared" si="7"/>
        <v>2.7300000000000001E-2</v>
      </c>
    </row>
    <row r="499" spans="1:3" x14ac:dyDescent="0.2">
      <c r="A499" s="2">
        <v>43193</v>
      </c>
      <c r="B499">
        <v>2.79</v>
      </c>
      <c r="C499" s="11">
        <f t="shared" si="7"/>
        <v>2.7900000000000001E-2</v>
      </c>
    </row>
    <row r="500" spans="1:3" x14ac:dyDescent="0.2">
      <c r="A500" s="2">
        <v>43194</v>
      </c>
      <c r="B500">
        <v>2.79</v>
      </c>
      <c r="C500" s="11">
        <f t="shared" si="7"/>
        <v>2.7900000000000001E-2</v>
      </c>
    </row>
    <row r="501" spans="1:3" x14ac:dyDescent="0.2">
      <c r="A501" s="2">
        <v>43195</v>
      </c>
      <c r="B501">
        <v>2.83</v>
      </c>
      <c r="C501" s="11">
        <f t="shared" si="7"/>
        <v>2.8300000000000002E-2</v>
      </c>
    </row>
    <row r="502" spans="1:3" x14ac:dyDescent="0.2">
      <c r="A502" s="2">
        <v>43196</v>
      </c>
      <c r="B502">
        <v>2.77</v>
      </c>
      <c r="C502" s="11">
        <f t="shared" si="7"/>
        <v>2.7699999999999999E-2</v>
      </c>
    </row>
    <row r="503" spans="1:3" x14ac:dyDescent="0.2">
      <c r="A503" s="2">
        <v>43199</v>
      </c>
      <c r="B503">
        <v>2.78</v>
      </c>
      <c r="C503" s="11">
        <f t="shared" si="7"/>
        <v>2.7799999999999998E-2</v>
      </c>
    </row>
    <row r="504" spans="1:3" x14ac:dyDescent="0.2">
      <c r="A504" s="2">
        <v>43200</v>
      </c>
      <c r="B504">
        <v>2.8</v>
      </c>
      <c r="C504" s="11">
        <f t="shared" si="7"/>
        <v>2.7999999999999997E-2</v>
      </c>
    </row>
    <row r="505" spans="1:3" x14ac:dyDescent="0.2">
      <c r="A505" s="2">
        <v>43201</v>
      </c>
      <c r="B505">
        <v>2.79</v>
      </c>
      <c r="C505" s="11">
        <f t="shared" si="7"/>
        <v>2.7900000000000001E-2</v>
      </c>
    </row>
    <row r="506" spans="1:3" x14ac:dyDescent="0.2">
      <c r="A506" s="2">
        <v>43202</v>
      </c>
      <c r="B506">
        <v>2.83</v>
      </c>
      <c r="C506" s="11">
        <f t="shared" si="7"/>
        <v>2.8300000000000002E-2</v>
      </c>
    </row>
    <row r="507" spans="1:3" x14ac:dyDescent="0.2">
      <c r="A507" s="2">
        <v>43203</v>
      </c>
      <c r="B507">
        <v>2.82</v>
      </c>
      <c r="C507" s="11">
        <f t="shared" si="7"/>
        <v>2.8199999999999999E-2</v>
      </c>
    </row>
    <row r="508" spans="1:3" x14ac:dyDescent="0.2">
      <c r="A508" s="2">
        <v>43206</v>
      </c>
      <c r="B508">
        <v>2.83</v>
      </c>
      <c r="C508" s="11">
        <f t="shared" si="7"/>
        <v>2.8300000000000002E-2</v>
      </c>
    </row>
    <row r="509" spans="1:3" x14ac:dyDescent="0.2">
      <c r="A509" s="2">
        <v>43207</v>
      </c>
      <c r="B509">
        <v>2.82</v>
      </c>
      <c r="C509" s="11">
        <f t="shared" si="7"/>
        <v>2.8199999999999999E-2</v>
      </c>
    </row>
    <row r="510" spans="1:3" x14ac:dyDescent="0.2">
      <c r="A510" s="2">
        <v>43208</v>
      </c>
      <c r="B510">
        <v>2.87</v>
      </c>
      <c r="C510" s="11">
        <f t="shared" si="7"/>
        <v>2.87E-2</v>
      </c>
    </row>
    <row r="511" spans="1:3" x14ac:dyDescent="0.2">
      <c r="A511" s="2">
        <v>43209</v>
      </c>
      <c r="B511">
        <v>2.92</v>
      </c>
      <c r="C511" s="11">
        <f t="shared" si="7"/>
        <v>2.92E-2</v>
      </c>
    </row>
    <row r="512" spans="1:3" x14ac:dyDescent="0.2">
      <c r="A512" s="2">
        <v>43210</v>
      </c>
      <c r="B512">
        <v>2.96</v>
      </c>
      <c r="C512" s="11">
        <f t="shared" si="7"/>
        <v>2.9600000000000001E-2</v>
      </c>
    </row>
    <row r="513" spans="1:3" x14ac:dyDescent="0.2">
      <c r="A513" s="2">
        <v>43213</v>
      </c>
      <c r="B513">
        <v>2.98</v>
      </c>
      <c r="C513" s="11">
        <f t="shared" si="7"/>
        <v>2.98E-2</v>
      </c>
    </row>
    <row r="514" spans="1:3" x14ac:dyDescent="0.2">
      <c r="A514" s="2">
        <v>43214</v>
      </c>
      <c r="B514">
        <v>3</v>
      </c>
      <c r="C514" s="11">
        <f t="shared" si="7"/>
        <v>0.03</v>
      </c>
    </row>
    <row r="515" spans="1:3" x14ac:dyDescent="0.2">
      <c r="A515" s="2">
        <v>43215</v>
      </c>
      <c r="B515">
        <v>3.03</v>
      </c>
      <c r="C515" s="11">
        <f t="shared" ref="C515:C578" si="8">B515/100</f>
        <v>3.0299999999999997E-2</v>
      </c>
    </row>
    <row r="516" spans="1:3" x14ac:dyDescent="0.2">
      <c r="A516" s="2">
        <v>43216</v>
      </c>
      <c r="B516">
        <v>3</v>
      </c>
      <c r="C516" s="11">
        <f t="shared" si="8"/>
        <v>0.03</v>
      </c>
    </row>
    <row r="517" spans="1:3" x14ac:dyDescent="0.2">
      <c r="A517" s="2">
        <v>43217</v>
      </c>
      <c r="B517">
        <v>2.96</v>
      </c>
      <c r="C517" s="11">
        <f t="shared" si="8"/>
        <v>2.9600000000000001E-2</v>
      </c>
    </row>
    <row r="518" spans="1:3" x14ac:dyDescent="0.2">
      <c r="A518" s="2">
        <v>43220</v>
      </c>
      <c r="B518">
        <v>2.95</v>
      </c>
      <c r="C518" s="11">
        <f t="shared" si="8"/>
        <v>2.9500000000000002E-2</v>
      </c>
    </row>
    <row r="519" spans="1:3" x14ac:dyDescent="0.2">
      <c r="A519" s="2">
        <v>43221</v>
      </c>
      <c r="B519">
        <v>2.97</v>
      </c>
      <c r="C519" s="11">
        <f t="shared" si="8"/>
        <v>2.9700000000000001E-2</v>
      </c>
    </row>
    <row r="520" spans="1:3" x14ac:dyDescent="0.2">
      <c r="A520" s="2">
        <v>43222</v>
      </c>
      <c r="B520">
        <v>2.97</v>
      </c>
      <c r="C520" s="11">
        <f t="shared" si="8"/>
        <v>2.9700000000000001E-2</v>
      </c>
    </row>
    <row r="521" spans="1:3" x14ac:dyDescent="0.2">
      <c r="A521" s="2">
        <v>43223</v>
      </c>
      <c r="B521">
        <v>2.94</v>
      </c>
      <c r="C521" s="11">
        <f t="shared" si="8"/>
        <v>2.9399999999999999E-2</v>
      </c>
    </row>
    <row r="522" spans="1:3" x14ac:dyDescent="0.2">
      <c r="A522" s="2">
        <v>43224</v>
      </c>
      <c r="B522">
        <v>2.95</v>
      </c>
      <c r="C522" s="11">
        <f t="shared" si="8"/>
        <v>2.9500000000000002E-2</v>
      </c>
    </row>
    <row r="523" spans="1:3" x14ac:dyDescent="0.2">
      <c r="A523" s="2">
        <v>43227</v>
      </c>
      <c r="B523">
        <v>2.95</v>
      </c>
      <c r="C523" s="11">
        <f t="shared" si="8"/>
        <v>2.9500000000000002E-2</v>
      </c>
    </row>
    <row r="524" spans="1:3" x14ac:dyDescent="0.2">
      <c r="A524" s="2">
        <v>43228</v>
      </c>
      <c r="B524">
        <v>2.97</v>
      </c>
      <c r="C524" s="11">
        <f t="shared" si="8"/>
        <v>2.9700000000000001E-2</v>
      </c>
    </row>
    <row r="525" spans="1:3" x14ac:dyDescent="0.2">
      <c r="A525" s="2">
        <v>43229</v>
      </c>
      <c r="B525">
        <v>3</v>
      </c>
      <c r="C525" s="11">
        <f t="shared" si="8"/>
        <v>0.03</v>
      </c>
    </row>
    <row r="526" spans="1:3" x14ac:dyDescent="0.2">
      <c r="A526" s="2">
        <v>43230</v>
      </c>
      <c r="B526">
        <v>2.97</v>
      </c>
      <c r="C526" s="11">
        <f t="shared" si="8"/>
        <v>2.9700000000000001E-2</v>
      </c>
    </row>
    <row r="527" spans="1:3" x14ac:dyDescent="0.2">
      <c r="A527" s="2">
        <v>43231</v>
      </c>
      <c r="B527">
        <v>2.97</v>
      </c>
      <c r="C527" s="11">
        <f t="shared" si="8"/>
        <v>2.9700000000000001E-2</v>
      </c>
    </row>
    <row r="528" spans="1:3" x14ac:dyDescent="0.2">
      <c r="A528" s="2">
        <v>43234</v>
      </c>
      <c r="B528">
        <v>3</v>
      </c>
      <c r="C528" s="11">
        <f t="shared" si="8"/>
        <v>0.03</v>
      </c>
    </row>
    <row r="529" spans="1:3" x14ac:dyDescent="0.2">
      <c r="A529" s="2">
        <v>43235</v>
      </c>
      <c r="B529">
        <v>3.08</v>
      </c>
      <c r="C529" s="11">
        <f t="shared" si="8"/>
        <v>3.0800000000000001E-2</v>
      </c>
    </row>
    <row r="530" spans="1:3" x14ac:dyDescent="0.2">
      <c r="A530" s="2">
        <v>43236</v>
      </c>
      <c r="B530">
        <v>3.09</v>
      </c>
      <c r="C530" s="11">
        <f t="shared" si="8"/>
        <v>3.0899999999999997E-2</v>
      </c>
    </row>
    <row r="531" spans="1:3" x14ac:dyDescent="0.2">
      <c r="A531" s="2">
        <v>43237</v>
      </c>
      <c r="B531">
        <v>3.11</v>
      </c>
      <c r="C531" s="11">
        <f t="shared" si="8"/>
        <v>3.1099999999999999E-2</v>
      </c>
    </row>
    <row r="532" spans="1:3" x14ac:dyDescent="0.2">
      <c r="A532" s="2">
        <v>43238</v>
      </c>
      <c r="B532">
        <v>3.06</v>
      </c>
      <c r="C532" s="11">
        <f t="shared" si="8"/>
        <v>3.0600000000000002E-2</v>
      </c>
    </row>
    <row r="533" spans="1:3" x14ac:dyDescent="0.2">
      <c r="A533" s="2">
        <v>43241</v>
      </c>
      <c r="B533">
        <v>3.06</v>
      </c>
      <c r="C533" s="11">
        <f t="shared" si="8"/>
        <v>3.0600000000000002E-2</v>
      </c>
    </row>
    <row r="534" spans="1:3" x14ac:dyDescent="0.2">
      <c r="A534" s="2">
        <v>43242</v>
      </c>
      <c r="B534">
        <v>3.06</v>
      </c>
      <c r="C534" s="11">
        <f t="shared" si="8"/>
        <v>3.0600000000000002E-2</v>
      </c>
    </row>
    <row r="535" spans="1:3" x14ac:dyDescent="0.2">
      <c r="A535" s="2">
        <v>43243</v>
      </c>
      <c r="B535">
        <v>3.01</v>
      </c>
      <c r="C535" s="11">
        <f t="shared" si="8"/>
        <v>3.0099999999999998E-2</v>
      </c>
    </row>
    <row r="536" spans="1:3" x14ac:dyDescent="0.2">
      <c r="A536" s="2">
        <v>43244</v>
      </c>
      <c r="B536">
        <v>2.98</v>
      </c>
      <c r="C536" s="11">
        <f t="shared" si="8"/>
        <v>2.98E-2</v>
      </c>
    </row>
    <row r="537" spans="1:3" x14ac:dyDescent="0.2">
      <c r="A537" s="2">
        <v>43245</v>
      </c>
      <c r="B537">
        <v>2.93</v>
      </c>
      <c r="C537" s="11">
        <f t="shared" si="8"/>
        <v>2.9300000000000003E-2</v>
      </c>
    </row>
    <row r="538" spans="1:3" x14ac:dyDescent="0.2">
      <c r="A538" s="2">
        <v>43249</v>
      </c>
      <c r="B538">
        <v>2.77</v>
      </c>
      <c r="C538" s="11">
        <f t="shared" si="8"/>
        <v>2.7699999999999999E-2</v>
      </c>
    </row>
    <row r="539" spans="1:3" x14ac:dyDescent="0.2">
      <c r="A539" s="2">
        <v>43250</v>
      </c>
      <c r="B539">
        <v>2.84</v>
      </c>
      <c r="C539" s="11">
        <f t="shared" si="8"/>
        <v>2.8399999999999998E-2</v>
      </c>
    </row>
    <row r="540" spans="1:3" x14ac:dyDescent="0.2">
      <c r="A540" s="2">
        <v>43251</v>
      </c>
      <c r="B540">
        <v>2.83</v>
      </c>
      <c r="C540" s="11">
        <f t="shared" si="8"/>
        <v>2.8300000000000002E-2</v>
      </c>
    </row>
    <row r="541" spans="1:3" x14ac:dyDescent="0.2">
      <c r="A541" s="2">
        <v>43252</v>
      </c>
      <c r="B541">
        <v>2.89</v>
      </c>
      <c r="C541" s="11">
        <f t="shared" si="8"/>
        <v>2.8900000000000002E-2</v>
      </c>
    </row>
    <row r="542" spans="1:3" x14ac:dyDescent="0.2">
      <c r="A542" s="2">
        <v>43255</v>
      </c>
      <c r="B542">
        <v>2.94</v>
      </c>
      <c r="C542" s="11">
        <f t="shared" si="8"/>
        <v>2.9399999999999999E-2</v>
      </c>
    </row>
    <row r="543" spans="1:3" x14ac:dyDescent="0.2">
      <c r="A543" s="2">
        <v>43256</v>
      </c>
      <c r="B543">
        <v>2.92</v>
      </c>
      <c r="C543" s="11">
        <f t="shared" si="8"/>
        <v>2.92E-2</v>
      </c>
    </row>
    <row r="544" spans="1:3" x14ac:dyDescent="0.2">
      <c r="A544" s="2">
        <v>43257</v>
      </c>
      <c r="B544">
        <v>2.97</v>
      </c>
      <c r="C544" s="11">
        <f t="shared" si="8"/>
        <v>2.9700000000000001E-2</v>
      </c>
    </row>
    <row r="545" spans="1:3" x14ac:dyDescent="0.2">
      <c r="A545" s="2">
        <v>43258</v>
      </c>
      <c r="B545">
        <v>2.93</v>
      </c>
      <c r="C545" s="11">
        <f t="shared" si="8"/>
        <v>2.9300000000000003E-2</v>
      </c>
    </row>
    <row r="546" spans="1:3" x14ac:dyDescent="0.2">
      <c r="A546" s="2">
        <v>43259</v>
      </c>
      <c r="B546">
        <v>2.93</v>
      </c>
      <c r="C546" s="11">
        <f t="shared" si="8"/>
        <v>2.9300000000000003E-2</v>
      </c>
    </row>
    <row r="547" spans="1:3" x14ac:dyDescent="0.2">
      <c r="A547" s="2">
        <v>43262</v>
      </c>
      <c r="B547">
        <v>2.96</v>
      </c>
      <c r="C547" s="11">
        <f t="shared" si="8"/>
        <v>2.9600000000000001E-2</v>
      </c>
    </row>
    <row r="548" spans="1:3" x14ac:dyDescent="0.2">
      <c r="A548" s="2">
        <v>43263</v>
      </c>
      <c r="B548">
        <v>2.96</v>
      </c>
      <c r="C548" s="11">
        <f t="shared" si="8"/>
        <v>2.9600000000000001E-2</v>
      </c>
    </row>
    <row r="549" spans="1:3" x14ac:dyDescent="0.2">
      <c r="A549" s="2">
        <v>43264</v>
      </c>
      <c r="B549">
        <v>2.98</v>
      </c>
      <c r="C549" s="11">
        <f t="shared" si="8"/>
        <v>2.98E-2</v>
      </c>
    </row>
    <row r="550" spans="1:3" x14ac:dyDescent="0.2">
      <c r="A550" s="2">
        <v>43265</v>
      </c>
      <c r="B550">
        <v>2.94</v>
      </c>
      <c r="C550" s="11">
        <f t="shared" si="8"/>
        <v>2.9399999999999999E-2</v>
      </c>
    </row>
    <row r="551" spans="1:3" x14ac:dyDescent="0.2">
      <c r="A551" s="2">
        <v>43266</v>
      </c>
      <c r="B551">
        <v>2.93</v>
      </c>
      <c r="C551" s="11">
        <f t="shared" si="8"/>
        <v>2.9300000000000003E-2</v>
      </c>
    </row>
    <row r="552" spans="1:3" x14ac:dyDescent="0.2">
      <c r="A552" s="2">
        <v>43269</v>
      </c>
      <c r="B552">
        <v>2.92</v>
      </c>
      <c r="C552" s="11">
        <f t="shared" si="8"/>
        <v>2.92E-2</v>
      </c>
    </row>
    <row r="553" spans="1:3" x14ac:dyDescent="0.2">
      <c r="A553" s="2">
        <v>43270</v>
      </c>
      <c r="B553">
        <v>2.89</v>
      </c>
      <c r="C553" s="11">
        <f t="shared" si="8"/>
        <v>2.8900000000000002E-2</v>
      </c>
    </row>
    <row r="554" spans="1:3" x14ac:dyDescent="0.2">
      <c r="A554" s="2">
        <v>43271</v>
      </c>
      <c r="B554">
        <v>2.93</v>
      </c>
      <c r="C554" s="11">
        <f t="shared" si="8"/>
        <v>2.9300000000000003E-2</v>
      </c>
    </row>
    <row r="555" spans="1:3" x14ac:dyDescent="0.2">
      <c r="A555" s="2">
        <v>43272</v>
      </c>
      <c r="B555">
        <v>2.9</v>
      </c>
      <c r="C555" s="11">
        <f t="shared" si="8"/>
        <v>2.8999999999999998E-2</v>
      </c>
    </row>
    <row r="556" spans="1:3" x14ac:dyDescent="0.2">
      <c r="A556" s="2">
        <v>43273</v>
      </c>
      <c r="B556">
        <v>2.9</v>
      </c>
      <c r="C556" s="11">
        <f t="shared" si="8"/>
        <v>2.8999999999999998E-2</v>
      </c>
    </row>
    <row r="557" spans="1:3" x14ac:dyDescent="0.2">
      <c r="A557" s="2">
        <v>43276</v>
      </c>
      <c r="B557">
        <v>2.87</v>
      </c>
      <c r="C557" s="11">
        <f t="shared" si="8"/>
        <v>2.87E-2</v>
      </c>
    </row>
    <row r="558" spans="1:3" x14ac:dyDescent="0.2">
      <c r="A558" s="2">
        <v>43277</v>
      </c>
      <c r="B558">
        <v>2.88</v>
      </c>
      <c r="C558" s="11">
        <f t="shared" si="8"/>
        <v>2.8799999999999999E-2</v>
      </c>
    </row>
    <row r="559" spans="1:3" x14ac:dyDescent="0.2">
      <c r="A559" s="2">
        <v>43278</v>
      </c>
      <c r="B559">
        <v>2.83</v>
      </c>
      <c r="C559" s="11">
        <f t="shared" si="8"/>
        <v>2.8300000000000002E-2</v>
      </c>
    </row>
    <row r="560" spans="1:3" x14ac:dyDescent="0.2">
      <c r="A560" s="2">
        <v>43279</v>
      </c>
      <c r="B560">
        <v>2.84</v>
      </c>
      <c r="C560" s="11">
        <f t="shared" si="8"/>
        <v>2.8399999999999998E-2</v>
      </c>
    </row>
    <row r="561" spans="1:3" x14ac:dyDescent="0.2">
      <c r="A561" s="2">
        <v>43280</v>
      </c>
      <c r="B561">
        <v>2.85</v>
      </c>
      <c r="C561" s="11">
        <f t="shared" si="8"/>
        <v>2.8500000000000001E-2</v>
      </c>
    </row>
    <row r="562" spans="1:3" x14ac:dyDescent="0.2">
      <c r="A562" s="2">
        <v>43283</v>
      </c>
      <c r="B562">
        <v>2.87</v>
      </c>
      <c r="C562" s="11">
        <f t="shared" si="8"/>
        <v>2.87E-2</v>
      </c>
    </row>
    <row r="563" spans="1:3" x14ac:dyDescent="0.2">
      <c r="A563" s="2">
        <v>43284</v>
      </c>
      <c r="B563">
        <v>2.83</v>
      </c>
      <c r="C563" s="11">
        <f t="shared" si="8"/>
        <v>2.8300000000000002E-2</v>
      </c>
    </row>
    <row r="564" spans="1:3" x14ac:dyDescent="0.2">
      <c r="A564" s="2">
        <v>43286</v>
      </c>
      <c r="B564">
        <v>2.84</v>
      </c>
      <c r="C564" s="11">
        <f t="shared" si="8"/>
        <v>2.8399999999999998E-2</v>
      </c>
    </row>
    <row r="565" spans="1:3" x14ac:dyDescent="0.2">
      <c r="A565" s="2">
        <v>43287</v>
      </c>
      <c r="B565">
        <v>2.82</v>
      </c>
      <c r="C565" s="11">
        <f t="shared" si="8"/>
        <v>2.8199999999999999E-2</v>
      </c>
    </row>
    <row r="566" spans="1:3" x14ac:dyDescent="0.2">
      <c r="A566" s="2">
        <v>43290</v>
      </c>
      <c r="B566">
        <v>2.86</v>
      </c>
      <c r="C566" s="11">
        <f t="shared" si="8"/>
        <v>2.86E-2</v>
      </c>
    </row>
    <row r="567" spans="1:3" x14ac:dyDescent="0.2">
      <c r="A567" s="2">
        <v>43291</v>
      </c>
      <c r="B567">
        <v>2.87</v>
      </c>
      <c r="C567" s="11">
        <f t="shared" si="8"/>
        <v>2.87E-2</v>
      </c>
    </row>
    <row r="568" spans="1:3" x14ac:dyDescent="0.2">
      <c r="A568" s="2">
        <v>43292</v>
      </c>
      <c r="B568">
        <v>2.85</v>
      </c>
      <c r="C568" s="11">
        <f t="shared" si="8"/>
        <v>2.8500000000000001E-2</v>
      </c>
    </row>
    <row r="569" spans="1:3" x14ac:dyDescent="0.2">
      <c r="A569" s="2">
        <v>43293</v>
      </c>
      <c r="B569">
        <v>2.85</v>
      </c>
      <c r="C569" s="11">
        <f t="shared" si="8"/>
        <v>2.8500000000000001E-2</v>
      </c>
    </row>
    <row r="570" spans="1:3" x14ac:dyDescent="0.2">
      <c r="A570" s="2">
        <v>43294</v>
      </c>
      <c r="B570">
        <v>2.83</v>
      </c>
      <c r="C570" s="11">
        <f t="shared" si="8"/>
        <v>2.8300000000000002E-2</v>
      </c>
    </row>
    <row r="571" spans="1:3" x14ac:dyDescent="0.2">
      <c r="A571" s="2">
        <v>43297</v>
      </c>
      <c r="B571">
        <v>2.85</v>
      </c>
      <c r="C571" s="11">
        <f t="shared" si="8"/>
        <v>2.8500000000000001E-2</v>
      </c>
    </row>
    <row r="572" spans="1:3" x14ac:dyDescent="0.2">
      <c r="A572" s="2">
        <v>43298</v>
      </c>
      <c r="B572">
        <v>2.86</v>
      </c>
      <c r="C572" s="11">
        <f t="shared" si="8"/>
        <v>2.86E-2</v>
      </c>
    </row>
    <row r="573" spans="1:3" x14ac:dyDescent="0.2">
      <c r="A573" s="2">
        <v>43299</v>
      </c>
      <c r="B573">
        <v>2.88</v>
      </c>
      <c r="C573" s="11">
        <f t="shared" si="8"/>
        <v>2.8799999999999999E-2</v>
      </c>
    </row>
    <row r="574" spans="1:3" x14ac:dyDescent="0.2">
      <c r="A574" s="2">
        <v>43300</v>
      </c>
      <c r="B574">
        <v>2.84</v>
      </c>
      <c r="C574" s="11">
        <f t="shared" si="8"/>
        <v>2.8399999999999998E-2</v>
      </c>
    </row>
    <row r="575" spans="1:3" x14ac:dyDescent="0.2">
      <c r="A575" s="2">
        <v>43301</v>
      </c>
      <c r="B575">
        <v>2.89</v>
      </c>
      <c r="C575" s="11">
        <f t="shared" si="8"/>
        <v>2.8900000000000002E-2</v>
      </c>
    </row>
    <row r="576" spans="1:3" x14ac:dyDescent="0.2">
      <c r="A576" s="2">
        <v>43304</v>
      </c>
      <c r="B576">
        <v>2.96</v>
      </c>
      <c r="C576" s="11">
        <f t="shared" si="8"/>
        <v>2.9600000000000001E-2</v>
      </c>
    </row>
    <row r="577" spans="1:3" x14ac:dyDescent="0.2">
      <c r="A577" s="2">
        <v>43305</v>
      </c>
      <c r="B577">
        <v>2.95</v>
      </c>
      <c r="C577" s="11">
        <f t="shared" si="8"/>
        <v>2.9500000000000002E-2</v>
      </c>
    </row>
    <row r="578" spans="1:3" x14ac:dyDescent="0.2">
      <c r="A578" s="2">
        <v>43306</v>
      </c>
      <c r="B578">
        <v>2.94</v>
      </c>
      <c r="C578" s="11">
        <f t="shared" si="8"/>
        <v>2.9399999999999999E-2</v>
      </c>
    </row>
    <row r="579" spans="1:3" x14ac:dyDescent="0.2">
      <c r="A579" s="2">
        <v>43307</v>
      </c>
      <c r="B579">
        <v>2.98</v>
      </c>
      <c r="C579" s="11">
        <f t="shared" ref="C579:C642" si="9">B579/100</f>
        <v>2.98E-2</v>
      </c>
    </row>
    <row r="580" spans="1:3" x14ac:dyDescent="0.2">
      <c r="A580" s="2">
        <v>43308</v>
      </c>
      <c r="B580">
        <v>2.96</v>
      </c>
      <c r="C580" s="11">
        <f t="shared" si="9"/>
        <v>2.9600000000000001E-2</v>
      </c>
    </row>
    <row r="581" spans="1:3" x14ac:dyDescent="0.2">
      <c r="A581" s="2">
        <v>43311</v>
      </c>
      <c r="B581">
        <v>2.98</v>
      </c>
      <c r="C581" s="11">
        <f t="shared" si="9"/>
        <v>2.98E-2</v>
      </c>
    </row>
    <row r="582" spans="1:3" x14ac:dyDescent="0.2">
      <c r="A582" s="2">
        <v>43312</v>
      </c>
      <c r="B582">
        <v>2.96</v>
      </c>
      <c r="C582" s="11">
        <f t="shared" si="9"/>
        <v>2.9600000000000001E-2</v>
      </c>
    </row>
    <row r="583" spans="1:3" x14ac:dyDescent="0.2">
      <c r="A583" s="2">
        <v>43313</v>
      </c>
      <c r="B583">
        <v>3</v>
      </c>
      <c r="C583" s="11">
        <f t="shared" si="9"/>
        <v>0.03</v>
      </c>
    </row>
    <row r="584" spans="1:3" x14ac:dyDescent="0.2">
      <c r="A584" s="2">
        <v>43314</v>
      </c>
      <c r="B584">
        <v>2.98</v>
      </c>
      <c r="C584" s="11">
        <f t="shared" si="9"/>
        <v>2.98E-2</v>
      </c>
    </row>
    <row r="585" spans="1:3" x14ac:dyDescent="0.2">
      <c r="A585" s="2">
        <v>43315</v>
      </c>
      <c r="B585">
        <v>2.95</v>
      </c>
      <c r="C585" s="11">
        <f t="shared" si="9"/>
        <v>2.9500000000000002E-2</v>
      </c>
    </row>
    <row r="586" spans="1:3" x14ac:dyDescent="0.2">
      <c r="A586" s="2">
        <v>43318</v>
      </c>
      <c r="B586">
        <v>2.94</v>
      </c>
      <c r="C586" s="11">
        <f t="shared" si="9"/>
        <v>2.9399999999999999E-2</v>
      </c>
    </row>
    <row r="587" spans="1:3" x14ac:dyDescent="0.2">
      <c r="A587" s="2">
        <v>43319</v>
      </c>
      <c r="B587">
        <v>2.98</v>
      </c>
      <c r="C587" s="11">
        <f t="shared" si="9"/>
        <v>2.98E-2</v>
      </c>
    </row>
    <row r="588" spans="1:3" x14ac:dyDescent="0.2">
      <c r="A588" s="2">
        <v>43320</v>
      </c>
      <c r="B588">
        <v>2.96</v>
      </c>
      <c r="C588" s="11">
        <f t="shared" si="9"/>
        <v>2.9600000000000001E-2</v>
      </c>
    </row>
    <row r="589" spans="1:3" x14ac:dyDescent="0.2">
      <c r="A589" s="2">
        <v>43321</v>
      </c>
      <c r="B589">
        <v>2.93</v>
      </c>
      <c r="C589" s="11">
        <f t="shared" si="9"/>
        <v>2.9300000000000003E-2</v>
      </c>
    </row>
    <row r="590" spans="1:3" x14ac:dyDescent="0.2">
      <c r="A590" s="2">
        <v>43322</v>
      </c>
      <c r="B590">
        <v>2.87</v>
      </c>
      <c r="C590" s="11">
        <f t="shared" si="9"/>
        <v>2.87E-2</v>
      </c>
    </row>
    <row r="591" spans="1:3" x14ac:dyDescent="0.2">
      <c r="A591" s="2">
        <v>43325</v>
      </c>
      <c r="B591">
        <v>2.88</v>
      </c>
      <c r="C591" s="11">
        <f t="shared" si="9"/>
        <v>2.8799999999999999E-2</v>
      </c>
    </row>
    <row r="592" spans="1:3" x14ac:dyDescent="0.2">
      <c r="A592" s="2">
        <v>43326</v>
      </c>
      <c r="B592">
        <v>2.89</v>
      </c>
      <c r="C592" s="11">
        <f t="shared" si="9"/>
        <v>2.8900000000000002E-2</v>
      </c>
    </row>
    <row r="593" spans="1:3" x14ac:dyDescent="0.2">
      <c r="A593" s="2">
        <v>43327</v>
      </c>
      <c r="B593">
        <v>2.86</v>
      </c>
      <c r="C593" s="11">
        <f t="shared" si="9"/>
        <v>2.86E-2</v>
      </c>
    </row>
    <row r="594" spans="1:3" x14ac:dyDescent="0.2">
      <c r="A594" s="2">
        <v>43328</v>
      </c>
      <c r="B594">
        <v>2.87</v>
      </c>
      <c r="C594" s="11">
        <f t="shared" si="9"/>
        <v>2.87E-2</v>
      </c>
    </row>
    <row r="595" spans="1:3" x14ac:dyDescent="0.2">
      <c r="A595" s="2">
        <v>43329</v>
      </c>
      <c r="B595">
        <v>2.87</v>
      </c>
      <c r="C595" s="11">
        <f t="shared" si="9"/>
        <v>2.87E-2</v>
      </c>
    </row>
    <row r="596" spans="1:3" x14ac:dyDescent="0.2">
      <c r="A596" s="2">
        <v>43332</v>
      </c>
      <c r="B596">
        <v>2.82</v>
      </c>
      <c r="C596" s="11">
        <f t="shared" si="9"/>
        <v>2.8199999999999999E-2</v>
      </c>
    </row>
    <row r="597" spans="1:3" x14ac:dyDescent="0.2">
      <c r="A597" s="2">
        <v>43333</v>
      </c>
      <c r="B597">
        <v>2.85</v>
      </c>
      <c r="C597" s="11">
        <f t="shared" si="9"/>
        <v>2.8500000000000001E-2</v>
      </c>
    </row>
    <row r="598" spans="1:3" x14ac:dyDescent="0.2">
      <c r="A598" s="2">
        <v>43334</v>
      </c>
      <c r="B598">
        <v>2.82</v>
      </c>
      <c r="C598" s="11">
        <f t="shared" si="9"/>
        <v>2.8199999999999999E-2</v>
      </c>
    </row>
    <row r="599" spans="1:3" x14ac:dyDescent="0.2">
      <c r="A599" s="2">
        <v>43335</v>
      </c>
      <c r="B599">
        <v>2.82</v>
      </c>
      <c r="C599" s="11">
        <f t="shared" si="9"/>
        <v>2.8199999999999999E-2</v>
      </c>
    </row>
    <row r="600" spans="1:3" x14ac:dyDescent="0.2">
      <c r="A600" s="2">
        <v>43336</v>
      </c>
      <c r="B600">
        <v>2.82</v>
      </c>
      <c r="C600" s="11">
        <f t="shared" si="9"/>
        <v>2.8199999999999999E-2</v>
      </c>
    </row>
    <row r="601" spans="1:3" x14ac:dyDescent="0.2">
      <c r="A601" s="2">
        <v>43339</v>
      </c>
      <c r="B601">
        <v>2.85</v>
      </c>
      <c r="C601" s="11">
        <f t="shared" si="9"/>
        <v>2.8500000000000001E-2</v>
      </c>
    </row>
    <row r="602" spans="1:3" x14ac:dyDescent="0.2">
      <c r="A602" s="2">
        <v>43340</v>
      </c>
      <c r="B602">
        <v>2.88</v>
      </c>
      <c r="C602" s="11">
        <f t="shared" si="9"/>
        <v>2.8799999999999999E-2</v>
      </c>
    </row>
    <row r="603" spans="1:3" x14ac:dyDescent="0.2">
      <c r="A603" s="2">
        <v>43341</v>
      </c>
      <c r="B603">
        <v>2.89</v>
      </c>
      <c r="C603" s="11">
        <f t="shared" si="9"/>
        <v>2.8900000000000002E-2</v>
      </c>
    </row>
    <row r="604" spans="1:3" x14ac:dyDescent="0.2">
      <c r="A604" s="2">
        <v>43342</v>
      </c>
      <c r="B604">
        <v>2.86</v>
      </c>
      <c r="C604" s="11">
        <f t="shared" si="9"/>
        <v>2.86E-2</v>
      </c>
    </row>
    <row r="605" spans="1:3" x14ac:dyDescent="0.2">
      <c r="A605" s="2">
        <v>43343</v>
      </c>
      <c r="B605">
        <v>2.86</v>
      </c>
      <c r="C605" s="11">
        <f t="shared" si="9"/>
        <v>2.86E-2</v>
      </c>
    </row>
    <row r="606" spans="1:3" x14ac:dyDescent="0.2">
      <c r="A606" s="2">
        <v>43347</v>
      </c>
      <c r="B606">
        <v>2.9</v>
      </c>
      <c r="C606" s="11">
        <f t="shared" si="9"/>
        <v>2.8999999999999998E-2</v>
      </c>
    </row>
    <row r="607" spans="1:3" x14ac:dyDescent="0.2">
      <c r="A607" s="2">
        <v>43348</v>
      </c>
      <c r="B607">
        <v>2.9</v>
      </c>
      <c r="C607" s="11">
        <f t="shared" si="9"/>
        <v>2.8999999999999998E-2</v>
      </c>
    </row>
    <row r="608" spans="1:3" x14ac:dyDescent="0.2">
      <c r="A608" s="2">
        <v>43349</v>
      </c>
      <c r="B608">
        <v>2.88</v>
      </c>
      <c r="C608" s="11">
        <f t="shared" si="9"/>
        <v>2.8799999999999999E-2</v>
      </c>
    </row>
    <row r="609" spans="1:3" x14ac:dyDescent="0.2">
      <c r="A609" s="2">
        <v>43350</v>
      </c>
      <c r="B609">
        <v>2.94</v>
      </c>
      <c r="C609" s="11">
        <f t="shared" si="9"/>
        <v>2.9399999999999999E-2</v>
      </c>
    </row>
    <row r="610" spans="1:3" x14ac:dyDescent="0.2">
      <c r="A610" s="2">
        <v>43353</v>
      </c>
      <c r="B610">
        <v>2.94</v>
      </c>
      <c r="C610" s="11">
        <f t="shared" si="9"/>
        <v>2.9399999999999999E-2</v>
      </c>
    </row>
    <row r="611" spans="1:3" x14ac:dyDescent="0.2">
      <c r="A611" s="2">
        <v>43354</v>
      </c>
      <c r="B611">
        <v>2.98</v>
      </c>
      <c r="C611" s="11">
        <f t="shared" si="9"/>
        <v>2.98E-2</v>
      </c>
    </row>
    <row r="612" spans="1:3" x14ac:dyDescent="0.2">
      <c r="A612" s="2">
        <v>43355</v>
      </c>
      <c r="B612">
        <v>2.97</v>
      </c>
      <c r="C612" s="11">
        <f t="shared" si="9"/>
        <v>2.9700000000000001E-2</v>
      </c>
    </row>
    <row r="613" spans="1:3" x14ac:dyDescent="0.2">
      <c r="A613" s="2">
        <v>43356</v>
      </c>
      <c r="B613">
        <v>2.97</v>
      </c>
      <c r="C613" s="11">
        <f t="shared" si="9"/>
        <v>2.9700000000000001E-2</v>
      </c>
    </row>
    <row r="614" spans="1:3" x14ac:dyDescent="0.2">
      <c r="A614" s="2">
        <v>43357</v>
      </c>
      <c r="B614">
        <v>2.99</v>
      </c>
      <c r="C614" s="11">
        <f t="shared" si="9"/>
        <v>2.9900000000000003E-2</v>
      </c>
    </row>
    <row r="615" spans="1:3" x14ac:dyDescent="0.2">
      <c r="A615" s="2">
        <v>43360</v>
      </c>
      <c r="B615">
        <v>2.99</v>
      </c>
      <c r="C615" s="11">
        <f t="shared" si="9"/>
        <v>2.9900000000000003E-2</v>
      </c>
    </row>
    <row r="616" spans="1:3" x14ac:dyDescent="0.2">
      <c r="A616" s="2">
        <v>43361</v>
      </c>
      <c r="B616">
        <v>3.05</v>
      </c>
      <c r="C616" s="11">
        <f t="shared" si="9"/>
        <v>3.0499999999999999E-2</v>
      </c>
    </row>
    <row r="617" spans="1:3" x14ac:dyDescent="0.2">
      <c r="A617" s="2">
        <v>43362</v>
      </c>
      <c r="B617">
        <v>3.08</v>
      </c>
      <c r="C617" s="11">
        <f t="shared" si="9"/>
        <v>3.0800000000000001E-2</v>
      </c>
    </row>
    <row r="618" spans="1:3" x14ac:dyDescent="0.2">
      <c r="A618" s="2">
        <v>43363</v>
      </c>
      <c r="B618">
        <v>3.07</v>
      </c>
      <c r="C618" s="11">
        <f t="shared" si="9"/>
        <v>3.0699999999999998E-2</v>
      </c>
    </row>
    <row r="619" spans="1:3" x14ac:dyDescent="0.2">
      <c r="A619" s="2">
        <v>43364</v>
      </c>
      <c r="B619">
        <v>3.07</v>
      </c>
      <c r="C619" s="11">
        <f t="shared" si="9"/>
        <v>3.0699999999999998E-2</v>
      </c>
    </row>
    <row r="620" spans="1:3" x14ac:dyDescent="0.2">
      <c r="A620" s="2">
        <v>43367</v>
      </c>
      <c r="B620">
        <v>3.08</v>
      </c>
      <c r="C620" s="11">
        <f t="shared" si="9"/>
        <v>3.0800000000000001E-2</v>
      </c>
    </row>
    <row r="621" spans="1:3" x14ac:dyDescent="0.2">
      <c r="A621" s="2">
        <v>43368</v>
      </c>
      <c r="B621">
        <v>3.1</v>
      </c>
      <c r="C621" s="11">
        <f t="shared" si="9"/>
        <v>3.1E-2</v>
      </c>
    </row>
    <row r="622" spans="1:3" x14ac:dyDescent="0.2">
      <c r="A622" s="2">
        <v>43369</v>
      </c>
      <c r="B622">
        <v>3.06</v>
      </c>
      <c r="C622" s="11">
        <f t="shared" si="9"/>
        <v>3.0600000000000002E-2</v>
      </c>
    </row>
    <row r="623" spans="1:3" x14ac:dyDescent="0.2">
      <c r="A623" s="2">
        <v>43370</v>
      </c>
      <c r="B623">
        <v>3.06</v>
      </c>
      <c r="C623" s="11">
        <f t="shared" si="9"/>
        <v>3.0600000000000002E-2</v>
      </c>
    </row>
    <row r="624" spans="1:3" x14ac:dyDescent="0.2">
      <c r="A624" s="2">
        <v>43371</v>
      </c>
      <c r="B624">
        <v>3.05</v>
      </c>
      <c r="C624" s="11">
        <f t="shared" si="9"/>
        <v>3.0499999999999999E-2</v>
      </c>
    </row>
    <row r="625" spans="1:3" x14ac:dyDescent="0.2">
      <c r="A625" s="2">
        <v>43374</v>
      </c>
      <c r="B625">
        <v>3.09</v>
      </c>
      <c r="C625" s="11">
        <f t="shared" si="9"/>
        <v>3.0899999999999997E-2</v>
      </c>
    </row>
    <row r="626" spans="1:3" x14ac:dyDescent="0.2">
      <c r="A626" s="2">
        <v>43375</v>
      </c>
      <c r="B626">
        <v>3.05</v>
      </c>
      <c r="C626" s="11">
        <f t="shared" si="9"/>
        <v>3.0499999999999999E-2</v>
      </c>
    </row>
    <row r="627" spans="1:3" x14ac:dyDescent="0.2">
      <c r="A627" s="2">
        <v>43376</v>
      </c>
      <c r="B627">
        <v>3.15</v>
      </c>
      <c r="C627" s="11">
        <f t="shared" si="9"/>
        <v>3.15E-2</v>
      </c>
    </row>
    <row r="628" spans="1:3" x14ac:dyDescent="0.2">
      <c r="A628" s="2">
        <v>43377</v>
      </c>
      <c r="B628">
        <v>3.19</v>
      </c>
      <c r="C628" s="11">
        <f t="shared" si="9"/>
        <v>3.1899999999999998E-2</v>
      </c>
    </row>
    <row r="629" spans="1:3" x14ac:dyDescent="0.2">
      <c r="A629" s="2">
        <v>43378</v>
      </c>
      <c r="B629">
        <v>3.23</v>
      </c>
      <c r="C629" s="11">
        <f t="shared" si="9"/>
        <v>3.2300000000000002E-2</v>
      </c>
    </row>
    <row r="630" spans="1:3" x14ac:dyDescent="0.2">
      <c r="A630" s="2">
        <v>43382</v>
      </c>
      <c r="B630">
        <v>3.21</v>
      </c>
      <c r="C630" s="11">
        <f t="shared" si="9"/>
        <v>3.2099999999999997E-2</v>
      </c>
    </row>
    <row r="631" spans="1:3" x14ac:dyDescent="0.2">
      <c r="A631" s="2">
        <v>43383</v>
      </c>
      <c r="B631">
        <v>3.22</v>
      </c>
      <c r="C631" s="11">
        <f t="shared" si="9"/>
        <v>3.2199999999999999E-2</v>
      </c>
    </row>
    <row r="632" spans="1:3" x14ac:dyDescent="0.2">
      <c r="A632" s="2">
        <v>43384</v>
      </c>
      <c r="B632">
        <v>3.14</v>
      </c>
      <c r="C632" s="11">
        <f t="shared" si="9"/>
        <v>3.1400000000000004E-2</v>
      </c>
    </row>
    <row r="633" spans="1:3" x14ac:dyDescent="0.2">
      <c r="A633" s="2">
        <v>43385</v>
      </c>
      <c r="B633">
        <v>3.15</v>
      </c>
      <c r="C633" s="11">
        <f t="shared" si="9"/>
        <v>3.15E-2</v>
      </c>
    </row>
    <row r="634" spans="1:3" x14ac:dyDescent="0.2">
      <c r="A634" s="2">
        <v>43388</v>
      </c>
      <c r="B634">
        <v>3.16</v>
      </c>
      <c r="C634" s="11">
        <f t="shared" si="9"/>
        <v>3.1600000000000003E-2</v>
      </c>
    </row>
    <row r="635" spans="1:3" x14ac:dyDescent="0.2">
      <c r="A635" s="2">
        <v>43389</v>
      </c>
      <c r="B635">
        <v>3.16</v>
      </c>
      <c r="C635" s="11">
        <f t="shared" si="9"/>
        <v>3.1600000000000003E-2</v>
      </c>
    </row>
    <row r="636" spans="1:3" x14ac:dyDescent="0.2">
      <c r="A636" s="2">
        <v>43390</v>
      </c>
      <c r="B636">
        <v>3.19</v>
      </c>
      <c r="C636" s="11">
        <f t="shared" si="9"/>
        <v>3.1899999999999998E-2</v>
      </c>
    </row>
    <row r="637" spans="1:3" x14ac:dyDescent="0.2">
      <c r="A637" s="2">
        <v>43391</v>
      </c>
      <c r="B637">
        <v>3.17</v>
      </c>
      <c r="C637" s="11">
        <f t="shared" si="9"/>
        <v>3.1699999999999999E-2</v>
      </c>
    </row>
    <row r="638" spans="1:3" x14ac:dyDescent="0.2">
      <c r="A638" s="2">
        <v>43392</v>
      </c>
      <c r="B638">
        <v>3.2</v>
      </c>
      <c r="C638" s="11">
        <f t="shared" si="9"/>
        <v>3.2000000000000001E-2</v>
      </c>
    </row>
    <row r="639" spans="1:3" x14ac:dyDescent="0.2">
      <c r="A639" s="2">
        <v>43395</v>
      </c>
      <c r="B639">
        <v>3.2</v>
      </c>
      <c r="C639" s="11">
        <f t="shared" si="9"/>
        <v>3.2000000000000001E-2</v>
      </c>
    </row>
    <row r="640" spans="1:3" x14ac:dyDescent="0.2">
      <c r="A640" s="2">
        <v>43396</v>
      </c>
      <c r="B640">
        <v>3.17</v>
      </c>
      <c r="C640" s="11">
        <f t="shared" si="9"/>
        <v>3.1699999999999999E-2</v>
      </c>
    </row>
    <row r="641" spans="1:3" x14ac:dyDescent="0.2">
      <c r="A641" s="2">
        <v>43397</v>
      </c>
      <c r="B641">
        <v>3.1</v>
      </c>
      <c r="C641" s="11">
        <f t="shared" si="9"/>
        <v>3.1E-2</v>
      </c>
    </row>
    <row r="642" spans="1:3" x14ac:dyDescent="0.2">
      <c r="A642" s="2">
        <v>43398</v>
      </c>
      <c r="B642">
        <v>3.14</v>
      </c>
      <c r="C642" s="11">
        <f t="shared" si="9"/>
        <v>3.1400000000000004E-2</v>
      </c>
    </row>
    <row r="643" spans="1:3" x14ac:dyDescent="0.2">
      <c r="A643" s="2">
        <v>43399</v>
      </c>
      <c r="B643">
        <v>3.08</v>
      </c>
      <c r="C643" s="11">
        <f t="shared" ref="C643:C706" si="10">B643/100</f>
        <v>3.0800000000000001E-2</v>
      </c>
    </row>
    <row r="644" spans="1:3" x14ac:dyDescent="0.2">
      <c r="A644" s="2">
        <v>43402</v>
      </c>
      <c r="B644">
        <v>3.08</v>
      </c>
      <c r="C644" s="11">
        <f t="shared" si="10"/>
        <v>3.0800000000000001E-2</v>
      </c>
    </row>
    <row r="645" spans="1:3" x14ac:dyDescent="0.2">
      <c r="A645" s="2">
        <v>43403</v>
      </c>
      <c r="B645">
        <v>3.12</v>
      </c>
      <c r="C645" s="11">
        <f t="shared" si="10"/>
        <v>3.1200000000000002E-2</v>
      </c>
    </row>
    <row r="646" spans="1:3" x14ac:dyDescent="0.2">
      <c r="A646" s="2">
        <v>43404</v>
      </c>
      <c r="B646">
        <v>3.15</v>
      </c>
      <c r="C646" s="11">
        <f t="shared" si="10"/>
        <v>3.15E-2</v>
      </c>
    </row>
    <row r="647" spans="1:3" x14ac:dyDescent="0.2">
      <c r="A647" s="2">
        <v>43405</v>
      </c>
      <c r="B647">
        <v>3.14</v>
      </c>
      <c r="C647" s="11">
        <f t="shared" si="10"/>
        <v>3.1400000000000004E-2</v>
      </c>
    </row>
    <row r="648" spans="1:3" x14ac:dyDescent="0.2">
      <c r="A648" s="2">
        <v>43406</v>
      </c>
      <c r="B648">
        <v>3.22</v>
      </c>
      <c r="C648" s="11">
        <f t="shared" si="10"/>
        <v>3.2199999999999999E-2</v>
      </c>
    </row>
    <row r="649" spans="1:3" x14ac:dyDescent="0.2">
      <c r="A649" s="2">
        <v>43409</v>
      </c>
      <c r="B649">
        <v>3.2</v>
      </c>
      <c r="C649" s="11">
        <f t="shared" si="10"/>
        <v>3.2000000000000001E-2</v>
      </c>
    </row>
    <row r="650" spans="1:3" x14ac:dyDescent="0.2">
      <c r="A650" s="2">
        <v>43410</v>
      </c>
      <c r="B650">
        <v>3.22</v>
      </c>
      <c r="C650" s="11">
        <f t="shared" si="10"/>
        <v>3.2199999999999999E-2</v>
      </c>
    </row>
    <row r="651" spans="1:3" x14ac:dyDescent="0.2">
      <c r="A651" s="2">
        <v>43411</v>
      </c>
      <c r="B651">
        <v>3.22</v>
      </c>
      <c r="C651" s="11">
        <f t="shared" si="10"/>
        <v>3.2199999999999999E-2</v>
      </c>
    </row>
    <row r="652" spans="1:3" x14ac:dyDescent="0.2">
      <c r="A652" s="2">
        <v>43412</v>
      </c>
      <c r="B652">
        <v>3.24</v>
      </c>
      <c r="C652" s="11">
        <f t="shared" si="10"/>
        <v>3.2400000000000005E-2</v>
      </c>
    </row>
    <row r="653" spans="1:3" x14ac:dyDescent="0.2">
      <c r="A653" s="2">
        <v>43413</v>
      </c>
      <c r="B653">
        <v>3.19</v>
      </c>
      <c r="C653" s="11">
        <f t="shared" si="10"/>
        <v>3.1899999999999998E-2</v>
      </c>
    </row>
    <row r="654" spans="1:3" x14ac:dyDescent="0.2">
      <c r="A654" s="2">
        <v>43417</v>
      </c>
      <c r="B654">
        <v>3.14</v>
      </c>
      <c r="C654" s="11">
        <f t="shared" si="10"/>
        <v>3.1400000000000004E-2</v>
      </c>
    </row>
    <row r="655" spans="1:3" x14ac:dyDescent="0.2">
      <c r="A655" s="2">
        <v>43418</v>
      </c>
      <c r="B655">
        <v>3.12</v>
      </c>
      <c r="C655" s="11">
        <f t="shared" si="10"/>
        <v>3.1200000000000002E-2</v>
      </c>
    </row>
    <row r="656" spans="1:3" x14ac:dyDescent="0.2">
      <c r="A656" s="2">
        <v>43419</v>
      </c>
      <c r="B656">
        <v>3.11</v>
      </c>
      <c r="C656" s="11">
        <f t="shared" si="10"/>
        <v>3.1099999999999999E-2</v>
      </c>
    </row>
    <row r="657" spans="1:3" x14ac:dyDescent="0.2">
      <c r="A657" s="2">
        <v>43420</v>
      </c>
      <c r="B657">
        <v>3.08</v>
      </c>
      <c r="C657" s="11">
        <f t="shared" si="10"/>
        <v>3.0800000000000001E-2</v>
      </c>
    </row>
    <row r="658" spans="1:3" x14ac:dyDescent="0.2">
      <c r="A658" s="2">
        <v>43423</v>
      </c>
      <c r="B658">
        <v>3.06</v>
      </c>
      <c r="C658" s="11">
        <f t="shared" si="10"/>
        <v>3.0600000000000002E-2</v>
      </c>
    </row>
    <row r="659" spans="1:3" x14ac:dyDescent="0.2">
      <c r="A659" s="2">
        <v>43424</v>
      </c>
      <c r="B659">
        <v>3.06</v>
      </c>
      <c r="C659" s="11">
        <f t="shared" si="10"/>
        <v>3.0600000000000002E-2</v>
      </c>
    </row>
    <row r="660" spans="1:3" x14ac:dyDescent="0.2">
      <c r="A660" s="2">
        <v>43425</v>
      </c>
      <c r="B660">
        <v>3.06</v>
      </c>
      <c r="C660" s="11">
        <f t="shared" si="10"/>
        <v>3.0600000000000002E-2</v>
      </c>
    </row>
    <row r="661" spans="1:3" x14ac:dyDescent="0.2">
      <c r="A661" s="2">
        <v>43427</v>
      </c>
      <c r="B661">
        <v>3.05</v>
      </c>
      <c r="C661" s="11">
        <f t="shared" si="10"/>
        <v>3.0499999999999999E-2</v>
      </c>
    </row>
    <row r="662" spans="1:3" x14ac:dyDescent="0.2">
      <c r="A662" s="2">
        <v>43430</v>
      </c>
      <c r="B662">
        <v>3.07</v>
      </c>
      <c r="C662" s="11">
        <f t="shared" si="10"/>
        <v>3.0699999999999998E-2</v>
      </c>
    </row>
    <row r="663" spans="1:3" x14ac:dyDescent="0.2">
      <c r="A663" s="2">
        <v>43431</v>
      </c>
      <c r="B663">
        <v>3.06</v>
      </c>
      <c r="C663" s="11">
        <f t="shared" si="10"/>
        <v>3.0600000000000002E-2</v>
      </c>
    </row>
    <row r="664" spans="1:3" x14ac:dyDescent="0.2">
      <c r="A664" s="2">
        <v>43432</v>
      </c>
      <c r="B664">
        <v>3.06</v>
      </c>
      <c r="C664" s="11">
        <f t="shared" si="10"/>
        <v>3.0600000000000002E-2</v>
      </c>
    </row>
    <row r="665" spans="1:3" x14ac:dyDescent="0.2">
      <c r="A665" s="2">
        <v>43433</v>
      </c>
      <c r="B665">
        <v>3.03</v>
      </c>
      <c r="C665" s="11">
        <f t="shared" si="10"/>
        <v>3.0299999999999997E-2</v>
      </c>
    </row>
    <row r="666" spans="1:3" x14ac:dyDescent="0.2">
      <c r="A666" s="2">
        <v>43434</v>
      </c>
      <c r="B666">
        <v>3.01</v>
      </c>
      <c r="C666" s="11">
        <f t="shared" si="10"/>
        <v>3.0099999999999998E-2</v>
      </c>
    </row>
    <row r="667" spans="1:3" x14ac:dyDescent="0.2">
      <c r="A667" s="2">
        <v>43437</v>
      </c>
      <c r="B667">
        <v>2.98</v>
      </c>
      <c r="C667" s="11">
        <f t="shared" si="10"/>
        <v>2.98E-2</v>
      </c>
    </row>
    <row r="668" spans="1:3" x14ac:dyDescent="0.2">
      <c r="A668" s="2">
        <v>43438</v>
      </c>
      <c r="B668">
        <v>2.91</v>
      </c>
      <c r="C668" s="11">
        <f t="shared" si="10"/>
        <v>2.9100000000000001E-2</v>
      </c>
    </row>
    <row r="669" spans="1:3" x14ac:dyDescent="0.2">
      <c r="A669" s="2">
        <v>43440</v>
      </c>
      <c r="B669">
        <v>2.87</v>
      </c>
      <c r="C669" s="11">
        <f t="shared" si="10"/>
        <v>2.87E-2</v>
      </c>
    </row>
    <row r="670" spans="1:3" x14ac:dyDescent="0.2">
      <c r="A670" s="2">
        <v>43441</v>
      </c>
      <c r="B670">
        <v>2.85</v>
      </c>
      <c r="C670" s="11">
        <f t="shared" si="10"/>
        <v>2.8500000000000001E-2</v>
      </c>
    </row>
    <row r="671" spans="1:3" x14ac:dyDescent="0.2">
      <c r="A671" s="2">
        <v>43444</v>
      </c>
      <c r="B671">
        <v>2.85</v>
      </c>
      <c r="C671" s="11">
        <f t="shared" si="10"/>
        <v>2.8500000000000001E-2</v>
      </c>
    </row>
    <row r="672" spans="1:3" x14ac:dyDescent="0.2">
      <c r="A672" s="2">
        <v>43445</v>
      </c>
      <c r="B672">
        <v>2.89</v>
      </c>
      <c r="C672" s="11">
        <f t="shared" si="10"/>
        <v>2.8900000000000002E-2</v>
      </c>
    </row>
    <row r="673" spans="1:3" x14ac:dyDescent="0.2">
      <c r="A673" s="2">
        <v>43446</v>
      </c>
      <c r="B673">
        <v>2.91</v>
      </c>
      <c r="C673" s="11">
        <f t="shared" si="10"/>
        <v>2.9100000000000001E-2</v>
      </c>
    </row>
    <row r="674" spans="1:3" x14ac:dyDescent="0.2">
      <c r="A674" s="2">
        <v>43447</v>
      </c>
      <c r="B674">
        <v>2.91</v>
      </c>
      <c r="C674" s="11">
        <f t="shared" si="10"/>
        <v>2.9100000000000001E-2</v>
      </c>
    </row>
    <row r="675" spans="1:3" x14ac:dyDescent="0.2">
      <c r="A675" s="2">
        <v>43448</v>
      </c>
      <c r="B675">
        <v>2.89</v>
      </c>
      <c r="C675" s="11">
        <f t="shared" si="10"/>
        <v>2.8900000000000002E-2</v>
      </c>
    </row>
    <row r="676" spans="1:3" x14ac:dyDescent="0.2">
      <c r="A676" s="2">
        <v>43451</v>
      </c>
      <c r="B676">
        <v>2.86</v>
      </c>
      <c r="C676" s="11">
        <f t="shared" si="10"/>
        <v>2.86E-2</v>
      </c>
    </row>
    <row r="677" spans="1:3" x14ac:dyDescent="0.2">
      <c r="A677" s="2">
        <v>43452</v>
      </c>
      <c r="B677">
        <v>2.82</v>
      </c>
      <c r="C677" s="11">
        <f t="shared" si="10"/>
        <v>2.8199999999999999E-2</v>
      </c>
    </row>
    <row r="678" spans="1:3" x14ac:dyDescent="0.2">
      <c r="A678" s="2">
        <v>43453</v>
      </c>
      <c r="B678">
        <v>2.77</v>
      </c>
      <c r="C678" s="11">
        <f t="shared" si="10"/>
        <v>2.7699999999999999E-2</v>
      </c>
    </row>
    <row r="679" spans="1:3" x14ac:dyDescent="0.2">
      <c r="A679" s="2">
        <v>43454</v>
      </c>
      <c r="B679">
        <v>2.79</v>
      </c>
      <c r="C679" s="11">
        <f t="shared" si="10"/>
        <v>2.7900000000000001E-2</v>
      </c>
    </row>
    <row r="680" spans="1:3" x14ac:dyDescent="0.2">
      <c r="A680" s="2">
        <v>43455</v>
      </c>
      <c r="B680">
        <v>2.79</v>
      </c>
      <c r="C680" s="11">
        <f t="shared" si="10"/>
        <v>2.7900000000000001E-2</v>
      </c>
    </row>
    <row r="681" spans="1:3" x14ac:dyDescent="0.2">
      <c r="A681" s="2">
        <v>43458</v>
      </c>
      <c r="B681">
        <v>2.74</v>
      </c>
      <c r="C681" s="11">
        <f t="shared" si="10"/>
        <v>2.7400000000000001E-2</v>
      </c>
    </row>
    <row r="682" spans="1:3" x14ac:dyDescent="0.2">
      <c r="A682" s="2">
        <v>43460</v>
      </c>
      <c r="B682">
        <v>2.81</v>
      </c>
      <c r="C682" s="11">
        <f t="shared" si="10"/>
        <v>2.81E-2</v>
      </c>
    </row>
    <row r="683" spans="1:3" x14ac:dyDescent="0.2">
      <c r="A683" s="2">
        <v>43461</v>
      </c>
      <c r="B683">
        <v>2.77</v>
      </c>
      <c r="C683" s="11">
        <f t="shared" si="10"/>
        <v>2.7699999999999999E-2</v>
      </c>
    </row>
    <row r="684" spans="1:3" x14ac:dyDescent="0.2">
      <c r="A684" s="2">
        <v>43462</v>
      </c>
      <c r="B684">
        <v>2.72</v>
      </c>
      <c r="C684" s="11">
        <f t="shared" si="10"/>
        <v>2.7200000000000002E-2</v>
      </c>
    </row>
    <row r="685" spans="1:3" x14ac:dyDescent="0.2">
      <c r="A685" s="2">
        <v>43465</v>
      </c>
      <c r="B685">
        <v>2.69</v>
      </c>
      <c r="C685" s="11">
        <f t="shared" si="10"/>
        <v>2.69E-2</v>
      </c>
    </row>
    <row r="686" spans="1:3" x14ac:dyDescent="0.2">
      <c r="A686" s="2">
        <v>43467</v>
      </c>
      <c r="B686">
        <v>2.66</v>
      </c>
      <c r="C686" s="11">
        <f t="shared" si="10"/>
        <v>2.6600000000000002E-2</v>
      </c>
    </row>
    <row r="687" spans="1:3" x14ac:dyDescent="0.2">
      <c r="A687" s="2">
        <v>43468</v>
      </c>
      <c r="B687">
        <v>2.56</v>
      </c>
      <c r="C687" s="11">
        <f t="shared" si="10"/>
        <v>2.5600000000000001E-2</v>
      </c>
    </row>
    <row r="688" spans="1:3" x14ac:dyDescent="0.2">
      <c r="A688" s="2">
        <v>43469</v>
      </c>
      <c r="B688">
        <v>2.67</v>
      </c>
      <c r="C688" s="11">
        <f t="shared" si="10"/>
        <v>2.6699999999999998E-2</v>
      </c>
    </row>
    <row r="689" spans="1:3" x14ac:dyDescent="0.2">
      <c r="A689" s="2">
        <v>43472</v>
      </c>
      <c r="B689">
        <v>2.7</v>
      </c>
      <c r="C689" s="11">
        <f t="shared" si="10"/>
        <v>2.7000000000000003E-2</v>
      </c>
    </row>
    <row r="690" spans="1:3" x14ac:dyDescent="0.2">
      <c r="A690" s="2">
        <v>43473</v>
      </c>
      <c r="B690">
        <v>2.73</v>
      </c>
      <c r="C690" s="11">
        <f t="shared" si="10"/>
        <v>2.7300000000000001E-2</v>
      </c>
    </row>
    <row r="691" spans="1:3" x14ac:dyDescent="0.2">
      <c r="A691" s="2">
        <v>43474</v>
      </c>
      <c r="B691">
        <v>2.74</v>
      </c>
      <c r="C691" s="11">
        <f t="shared" si="10"/>
        <v>2.7400000000000001E-2</v>
      </c>
    </row>
    <row r="692" spans="1:3" x14ac:dyDescent="0.2">
      <c r="A692" s="2">
        <v>43475</v>
      </c>
      <c r="B692">
        <v>2.74</v>
      </c>
      <c r="C692" s="11">
        <f t="shared" si="10"/>
        <v>2.7400000000000001E-2</v>
      </c>
    </row>
    <row r="693" spans="1:3" x14ac:dyDescent="0.2">
      <c r="A693" s="2">
        <v>43476</v>
      </c>
      <c r="B693">
        <v>2.71</v>
      </c>
      <c r="C693" s="11">
        <f t="shared" si="10"/>
        <v>2.7099999999999999E-2</v>
      </c>
    </row>
    <row r="694" spans="1:3" x14ac:dyDescent="0.2">
      <c r="A694" s="2">
        <v>43479</v>
      </c>
      <c r="B694">
        <v>2.71</v>
      </c>
      <c r="C694" s="11">
        <f t="shared" si="10"/>
        <v>2.7099999999999999E-2</v>
      </c>
    </row>
    <row r="695" spans="1:3" x14ac:dyDescent="0.2">
      <c r="A695" s="2">
        <v>43480</v>
      </c>
      <c r="B695">
        <v>2.72</v>
      </c>
      <c r="C695" s="11">
        <f t="shared" si="10"/>
        <v>2.7200000000000002E-2</v>
      </c>
    </row>
    <row r="696" spans="1:3" x14ac:dyDescent="0.2">
      <c r="A696" s="2">
        <v>43481</v>
      </c>
      <c r="B696">
        <v>2.73</v>
      </c>
      <c r="C696" s="11">
        <f t="shared" si="10"/>
        <v>2.7300000000000001E-2</v>
      </c>
    </row>
    <row r="697" spans="1:3" x14ac:dyDescent="0.2">
      <c r="A697" s="2">
        <v>43482</v>
      </c>
      <c r="B697">
        <v>2.75</v>
      </c>
      <c r="C697" s="11">
        <f t="shared" si="10"/>
        <v>2.75E-2</v>
      </c>
    </row>
    <row r="698" spans="1:3" x14ac:dyDescent="0.2">
      <c r="A698" s="2">
        <v>43483</v>
      </c>
      <c r="B698">
        <v>2.79</v>
      </c>
      <c r="C698" s="11">
        <f t="shared" si="10"/>
        <v>2.7900000000000001E-2</v>
      </c>
    </row>
    <row r="699" spans="1:3" x14ac:dyDescent="0.2">
      <c r="A699" s="2">
        <v>43487</v>
      </c>
      <c r="B699">
        <v>2.74</v>
      </c>
      <c r="C699" s="11">
        <f t="shared" si="10"/>
        <v>2.7400000000000001E-2</v>
      </c>
    </row>
    <row r="700" spans="1:3" x14ac:dyDescent="0.2">
      <c r="A700" s="2">
        <v>43488</v>
      </c>
      <c r="B700">
        <v>2.76</v>
      </c>
      <c r="C700" s="11">
        <f t="shared" si="10"/>
        <v>2.76E-2</v>
      </c>
    </row>
    <row r="701" spans="1:3" x14ac:dyDescent="0.2">
      <c r="A701" s="2">
        <v>43489</v>
      </c>
      <c r="B701">
        <v>2.72</v>
      </c>
      <c r="C701" s="11">
        <f t="shared" si="10"/>
        <v>2.7200000000000002E-2</v>
      </c>
    </row>
    <row r="702" spans="1:3" x14ac:dyDescent="0.2">
      <c r="A702" s="2">
        <v>43490</v>
      </c>
      <c r="B702">
        <v>2.76</v>
      </c>
      <c r="C702" s="11">
        <f t="shared" si="10"/>
        <v>2.76E-2</v>
      </c>
    </row>
    <row r="703" spans="1:3" x14ac:dyDescent="0.2">
      <c r="A703" s="2">
        <v>43493</v>
      </c>
      <c r="B703">
        <v>2.75</v>
      </c>
      <c r="C703" s="11">
        <f t="shared" si="10"/>
        <v>2.75E-2</v>
      </c>
    </row>
    <row r="704" spans="1:3" x14ac:dyDescent="0.2">
      <c r="A704" s="2">
        <v>43494</v>
      </c>
      <c r="B704">
        <v>2.72</v>
      </c>
      <c r="C704" s="11">
        <f t="shared" si="10"/>
        <v>2.7200000000000002E-2</v>
      </c>
    </row>
    <row r="705" spans="1:3" x14ac:dyDescent="0.2">
      <c r="A705" s="2">
        <v>43495</v>
      </c>
      <c r="B705">
        <v>2.7</v>
      </c>
      <c r="C705" s="11">
        <f t="shared" si="10"/>
        <v>2.7000000000000003E-2</v>
      </c>
    </row>
    <row r="706" spans="1:3" x14ac:dyDescent="0.2">
      <c r="A706" s="2">
        <v>43496</v>
      </c>
      <c r="B706">
        <v>2.63</v>
      </c>
      <c r="C706" s="11">
        <f t="shared" si="10"/>
        <v>2.63E-2</v>
      </c>
    </row>
    <row r="707" spans="1:3" x14ac:dyDescent="0.2">
      <c r="A707" s="2">
        <v>43497</v>
      </c>
      <c r="B707">
        <v>2.7</v>
      </c>
      <c r="C707" s="11">
        <f t="shared" ref="C707:C770" si="11">B707/100</f>
        <v>2.7000000000000003E-2</v>
      </c>
    </row>
    <row r="708" spans="1:3" x14ac:dyDescent="0.2">
      <c r="A708" s="2">
        <v>43500</v>
      </c>
      <c r="B708">
        <v>2.73</v>
      </c>
      <c r="C708" s="11">
        <f t="shared" si="11"/>
        <v>2.7300000000000001E-2</v>
      </c>
    </row>
    <row r="709" spans="1:3" x14ac:dyDescent="0.2">
      <c r="A709" s="2">
        <v>43501</v>
      </c>
      <c r="B709">
        <v>2.71</v>
      </c>
      <c r="C709" s="11">
        <f t="shared" si="11"/>
        <v>2.7099999999999999E-2</v>
      </c>
    </row>
    <row r="710" spans="1:3" x14ac:dyDescent="0.2">
      <c r="A710" s="2">
        <v>43502</v>
      </c>
      <c r="B710">
        <v>2.7</v>
      </c>
      <c r="C710" s="11">
        <f t="shared" si="11"/>
        <v>2.7000000000000003E-2</v>
      </c>
    </row>
    <row r="711" spans="1:3" x14ac:dyDescent="0.2">
      <c r="A711" s="2">
        <v>43503</v>
      </c>
      <c r="B711">
        <v>2.65</v>
      </c>
      <c r="C711" s="11">
        <f t="shared" si="11"/>
        <v>2.6499999999999999E-2</v>
      </c>
    </row>
    <row r="712" spans="1:3" x14ac:dyDescent="0.2">
      <c r="A712" s="2">
        <v>43504</v>
      </c>
      <c r="B712">
        <v>2.63</v>
      </c>
      <c r="C712" s="11">
        <f t="shared" si="11"/>
        <v>2.63E-2</v>
      </c>
    </row>
    <row r="713" spans="1:3" x14ac:dyDescent="0.2">
      <c r="A713" s="2">
        <v>43507</v>
      </c>
      <c r="B713">
        <v>2.65</v>
      </c>
      <c r="C713" s="11">
        <f t="shared" si="11"/>
        <v>2.6499999999999999E-2</v>
      </c>
    </row>
    <row r="714" spans="1:3" x14ac:dyDescent="0.2">
      <c r="A714" s="2">
        <v>43508</v>
      </c>
      <c r="B714">
        <v>2.68</v>
      </c>
      <c r="C714" s="11">
        <f t="shared" si="11"/>
        <v>2.6800000000000001E-2</v>
      </c>
    </row>
    <row r="715" spans="1:3" x14ac:dyDescent="0.2">
      <c r="A715" s="2">
        <v>43509</v>
      </c>
      <c r="B715">
        <v>2.71</v>
      </c>
      <c r="C715" s="11">
        <f t="shared" si="11"/>
        <v>2.7099999999999999E-2</v>
      </c>
    </row>
    <row r="716" spans="1:3" x14ac:dyDescent="0.2">
      <c r="A716" s="2">
        <v>43510</v>
      </c>
      <c r="B716">
        <v>2.66</v>
      </c>
      <c r="C716" s="11">
        <f t="shared" si="11"/>
        <v>2.6600000000000002E-2</v>
      </c>
    </row>
    <row r="717" spans="1:3" x14ac:dyDescent="0.2">
      <c r="A717" s="2">
        <v>43511</v>
      </c>
      <c r="B717">
        <v>2.66</v>
      </c>
      <c r="C717" s="11">
        <f t="shared" si="11"/>
        <v>2.6600000000000002E-2</v>
      </c>
    </row>
    <row r="718" spans="1:3" x14ac:dyDescent="0.2">
      <c r="A718" s="2">
        <v>43515</v>
      </c>
      <c r="B718">
        <v>2.65</v>
      </c>
      <c r="C718" s="11">
        <f t="shared" si="11"/>
        <v>2.6499999999999999E-2</v>
      </c>
    </row>
    <row r="719" spans="1:3" x14ac:dyDescent="0.2">
      <c r="A719" s="2">
        <v>43516</v>
      </c>
      <c r="B719">
        <v>2.65</v>
      </c>
      <c r="C719" s="11">
        <f t="shared" si="11"/>
        <v>2.6499999999999999E-2</v>
      </c>
    </row>
    <row r="720" spans="1:3" x14ac:dyDescent="0.2">
      <c r="A720" s="2">
        <v>43517</v>
      </c>
      <c r="B720">
        <v>2.69</v>
      </c>
      <c r="C720" s="11">
        <f t="shared" si="11"/>
        <v>2.69E-2</v>
      </c>
    </row>
    <row r="721" spans="1:3" x14ac:dyDescent="0.2">
      <c r="A721" s="2">
        <v>43518</v>
      </c>
      <c r="B721">
        <v>2.65</v>
      </c>
      <c r="C721" s="11">
        <f t="shared" si="11"/>
        <v>2.6499999999999999E-2</v>
      </c>
    </row>
    <row r="722" spans="1:3" x14ac:dyDescent="0.2">
      <c r="A722" s="2">
        <v>43521</v>
      </c>
      <c r="B722">
        <v>2.67</v>
      </c>
      <c r="C722" s="11">
        <f t="shared" si="11"/>
        <v>2.6699999999999998E-2</v>
      </c>
    </row>
    <row r="723" spans="1:3" x14ac:dyDescent="0.2">
      <c r="A723" s="2">
        <v>43522</v>
      </c>
      <c r="B723">
        <v>2.64</v>
      </c>
      <c r="C723" s="11">
        <f t="shared" si="11"/>
        <v>2.64E-2</v>
      </c>
    </row>
    <row r="724" spans="1:3" x14ac:dyDescent="0.2">
      <c r="A724" s="2">
        <v>43523</v>
      </c>
      <c r="B724">
        <v>2.69</v>
      </c>
      <c r="C724" s="11">
        <f t="shared" si="11"/>
        <v>2.69E-2</v>
      </c>
    </row>
    <row r="725" spans="1:3" x14ac:dyDescent="0.2">
      <c r="A725" s="2">
        <v>43524</v>
      </c>
      <c r="B725">
        <v>2.73</v>
      </c>
      <c r="C725" s="11">
        <f t="shared" si="11"/>
        <v>2.7300000000000001E-2</v>
      </c>
    </row>
    <row r="726" spans="1:3" x14ac:dyDescent="0.2">
      <c r="A726" s="2">
        <v>43525</v>
      </c>
      <c r="B726">
        <v>2.76</v>
      </c>
      <c r="C726" s="11">
        <f t="shared" si="11"/>
        <v>2.76E-2</v>
      </c>
    </row>
    <row r="727" spans="1:3" x14ac:dyDescent="0.2">
      <c r="A727" s="2">
        <v>43528</v>
      </c>
      <c r="B727">
        <v>2.72</v>
      </c>
      <c r="C727" s="11">
        <f t="shared" si="11"/>
        <v>2.7200000000000002E-2</v>
      </c>
    </row>
    <row r="728" spans="1:3" x14ac:dyDescent="0.2">
      <c r="A728" s="2">
        <v>43529</v>
      </c>
      <c r="B728">
        <v>2.72</v>
      </c>
      <c r="C728" s="11">
        <f t="shared" si="11"/>
        <v>2.7200000000000002E-2</v>
      </c>
    </row>
    <row r="729" spans="1:3" x14ac:dyDescent="0.2">
      <c r="A729" s="2">
        <v>43530</v>
      </c>
      <c r="B729">
        <v>2.69</v>
      </c>
      <c r="C729" s="11">
        <f t="shared" si="11"/>
        <v>2.69E-2</v>
      </c>
    </row>
    <row r="730" spans="1:3" x14ac:dyDescent="0.2">
      <c r="A730" s="2">
        <v>43531</v>
      </c>
      <c r="B730">
        <v>2.64</v>
      </c>
      <c r="C730" s="11">
        <f t="shared" si="11"/>
        <v>2.64E-2</v>
      </c>
    </row>
    <row r="731" spans="1:3" x14ac:dyDescent="0.2">
      <c r="A731" s="2">
        <v>43532</v>
      </c>
      <c r="B731">
        <v>2.62</v>
      </c>
      <c r="C731" s="11">
        <f t="shared" si="11"/>
        <v>2.6200000000000001E-2</v>
      </c>
    </row>
    <row r="732" spans="1:3" x14ac:dyDescent="0.2">
      <c r="A732" s="2">
        <v>43535</v>
      </c>
      <c r="B732">
        <v>2.64</v>
      </c>
      <c r="C732" s="11">
        <f t="shared" si="11"/>
        <v>2.64E-2</v>
      </c>
    </row>
    <row r="733" spans="1:3" x14ac:dyDescent="0.2">
      <c r="A733" s="2">
        <v>43536</v>
      </c>
      <c r="B733">
        <v>2.61</v>
      </c>
      <c r="C733" s="11">
        <f t="shared" si="11"/>
        <v>2.6099999999999998E-2</v>
      </c>
    </row>
    <row r="734" spans="1:3" x14ac:dyDescent="0.2">
      <c r="A734" s="2">
        <v>43537</v>
      </c>
      <c r="B734">
        <v>2.61</v>
      </c>
      <c r="C734" s="11">
        <f t="shared" si="11"/>
        <v>2.6099999999999998E-2</v>
      </c>
    </row>
    <row r="735" spans="1:3" x14ac:dyDescent="0.2">
      <c r="A735" s="2">
        <v>43538</v>
      </c>
      <c r="B735">
        <v>2.63</v>
      </c>
      <c r="C735" s="11">
        <f t="shared" si="11"/>
        <v>2.63E-2</v>
      </c>
    </row>
    <row r="736" spans="1:3" x14ac:dyDescent="0.2">
      <c r="A736" s="2">
        <v>43539</v>
      </c>
      <c r="B736">
        <v>2.59</v>
      </c>
      <c r="C736" s="11">
        <f t="shared" si="11"/>
        <v>2.5899999999999999E-2</v>
      </c>
    </row>
    <row r="737" spans="1:3" x14ac:dyDescent="0.2">
      <c r="A737" s="2">
        <v>43542</v>
      </c>
      <c r="B737">
        <v>2.6</v>
      </c>
      <c r="C737" s="11">
        <f t="shared" si="11"/>
        <v>2.6000000000000002E-2</v>
      </c>
    </row>
    <row r="738" spans="1:3" x14ac:dyDescent="0.2">
      <c r="A738" s="2">
        <v>43543</v>
      </c>
      <c r="B738">
        <v>2.61</v>
      </c>
      <c r="C738" s="11">
        <f t="shared" si="11"/>
        <v>2.6099999999999998E-2</v>
      </c>
    </row>
    <row r="739" spans="1:3" x14ac:dyDescent="0.2">
      <c r="A739" s="2">
        <v>43544</v>
      </c>
      <c r="B739">
        <v>2.54</v>
      </c>
      <c r="C739" s="11">
        <f t="shared" si="11"/>
        <v>2.5399999999999999E-2</v>
      </c>
    </row>
    <row r="740" spans="1:3" x14ac:dyDescent="0.2">
      <c r="A740" s="2">
        <v>43545</v>
      </c>
      <c r="B740">
        <v>2.54</v>
      </c>
      <c r="C740" s="11">
        <f t="shared" si="11"/>
        <v>2.5399999999999999E-2</v>
      </c>
    </row>
    <row r="741" spans="1:3" x14ac:dyDescent="0.2">
      <c r="A741" s="2">
        <v>43546</v>
      </c>
      <c r="B741">
        <v>2.44</v>
      </c>
      <c r="C741" s="11">
        <f t="shared" si="11"/>
        <v>2.4399999999999998E-2</v>
      </c>
    </row>
    <row r="742" spans="1:3" x14ac:dyDescent="0.2">
      <c r="A742" s="2">
        <v>43549</v>
      </c>
      <c r="B742">
        <v>2.4300000000000002</v>
      </c>
      <c r="C742" s="11">
        <f t="shared" si="11"/>
        <v>2.4300000000000002E-2</v>
      </c>
    </row>
    <row r="743" spans="1:3" x14ac:dyDescent="0.2">
      <c r="A743" s="2">
        <v>43550</v>
      </c>
      <c r="B743">
        <v>2.41</v>
      </c>
      <c r="C743" s="11">
        <f t="shared" si="11"/>
        <v>2.41E-2</v>
      </c>
    </row>
    <row r="744" spans="1:3" x14ac:dyDescent="0.2">
      <c r="A744" s="2">
        <v>43551</v>
      </c>
      <c r="B744">
        <v>2.39</v>
      </c>
      <c r="C744" s="11">
        <f t="shared" si="11"/>
        <v>2.3900000000000001E-2</v>
      </c>
    </row>
    <row r="745" spans="1:3" x14ac:dyDescent="0.2">
      <c r="A745" s="2">
        <v>43552</v>
      </c>
      <c r="B745">
        <v>2.39</v>
      </c>
      <c r="C745" s="11">
        <f t="shared" si="11"/>
        <v>2.3900000000000001E-2</v>
      </c>
    </row>
    <row r="746" spans="1:3" x14ac:dyDescent="0.2">
      <c r="A746" s="2">
        <v>43553</v>
      </c>
      <c r="B746">
        <v>2.41</v>
      </c>
      <c r="C746" s="11">
        <f t="shared" si="11"/>
        <v>2.41E-2</v>
      </c>
    </row>
    <row r="747" spans="1:3" x14ac:dyDescent="0.2">
      <c r="A747" s="2">
        <v>43556</v>
      </c>
      <c r="B747">
        <v>2.4900000000000002</v>
      </c>
      <c r="C747" s="11">
        <f t="shared" si="11"/>
        <v>2.4900000000000002E-2</v>
      </c>
    </row>
    <row r="748" spans="1:3" x14ac:dyDescent="0.2">
      <c r="A748" s="2">
        <v>43557</v>
      </c>
      <c r="B748">
        <v>2.48</v>
      </c>
      <c r="C748" s="11">
        <f t="shared" si="11"/>
        <v>2.4799999999999999E-2</v>
      </c>
    </row>
    <row r="749" spans="1:3" x14ac:dyDescent="0.2">
      <c r="A749" s="2">
        <v>43558</v>
      </c>
      <c r="B749">
        <v>2.52</v>
      </c>
      <c r="C749" s="11">
        <f t="shared" si="11"/>
        <v>2.52E-2</v>
      </c>
    </row>
    <row r="750" spans="1:3" x14ac:dyDescent="0.2">
      <c r="A750" s="2">
        <v>43559</v>
      </c>
      <c r="B750">
        <v>2.5099999999999998</v>
      </c>
      <c r="C750" s="11">
        <f t="shared" si="11"/>
        <v>2.5099999999999997E-2</v>
      </c>
    </row>
    <row r="751" spans="1:3" x14ac:dyDescent="0.2">
      <c r="A751" s="2">
        <v>43560</v>
      </c>
      <c r="B751">
        <v>2.5</v>
      </c>
      <c r="C751" s="11">
        <f t="shared" si="11"/>
        <v>2.5000000000000001E-2</v>
      </c>
    </row>
    <row r="752" spans="1:3" x14ac:dyDescent="0.2">
      <c r="A752" s="2">
        <v>43563</v>
      </c>
      <c r="B752">
        <v>2.52</v>
      </c>
      <c r="C752" s="11">
        <f t="shared" si="11"/>
        <v>2.52E-2</v>
      </c>
    </row>
    <row r="753" spans="1:3" x14ac:dyDescent="0.2">
      <c r="A753" s="2">
        <v>43564</v>
      </c>
      <c r="B753">
        <v>2.5099999999999998</v>
      </c>
      <c r="C753" s="11">
        <f t="shared" si="11"/>
        <v>2.5099999999999997E-2</v>
      </c>
    </row>
    <row r="754" spans="1:3" x14ac:dyDescent="0.2">
      <c r="A754" s="2">
        <v>43565</v>
      </c>
      <c r="B754">
        <v>2.48</v>
      </c>
      <c r="C754" s="11">
        <f t="shared" si="11"/>
        <v>2.4799999999999999E-2</v>
      </c>
    </row>
    <row r="755" spans="1:3" x14ac:dyDescent="0.2">
      <c r="A755" s="2">
        <v>43566</v>
      </c>
      <c r="B755">
        <v>2.5099999999999998</v>
      </c>
      <c r="C755" s="11">
        <f t="shared" si="11"/>
        <v>2.5099999999999997E-2</v>
      </c>
    </row>
    <row r="756" spans="1:3" x14ac:dyDescent="0.2">
      <c r="A756" s="2">
        <v>43567</v>
      </c>
      <c r="B756">
        <v>2.56</v>
      </c>
      <c r="C756" s="11">
        <f t="shared" si="11"/>
        <v>2.5600000000000001E-2</v>
      </c>
    </row>
    <row r="757" spans="1:3" x14ac:dyDescent="0.2">
      <c r="A757" s="2">
        <v>43570</v>
      </c>
      <c r="B757">
        <v>2.5499999999999998</v>
      </c>
      <c r="C757" s="11">
        <f t="shared" si="11"/>
        <v>2.5499999999999998E-2</v>
      </c>
    </row>
    <row r="758" spans="1:3" x14ac:dyDescent="0.2">
      <c r="A758" s="2">
        <v>43571</v>
      </c>
      <c r="B758">
        <v>2.6</v>
      </c>
      <c r="C758" s="11">
        <f t="shared" si="11"/>
        <v>2.6000000000000002E-2</v>
      </c>
    </row>
    <row r="759" spans="1:3" x14ac:dyDescent="0.2">
      <c r="A759" s="2">
        <v>43572</v>
      </c>
      <c r="B759">
        <v>2.59</v>
      </c>
      <c r="C759" s="11">
        <f t="shared" si="11"/>
        <v>2.5899999999999999E-2</v>
      </c>
    </row>
    <row r="760" spans="1:3" x14ac:dyDescent="0.2">
      <c r="A760" s="2">
        <v>43573</v>
      </c>
      <c r="B760">
        <v>2.57</v>
      </c>
      <c r="C760" s="11">
        <f t="shared" si="11"/>
        <v>2.5699999999999997E-2</v>
      </c>
    </row>
    <row r="761" spans="1:3" x14ac:dyDescent="0.2">
      <c r="A761" s="2">
        <v>43577</v>
      </c>
      <c r="B761">
        <v>2.59</v>
      </c>
      <c r="C761" s="11">
        <f t="shared" si="11"/>
        <v>2.5899999999999999E-2</v>
      </c>
    </row>
    <row r="762" spans="1:3" x14ac:dyDescent="0.2">
      <c r="A762" s="2">
        <v>43578</v>
      </c>
      <c r="B762">
        <v>2.57</v>
      </c>
      <c r="C762" s="11">
        <f t="shared" si="11"/>
        <v>2.5699999999999997E-2</v>
      </c>
    </row>
    <row r="763" spans="1:3" x14ac:dyDescent="0.2">
      <c r="A763" s="2">
        <v>43579</v>
      </c>
      <c r="B763">
        <v>2.5299999999999998</v>
      </c>
      <c r="C763" s="11">
        <f t="shared" si="11"/>
        <v>2.53E-2</v>
      </c>
    </row>
    <row r="764" spans="1:3" x14ac:dyDescent="0.2">
      <c r="A764" s="2">
        <v>43580</v>
      </c>
      <c r="B764">
        <v>2.54</v>
      </c>
      <c r="C764" s="11">
        <f t="shared" si="11"/>
        <v>2.5399999999999999E-2</v>
      </c>
    </row>
    <row r="765" spans="1:3" x14ac:dyDescent="0.2">
      <c r="A765" s="2">
        <v>43581</v>
      </c>
      <c r="B765">
        <v>2.5099999999999998</v>
      </c>
      <c r="C765" s="11">
        <f t="shared" si="11"/>
        <v>2.5099999999999997E-2</v>
      </c>
    </row>
    <row r="766" spans="1:3" x14ac:dyDescent="0.2">
      <c r="A766" s="2">
        <v>43584</v>
      </c>
      <c r="B766">
        <v>2.54</v>
      </c>
      <c r="C766" s="11">
        <f t="shared" si="11"/>
        <v>2.5399999999999999E-2</v>
      </c>
    </row>
    <row r="767" spans="1:3" x14ac:dyDescent="0.2">
      <c r="A767" s="2">
        <v>43585</v>
      </c>
      <c r="B767">
        <v>2.5099999999999998</v>
      </c>
      <c r="C767" s="11">
        <f t="shared" si="11"/>
        <v>2.5099999999999997E-2</v>
      </c>
    </row>
    <row r="768" spans="1:3" x14ac:dyDescent="0.2">
      <c r="A768" s="2">
        <v>43586</v>
      </c>
      <c r="B768">
        <v>2.52</v>
      </c>
      <c r="C768" s="11">
        <f t="shared" si="11"/>
        <v>2.52E-2</v>
      </c>
    </row>
    <row r="769" spans="1:3" x14ac:dyDescent="0.2">
      <c r="A769" s="2">
        <v>43587</v>
      </c>
      <c r="B769">
        <v>2.5499999999999998</v>
      </c>
      <c r="C769" s="11">
        <f t="shared" si="11"/>
        <v>2.5499999999999998E-2</v>
      </c>
    </row>
    <row r="770" spans="1:3" x14ac:dyDescent="0.2">
      <c r="A770" s="2">
        <v>43588</v>
      </c>
      <c r="B770">
        <v>2.54</v>
      </c>
      <c r="C770" s="11">
        <f t="shared" si="11"/>
        <v>2.5399999999999999E-2</v>
      </c>
    </row>
    <row r="771" spans="1:3" x14ac:dyDescent="0.2">
      <c r="A771" s="2">
        <v>43591</v>
      </c>
      <c r="B771">
        <v>2.5099999999999998</v>
      </c>
      <c r="C771" s="11">
        <f t="shared" ref="C771:C834" si="12">B771/100</f>
        <v>2.5099999999999997E-2</v>
      </c>
    </row>
    <row r="772" spans="1:3" x14ac:dyDescent="0.2">
      <c r="A772" s="2">
        <v>43592</v>
      </c>
      <c r="B772">
        <v>2.4500000000000002</v>
      </c>
      <c r="C772" s="11">
        <f t="shared" si="12"/>
        <v>2.4500000000000001E-2</v>
      </c>
    </row>
    <row r="773" spans="1:3" x14ac:dyDescent="0.2">
      <c r="A773" s="2">
        <v>43593</v>
      </c>
      <c r="B773">
        <v>2.4900000000000002</v>
      </c>
      <c r="C773" s="11">
        <f t="shared" si="12"/>
        <v>2.4900000000000002E-2</v>
      </c>
    </row>
    <row r="774" spans="1:3" x14ac:dyDescent="0.2">
      <c r="A774" s="2">
        <v>43594</v>
      </c>
      <c r="B774">
        <v>2.4500000000000002</v>
      </c>
      <c r="C774" s="11">
        <f t="shared" si="12"/>
        <v>2.4500000000000001E-2</v>
      </c>
    </row>
    <row r="775" spans="1:3" x14ac:dyDescent="0.2">
      <c r="A775" s="2">
        <v>43595</v>
      </c>
      <c r="B775">
        <v>2.4700000000000002</v>
      </c>
      <c r="C775" s="11">
        <f t="shared" si="12"/>
        <v>2.4700000000000003E-2</v>
      </c>
    </row>
    <row r="776" spans="1:3" x14ac:dyDescent="0.2">
      <c r="A776" s="2">
        <v>43598</v>
      </c>
      <c r="B776">
        <v>2.4</v>
      </c>
      <c r="C776" s="11">
        <f t="shared" si="12"/>
        <v>2.4E-2</v>
      </c>
    </row>
    <row r="777" spans="1:3" x14ac:dyDescent="0.2">
      <c r="A777" s="2">
        <v>43599</v>
      </c>
      <c r="B777">
        <v>2.42</v>
      </c>
      <c r="C777" s="11">
        <f t="shared" si="12"/>
        <v>2.4199999999999999E-2</v>
      </c>
    </row>
    <row r="778" spans="1:3" x14ac:dyDescent="0.2">
      <c r="A778" s="2">
        <v>43600</v>
      </c>
      <c r="B778">
        <v>2.37</v>
      </c>
      <c r="C778" s="11">
        <f t="shared" si="12"/>
        <v>2.3700000000000002E-2</v>
      </c>
    </row>
    <row r="779" spans="1:3" x14ac:dyDescent="0.2">
      <c r="A779" s="2">
        <v>43601</v>
      </c>
      <c r="B779">
        <v>2.4</v>
      </c>
      <c r="C779" s="11">
        <f t="shared" si="12"/>
        <v>2.4E-2</v>
      </c>
    </row>
    <row r="780" spans="1:3" x14ac:dyDescent="0.2">
      <c r="A780" s="2">
        <v>43602</v>
      </c>
      <c r="B780">
        <v>2.39</v>
      </c>
      <c r="C780" s="11">
        <f t="shared" si="12"/>
        <v>2.3900000000000001E-2</v>
      </c>
    </row>
    <row r="781" spans="1:3" x14ac:dyDescent="0.2">
      <c r="A781" s="2">
        <v>43605</v>
      </c>
      <c r="B781">
        <v>2.41</v>
      </c>
      <c r="C781" s="11">
        <f t="shared" si="12"/>
        <v>2.41E-2</v>
      </c>
    </row>
    <row r="782" spans="1:3" x14ac:dyDescent="0.2">
      <c r="A782" s="2">
        <v>43606</v>
      </c>
      <c r="B782">
        <v>2.4300000000000002</v>
      </c>
      <c r="C782" s="11">
        <f t="shared" si="12"/>
        <v>2.4300000000000002E-2</v>
      </c>
    </row>
    <row r="783" spans="1:3" x14ac:dyDescent="0.2">
      <c r="A783" s="2">
        <v>43607</v>
      </c>
      <c r="B783">
        <v>2.39</v>
      </c>
      <c r="C783" s="11">
        <f t="shared" si="12"/>
        <v>2.3900000000000001E-2</v>
      </c>
    </row>
    <row r="784" spans="1:3" x14ac:dyDescent="0.2">
      <c r="A784" s="2">
        <v>43608</v>
      </c>
      <c r="B784">
        <v>2.31</v>
      </c>
      <c r="C784" s="11">
        <f t="shared" si="12"/>
        <v>2.3099999999999999E-2</v>
      </c>
    </row>
    <row r="785" spans="1:3" x14ac:dyDescent="0.2">
      <c r="A785" s="2">
        <v>43609</v>
      </c>
      <c r="B785">
        <v>2.3199999999999998</v>
      </c>
      <c r="C785" s="11">
        <f t="shared" si="12"/>
        <v>2.3199999999999998E-2</v>
      </c>
    </row>
    <row r="786" spans="1:3" x14ac:dyDescent="0.2">
      <c r="A786" s="2">
        <v>43613</v>
      </c>
      <c r="B786">
        <v>2.2599999999999998</v>
      </c>
      <c r="C786" s="11">
        <f t="shared" si="12"/>
        <v>2.2599999999999999E-2</v>
      </c>
    </row>
    <row r="787" spans="1:3" x14ac:dyDescent="0.2">
      <c r="A787" s="2">
        <v>43614</v>
      </c>
      <c r="B787">
        <v>2.25</v>
      </c>
      <c r="C787" s="11">
        <f t="shared" si="12"/>
        <v>2.2499999999999999E-2</v>
      </c>
    </row>
    <row r="788" spans="1:3" x14ac:dyDescent="0.2">
      <c r="A788" s="2">
        <v>43615</v>
      </c>
      <c r="B788">
        <v>2.2200000000000002</v>
      </c>
      <c r="C788" s="11">
        <f t="shared" si="12"/>
        <v>2.2200000000000001E-2</v>
      </c>
    </row>
    <row r="789" spans="1:3" x14ac:dyDescent="0.2">
      <c r="A789" s="2">
        <v>43616</v>
      </c>
      <c r="B789">
        <v>2.14</v>
      </c>
      <c r="C789" s="11">
        <f t="shared" si="12"/>
        <v>2.1400000000000002E-2</v>
      </c>
    </row>
    <row r="790" spans="1:3" x14ac:dyDescent="0.2">
      <c r="A790" s="2">
        <v>43619</v>
      </c>
      <c r="B790">
        <v>2.0699999999999998</v>
      </c>
      <c r="C790" s="11">
        <f t="shared" si="12"/>
        <v>2.07E-2</v>
      </c>
    </row>
    <row r="791" spans="1:3" x14ac:dyDescent="0.2">
      <c r="A791" s="2">
        <v>43620</v>
      </c>
      <c r="B791">
        <v>2.12</v>
      </c>
      <c r="C791" s="11">
        <f t="shared" si="12"/>
        <v>2.12E-2</v>
      </c>
    </row>
    <row r="792" spans="1:3" x14ac:dyDescent="0.2">
      <c r="A792" s="2">
        <v>43621</v>
      </c>
      <c r="B792">
        <v>2.12</v>
      </c>
      <c r="C792" s="11">
        <f t="shared" si="12"/>
        <v>2.12E-2</v>
      </c>
    </row>
    <row r="793" spans="1:3" x14ac:dyDescent="0.2">
      <c r="A793" s="2">
        <v>43622</v>
      </c>
      <c r="B793">
        <v>2.12</v>
      </c>
      <c r="C793" s="11">
        <f t="shared" si="12"/>
        <v>2.12E-2</v>
      </c>
    </row>
    <row r="794" spans="1:3" x14ac:dyDescent="0.2">
      <c r="A794" s="2">
        <v>43623</v>
      </c>
      <c r="B794">
        <v>2.09</v>
      </c>
      <c r="C794" s="11">
        <f t="shared" si="12"/>
        <v>2.0899999999999998E-2</v>
      </c>
    </row>
    <row r="795" spans="1:3" x14ac:dyDescent="0.2">
      <c r="A795" s="2">
        <v>43626</v>
      </c>
      <c r="B795">
        <v>2.15</v>
      </c>
      <c r="C795" s="11">
        <f t="shared" si="12"/>
        <v>2.1499999999999998E-2</v>
      </c>
    </row>
    <row r="796" spans="1:3" x14ac:dyDescent="0.2">
      <c r="A796" s="2">
        <v>43627</v>
      </c>
      <c r="B796">
        <v>2.15</v>
      </c>
      <c r="C796" s="11">
        <f t="shared" si="12"/>
        <v>2.1499999999999998E-2</v>
      </c>
    </row>
    <row r="797" spans="1:3" x14ac:dyDescent="0.2">
      <c r="A797" s="2">
        <v>43628</v>
      </c>
      <c r="B797">
        <v>2.13</v>
      </c>
      <c r="C797" s="11">
        <f t="shared" si="12"/>
        <v>2.1299999999999999E-2</v>
      </c>
    </row>
    <row r="798" spans="1:3" x14ac:dyDescent="0.2">
      <c r="A798" s="2">
        <v>43629</v>
      </c>
      <c r="B798">
        <v>2.1</v>
      </c>
      <c r="C798" s="11">
        <f t="shared" si="12"/>
        <v>2.1000000000000001E-2</v>
      </c>
    </row>
    <row r="799" spans="1:3" x14ac:dyDescent="0.2">
      <c r="A799" s="2">
        <v>43630</v>
      </c>
      <c r="B799">
        <v>2.09</v>
      </c>
      <c r="C799" s="11">
        <f t="shared" si="12"/>
        <v>2.0899999999999998E-2</v>
      </c>
    </row>
    <row r="800" spans="1:3" x14ac:dyDescent="0.2">
      <c r="A800" s="2">
        <v>43633</v>
      </c>
      <c r="B800">
        <v>2.09</v>
      </c>
      <c r="C800" s="11">
        <f t="shared" si="12"/>
        <v>2.0899999999999998E-2</v>
      </c>
    </row>
    <row r="801" spans="1:3" x14ac:dyDescent="0.2">
      <c r="A801" s="2">
        <v>43634</v>
      </c>
      <c r="B801">
        <v>2.06</v>
      </c>
      <c r="C801" s="11">
        <f t="shared" si="12"/>
        <v>2.06E-2</v>
      </c>
    </row>
    <row r="802" spans="1:3" x14ac:dyDescent="0.2">
      <c r="A802" s="2">
        <v>43635</v>
      </c>
      <c r="B802">
        <v>2.0299999999999998</v>
      </c>
      <c r="C802" s="11">
        <f t="shared" si="12"/>
        <v>2.0299999999999999E-2</v>
      </c>
    </row>
    <row r="803" spans="1:3" x14ac:dyDescent="0.2">
      <c r="A803" s="2">
        <v>43636</v>
      </c>
      <c r="B803">
        <v>2.0099999999999998</v>
      </c>
      <c r="C803" s="11">
        <f t="shared" si="12"/>
        <v>2.0099999999999996E-2</v>
      </c>
    </row>
    <row r="804" spans="1:3" x14ac:dyDescent="0.2">
      <c r="A804" s="2">
        <v>43637</v>
      </c>
      <c r="B804">
        <v>2.0699999999999998</v>
      </c>
      <c r="C804" s="11">
        <f t="shared" si="12"/>
        <v>2.07E-2</v>
      </c>
    </row>
    <row r="805" spans="1:3" x14ac:dyDescent="0.2">
      <c r="A805" s="2">
        <v>43640</v>
      </c>
      <c r="B805">
        <v>2.02</v>
      </c>
      <c r="C805" s="11">
        <f t="shared" si="12"/>
        <v>2.0199999999999999E-2</v>
      </c>
    </row>
    <row r="806" spans="1:3" x14ac:dyDescent="0.2">
      <c r="A806" s="2">
        <v>43641</v>
      </c>
      <c r="B806">
        <v>2</v>
      </c>
      <c r="C806" s="11">
        <f t="shared" si="12"/>
        <v>0.02</v>
      </c>
    </row>
    <row r="807" spans="1:3" x14ac:dyDescent="0.2">
      <c r="A807" s="2">
        <v>43642</v>
      </c>
      <c r="B807">
        <v>2.0499999999999998</v>
      </c>
      <c r="C807" s="11">
        <f t="shared" si="12"/>
        <v>2.0499999999999997E-2</v>
      </c>
    </row>
    <row r="808" spans="1:3" x14ac:dyDescent="0.2">
      <c r="A808" s="2">
        <v>43643</v>
      </c>
      <c r="B808">
        <v>2.0099999999999998</v>
      </c>
      <c r="C808" s="11">
        <f t="shared" si="12"/>
        <v>2.0099999999999996E-2</v>
      </c>
    </row>
    <row r="809" spans="1:3" x14ac:dyDescent="0.2">
      <c r="A809" s="2">
        <v>43644</v>
      </c>
      <c r="B809">
        <v>2</v>
      </c>
      <c r="C809" s="11">
        <f t="shared" si="12"/>
        <v>0.02</v>
      </c>
    </row>
    <row r="810" spans="1:3" x14ac:dyDescent="0.2">
      <c r="A810" s="2">
        <v>43647</v>
      </c>
      <c r="B810">
        <v>2.0299999999999998</v>
      </c>
      <c r="C810" s="11">
        <f t="shared" si="12"/>
        <v>2.0299999999999999E-2</v>
      </c>
    </row>
    <row r="811" spans="1:3" x14ac:dyDescent="0.2">
      <c r="A811" s="2">
        <v>43648</v>
      </c>
      <c r="B811">
        <v>1.98</v>
      </c>
      <c r="C811" s="11">
        <f t="shared" si="12"/>
        <v>1.9799999999999998E-2</v>
      </c>
    </row>
    <row r="812" spans="1:3" x14ac:dyDescent="0.2">
      <c r="A812" s="2">
        <v>43649</v>
      </c>
      <c r="B812">
        <v>1.96</v>
      </c>
      <c r="C812" s="11">
        <f t="shared" si="12"/>
        <v>1.9599999999999999E-2</v>
      </c>
    </row>
    <row r="813" spans="1:3" x14ac:dyDescent="0.2">
      <c r="A813" s="2">
        <v>43651</v>
      </c>
      <c r="B813">
        <v>2.04</v>
      </c>
      <c r="C813" s="11">
        <f t="shared" si="12"/>
        <v>2.0400000000000001E-2</v>
      </c>
    </row>
    <row r="814" spans="1:3" x14ac:dyDescent="0.2">
      <c r="A814" s="2">
        <v>43654</v>
      </c>
      <c r="B814">
        <v>2.0499999999999998</v>
      </c>
      <c r="C814" s="11">
        <f t="shared" si="12"/>
        <v>2.0499999999999997E-2</v>
      </c>
    </row>
    <row r="815" spans="1:3" x14ac:dyDescent="0.2">
      <c r="A815" s="2">
        <v>43655</v>
      </c>
      <c r="B815">
        <v>2.0699999999999998</v>
      </c>
      <c r="C815" s="11">
        <f t="shared" si="12"/>
        <v>2.07E-2</v>
      </c>
    </row>
    <row r="816" spans="1:3" x14ac:dyDescent="0.2">
      <c r="A816" s="2">
        <v>43656</v>
      </c>
      <c r="B816">
        <v>2.0699999999999998</v>
      </c>
      <c r="C816" s="11">
        <f t="shared" si="12"/>
        <v>2.07E-2</v>
      </c>
    </row>
    <row r="817" spans="1:3" x14ac:dyDescent="0.2">
      <c r="A817" s="2">
        <v>43657</v>
      </c>
      <c r="B817">
        <v>2.13</v>
      </c>
      <c r="C817" s="11">
        <f t="shared" si="12"/>
        <v>2.1299999999999999E-2</v>
      </c>
    </row>
    <row r="818" spans="1:3" x14ac:dyDescent="0.2">
      <c r="A818" s="2">
        <v>43658</v>
      </c>
      <c r="B818">
        <v>2.12</v>
      </c>
      <c r="C818" s="11">
        <f t="shared" si="12"/>
        <v>2.12E-2</v>
      </c>
    </row>
    <row r="819" spans="1:3" x14ac:dyDescent="0.2">
      <c r="A819" s="2">
        <v>43661</v>
      </c>
      <c r="B819">
        <v>2.09</v>
      </c>
      <c r="C819" s="11">
        <f t="shared" si="12"/>
        <v>2.0899999999999998E-2</v>
      </c>
    </row>
    <row r="820" spans="1:3" x14ac:dyDescent="0.2">
      <c r="A820" s="2">
        <v>43662</v>
      </c>
      <c r="B820">
        <v>2.13</v>
      </c>
      <c r="C820" s="11">
        <f t="shared" si="12"/>
        <v>2.1299999999999999E-2</v>
      </c>
    </row>
    <row r="821" spans="1:3" x14ac:dyDescent="0.2">
      <c r="A821" s="2">
        <v>43663</v>
      </c>
      <c r="B821">
        <v>2.06</v>
      </c>
      <c r="C821" s="11">
        <f t="shared" si="12"/>
        <v>2.06E-2</v>
      </c>
    </row>
    <row r="822" spans="1:3" x14ac:dyDescent="0.2">
      <c r="A822" s="2">
        <v>43664</v>
      </c>
      <c r="B822">
        <v>2.04</v>
      </c>
      <c r="C822" s="11">
        <f t="shared" si="12"/>
        <v>2.0400000000000001E-2</v>
      </c>
    </row>
    <row r="823" spans="1:3" x14ac:dyDescent="0.2">
      <c r="A823" s="2">
        <v>43665</v>
      </c>
      <c r="B823">
        <v>2.0499999999999998</v>
      </c>
      <c r="C823" s="11">
        <f t="shared" si="12"/>
        <v>2.0499999999999997E-2</v>
      </c>
    </row>
    <row r="824" spans="1:3" x14ac:dyDescent="0.2">
      <c r="A824" s="2">
        <v>43668</v>
      </c>
      <c r="B824">
        <v>2.0499999999999998</v>
      </c>
      <c r="C824" s="11">
        <f t="shared" si="12"/>
        <v>2.0499999999999997E-2</v>
      </c>
    </row>
    <row r="825" spans="1:3" x14ac:dyDescent="0.2">
      <c r="A825" s="2">
        <v>43669</v>
      </c>
      <c r="B825">
        <v>2.08</v>
      </c>
      <c r="C825" s="11">
        <f t="shared" si="12"/>
        <v>2.0799999999999999E-2</v>
      </c>
    </row>
    <row r="826" spans="1:3" x14ac:dyDescent="0.2">
      <c r="A826" s="2">
        <v>43670</v>
      </c>
      <c r="B826">
        <v>2.0499999999999998</v>
      </c>
      <c r="C826" s="11">
        <f t="shared" si="12"/>
        <v>2.0499999999999997E-2</v>
      </c>
    </row>
    <row r="827" spans="1:3" x14ac:dyDescent="0.2">
      <c r="A827" s="2">
        <v>43671</v>
      </c>
      <c r="B827">
        <v>2.08</v>
      </c>
      <c r="C827" s="11">
        <f t="shared" si="12"/>
        <v>2.0799999999999999E-2</v>
      </c>
    </row>
    <row r="828" spans="1:3" x14ac:dyDescent="0.2">
      <c r="A828" s="2">
        <v>43672</v>
      </c>
      <c r="B828">
        <v>2.08</v>
      </c>
      <c r="C828" s="11">
        <f t="shared" si="12"/>
        <v>2.0799999999999999E-2</v>
      </c>
    </row>
    <row r="829" spans="1:3" x14ac:dyDescent="0.2">
      <c r="A829" s="2">
        <v>43675</v>
      </c>
      <c r="B829">
        <v>2.06</v>
      </c>
      <c r="C829" s="11">
        <f t="shared" si="12"/>
        <v>2.06E-2</v>
      </c>
    </row>
    <row r="830" spans="1:3" x14ac:dyDescent="0.2">
      <c r="A830" s="2">
        <v>43676</v>
      </c>
      <c r="B830">
        <v>2.06</v>
      </c>
      <c r="C830" s="11">
        <f t="shared" si="12"/>
        <v>2.06E-2</v>
      </c>
    </row>
    <row r="831" spans="1:3" x14ac:dyDescent="0.2">
      <c r="A831" s="2">
        <v>43677</v>
      </c>
      <c r="B831">
        <v>2.02</v>
      </c>
      <c r="C831" s="11">
        <f t="shared" si="12"/>
        <v>2.0199999999999999E-2</v>
      </c>
    </row>
    <row r="832" spans="1:3" x14ac:dyDescent="0.2">
      <c r="A832" s="2">
        <v>43678</v>
      </c>
      <c r="B832">
        <v>1.9</v>
      </c>
      <c r="C832" s="11">
        <f t="shared" si="12"/>
        <v>1.9E-2</v>
      </c>
    </row>
    <row r="833" spans="1:3" x14ac:dyDescent="0.2">
      <c r="A833" s="2">
        <v>43679</v>
      </c>
      <c r="B833">
        <v>1.86</v>
      </c>
      <c r="C833" s="11">
        <f t="shared" si="12"/>
        <v>1.8600000000000002E-2</v>
      </c>
    </row>
    <row r="834" spans="1:3" x14ac:dyDescent="0.2">
      <c r="A834" s="2">
        <v>43682</v>
      </c>
      <c r="B834">
        <v>1.75</v>
      </c>
      <c r="C834" s="11">
        <f t="shared" si="12"/>
        <v>1.7500000000000002E-2</v>
      </c>
    </row>
    <row r="835" spans="1:3" x14ac:dyDescent="0.2">
      <c r="A835" s="2">
        <v>43683</v>
      </c>
      <c r="B835">
        <v>1.73</v>
      </c>
      <c r="C835" s="11">
        <f t="shared" ref="C835:C898" si="13">B835/100</f>
        <v>1.7299999999999999E-2</v>
      </c>
    </row>
    <row r="836" spans="1:3" x14ac:dyDescent="0.2">
      <c r="A836" s="2">
        <v>43684</v>
      </c>
      <c r="B836">
        <v>1.71</v>
      </c>
      <c r="C836" s="11">
        <f t="shared" si="13"/>
        <v>1.7100000000000001E-2</v>
      </c>
    </row>
    <row r="837" spans="1:3" x14ac:dyDescent="0.2">
      <c r="A837" s="2">
        <v>43685</v>
      </c>
      <c r="B837">
        <v>1.72</v>
      </c>
      <c r="C837" s="11">
        <f t="shared" si="13"/>
        <v>1.72E-2</v>
      </c>
    </row>
    <row r="838" spans="1:3" x14ac:dyDescent="0.2">
      <c r="A838" s="2">
        <v>43686</v>
      </c>
      <c r="B838">
        <v>1.74</v>
      </c>
      <c r="C838" s="11">
        <f t="shared" si="13"/>
        <v>1.7399999999999999E-2</v>
      </c>
    </row>
    <row r="839" spans="1:3" x14ac:dyDescent="0.2">
      <c r="A839" s="2">
        <v>43689</v>
      </c>
      <c r="B839">
        <v>1.65</v>
      </c>
      <c r="C839" s="11">
        <f t="shared" si="13"/>
        <v>1.6500000000000001E-2</v>
      </c>
    </row>
    <row r="840" spans="1:3" x14ac:dyDescent="0.2">
      <c r="A840" s="2">
        <v>43690</v>
      </c>
      <c r="B840">
        <v>1.68</v>
      </c>
      <c r="C840" s="11">
        <f t="shared" si="13"/>
        <v>1.6799999999999999E-2</v>
      </c>
    </row>
    <row r="841" spans="1:3" x14ac:dyDescent="0.2">
      <c r="A841" s="2">
        <v>43691</v>
      </c>
      <c r="B841">
        <v>1.59</v>
      </c>
      <c r="C841" s="11">
        <f t="shared" si="13"/>
        <v>1.5900000000000001E-2</v>
      </c>
    </row>
    <row r="842" spans="1:3" x14ac:dyDescent="0.2">
      <c r="A842" s="2">
        <v>43692</v>
      </c>
      <c r="B842">
        <v>1.52</v>
      </c>
      <c r="C842" s="11">
        <f t="shared" si="13"/>
        <v>1.52E-2</v>
      </c>
    </row>
    <row r="843" spans="1:3" x14ac:dyDescent="0.2">
      <c r="A843" s="2">
        <v>43693</v>
      </c>
      <c r="B843">
        <v>1.55</v>
      </c>
      <c r="C843" s="11">
        <f t="shared" si="13"/>
        <v>1.55E-2</v>
      </c>
    </row>
    <row r="844" spans="1:3" x14ac:dyDescent="0.2">
      <c r="A844" s="2">
        <v>43696</v>
      </c>
      <c r="B844">
        <v>1.6</v>
      </c>
      <c r="C844" s="11">
        <f t="shared" si="13"/>
        <v>1.6E-2</v>
      </c>
    </row>
    <row r="845" spans="1:3" x14ac:dyDescent="0.2">
      <c r="A845" s="2">
        <v>43697</v>
      </c>
      <c r="B845">
        <v>1.55</v>
      </c>
      <c r="C845" s="11">
        <f t="shared" si="13"/>
        <v>1.55E-2</v>
      </c>
    </row>
    <row r="846" spans="1:3" x14ac:dyDescent="0.2">
      <c r="A846" s="2">
        <v>43698</v>
      </c>
      <c r="B846">
        <v>1.59</v>
      </c>
      <c r="C846" s="11">
        <f t="shared" si="13"/>
        <v>1.5900000000000001E-2</v>
      </c>
    </row>
    <row r="847" spans="1:3" x14ac:dyDescent="0.2">
      <c r="A847" s="2">
        <v>43699</v>
      </c>
      <c r="B847">
        <v>1.62</v>
      </c>
      <c r="C847" s="11">
        <f t="shared" si="13"/>
        <v>1.6200000000000003E-2</v>
      </c>
    </row>
    <row r="848" spans="1:3" x14ac:dyDescent="0.2">
      <c r="A848" s="2">
        <v>43700</v>
      </c>
      <c r="B848">
        <v>1.52</v>
      </c>
      <c r="C848" s="11">
        <f t="shared" si="13"/>
        <v>1.52E-2</v>
      </c>
    </row>
    <row r="849" spans="1:3" x14ac:dyDescent="0.2">
      <c r="A849" s="2">
        <v>43703</v>
      </c>
      <c r="B849">
        <v>1.54</v>
      </c>
      <c r="C849" s="11">
        <f t="shared" si="13"/>
        <v>1.54E-2</v>
      </c>
    </row>
    <row r="850" spans="1:3" x14ac:dyDescent="0.2">
      <c r="A850" s="2">
        <v>43704</v>
      </c>
      <c r="B850">
        <v>1.49</v>
      </c>
      <c r="C850" s="11">
        <f t="shared" si="13"/>
        <v>1.49E-2</v>
      </c>
    </row>
    <row r="851" spans="1:3" x14ac:dyDescent="0.2">
      <c r="A851" s="2">
        <v>43705</v>
      </c>
      <c r="B851">
        <v>1.47</v>
      </c>
      <c r="C851" s="11">
        <f t="shared" si="13"/>
        <v>1.47E-2</v>
      </c>
    </row>
    <row r="852" spans="1:3" x14ac:dyDescent="0.2">
      <c r="A852" s="2">
        <v>43706</v>
      </c>
      <c r="B852">
        <v>1.5</v>
      </c>
      <c r="C852" s="11">
        <f t="shared" si="13"/>
        <v>1.4999999999999999E-2</v>
      </c>
    </row>
    <row r="853" spans="1:3" x14ac:dyDescent="0.2">
      <c r="A853" s="2">
        <v>43707</v>
      </c>
      <c r="B853">
        <v>1.5</v>
      </c>
      <c r="C853" s="11">
        <f t="shared" si="13"/>
        <v>1.4999999999999999E-2</v>
      </c>
    </row>
    <row r="854" spans="1:3" x14ac:dyDescent="0.2">
      <c r="A854" s="2">
        <v>43711</v>
      </c>
      <c r="B854">
        <v>1.47</v>
      </c>
      <c r="C854" s="11">
        <f t="shared" si="13"/>
        <v>1.47E-2</v>
      </c>
    </row>
    <row r="855" spans="1:3" x14ac:dyDescent="0.2">
      <c r="A855" s="2">
        <v>43712</v>
      </c>
      <c r="B855">
        <v>1.47</v>
      </c>
      <c r="C855" s="11">
        <f t="shared" si="13"/>
        <v>1.47E-2</v>
      </c>
    </row>
    <row r="856" spans="1:3" x14ac:dyDescent="0.2">
      <c r="A856" s="2">
        <v>43713</v>
      </c>
      <c r="B856">
        <v>1.57</v>
      </c>
      <c r="C856" s="11">
        <f t="shared" si="13"/>
        <v>1.5700000000000002E-2</v>
      </c>
    </row>
    <row r="857" spans="1:3" x14ac:dyDescent="0.2">
      <c r="A857" s="2">
        <v>43714</v>
      </c>
      <c r="B857">
        <v>1.55</v>
      </c>
      <c r="C857" s="11">
        <f t="shared" si="13"/>
        <v>1.55E-2</v>
      </c>
    </row>
    <row r="858" spans="1:3" x14ac:dyDescent="0.2">
      <c r="A858" s="2">
        <v>43717</v>
      </c>
      <c r="B858">
        <v>1.63</v>
      </c>
      <c r="C858" s="11">
        <f t="shared" si="13"/>
        <v>1.6299999999999999E-2</v>
      </c>
    </row>
    <row r="859" spans="1:3" x14ac:dyDescent="0.2">
      <c r="A859" s="2">
        <v>43718</v>
      </c>
      <c r="B859">
        <v>1.72</v>
      </c>
      <c r="C859" s="11">
        <f t="shared" si="13"/>
        <v>1.72E-2</v>
      </c>
    </row>
    <row r="860" spans="1:3" x14ac:dyDescent="0.2">
      <c r="A860" s="2">
        <v>43719</v>
      </c>
      <c r="B860">
        <v>1.75</v>
      </c>
      <c r="C860" s="11">
        <f t="shared" si="13"/>
        <v>1.7500000000000002E-2</v>
      </c>
    </row>
    <row r="861" spans="1:3" x14ac:dyDescent="0.2">
      <c r="A861" s="2">
        <v>43720</v>
      </c>
      <c r="B861">
        <v>1.79</v>
      </c>
      <c r="C861" s="11">
        <f t="shared" si="13"/>
        <v>1.7899999999999999E-2</v>
      </c>
    </row>
    <row r="862" spans="1:3" x14ac:dyDescent="0.2">
      <c r="A862" s="2">
        <v>43721</v>
      </c>
      <c r="B862">
        <v>1.9</v>
      </c>
      <c r="C862" s="11">
        <f t="shared" si="13"/>
        <v>1.9E-2</v>
      </c>
    </row>
    <row r="863" spans="1:3" x14ac:dyDescent="0.2">
      <c r="A863" s="2">
        <v>43724</v>
      </c>
      <c r="B863">
        <v>1.84</v>
      </c>
      <c r="C863" s="11">
        <f t="shared" si="13"/>
        <v>1.84E-2</v>
      </c>
    </row>
    <row r="864" spans="1:3" x14ac:dyDescent="0.2">
      <c r="A864" s="2">
        <v>43725</v>
      </c>
      <c r="B864">
        <v>1.81</v>
      </c>
      <c r="C864" s="11">
        <f t="shared" si="13"/>
        <v>1.8100000000000002E-2</v>
      </c>
    </row>
    <row r="865" spans="1:3" x14ac:dyDescent="0.2">
      <c r="A865" s="2">
        <v>43726</v>
      </c>
      <c r="B865">
        <v>1.8</v>
      </c>
      <c r="C865" s="11">
        <f t="shared" si="13"/>
        <v>1.8000000000000002E-2</v>
      </c>
    </row>
    <row r="866" spans="1:3" x14ac:dyDescent="0.2">
      <c r="A866" s="2">
        <v>43727</v>
      </c>
      <c r="B866">
        <v>1.79</v>
      </c>
      <c r="C866" s="11">
        <f t="shared" si="13"/>
        <v>1.7899999999999999E-2</v>
      </c>
    </row>
    <row r="867" spans="1:3" x14ac:dyDescent="0.2">
      <c r="A867" s="2">
        <v>43728</v>
      </c>
      <c r="B867">
        <v>1.74</v>
      </c>
      <c r="C867" s="11">
        <f t="shared" si="13"/>
        <v>1.7399999999999999E-2</v>
      </c>
    </row>
    <row r="868" spans="1:3" x14ac:dyDescent="0.2">
      <c r="A868" s="2">
        <v>43731</v>
      </c>
      <c r="B868">
        <v>1.72</v>
      </c>
      <c r="C868" s="11">
        <f t="shared" si="13"/>
        <v>1.72E-2</v>
      </c>
    </row>
    <row r="869" spans="1:3" x14ac:dyDescent="0.2">
      <c r="A869" s="2">
        <v>43732</v>
      </c>
      <c r="B869">
        <v>1.64</v>
      </c>
      <c r="C869" s="11">
        <f t="shared" si="13"/>
        <v>1.6399999999999998E-2</v>
      </c>
    </row>
    <row r="870" spans="1:3" x14ac:dyDescent="0.2">
      <c r="A870" s="2">
        <v>43733</v>
      </c>
      <c r="B870">
        <v>1.73</v>
      </c>
      <c r="C870" s="11">
        <f t="shared" si="13"/>
        <v>1.7299999999999999E-2</v>
      </c>
    </row>
    <row r="871" spans="1:3" x14ac:dyDescent="0.2">
      <c r="A871" s="2">
        <v>43734</v>
      </c>
      <c r="B871">
        <v>1.7</v>
      </c>
      <c r="C871" s="11">
        <f t="shared" si="13"/>
        <v>1.7000000000000001E-2</v>
      </c>
    </row>
    <row r="872" spans="1:3" x14ac:dyDescent="0.2">
      <c r="A872" s="2">
        <v>43735</v>
      </c>
      <c r="B872">
        <v>1.69</v>
      </c>
      <c r="C872" s="11">
        <f t="shared" si="13"/>
        <v>1.6899999999999998E-2</v>
      </c>
    </row>
    <row r="873" spans="1:3" x14ac:dyDescent="0.2">
      <c r="A873" s="2">
        <v>43738</v>
      </c>
      <c r="B873">
        <v>1.68</v>
      </c>
      <c r="C873" s="11">
        <f t="shared" si="13"/>
        <v>1.6799999999999999E-2</v>
      </c>
    </row>
    <row r="874" spans="1:3" x14ac:dyDescent="0.2">
      <c r="A874" s="2">
        <v>43739</v>
      </c>
      <c r="B874">
        <v>1.65</v>
      </c>
      <c r="C874" s="11">
        <f t="shared" si="13"/>
        <v>1.6500000000000001E-2</v>
      </c>
    </row>
    <row r="875" spans="1:3" x14ac:dyDescent="0.2">
      <c r="A875" s="2">
        <v>43740</v>
      </c>
      <c r="B875">
        <v>1.6</v>
      </c>
      <c r="C875" s="11">
        <f t="shared" si="13"/>
        <v>1.6E-2</v>
      </c>
    </row>
    <row r="876" spans="1:3" x14ac:dyDescent="0.2">
      <c r="A876" s="2">
        <v>43741</v>
      </c>
      <c r="B876">
        <v>1.54</v>
      </c>
      <c r="C876" s="11">
        <f t="shared" si="13"/>
        <v>1.54E-2</v>
      </c>
    </row>
    <row r="877" spans="1:3" x14ac:dyDescent="0.2">
      <c r="A877" s="2">
        <v>43742</v>
      </c>
      <c r="B877">
        <v>1.52</v>
      </c>
      <c r="C877" s="11">
        <f t="shared" si="13"/>
        <v>1.52E-2</v>
      </c>
    </row>
    <row r="878" spans="1:3" x14ac:dyDescent="0.2">
      <c r="A878" s="2">
        <v>43745</v>
      </c>
      <c r="B878">
        <v>1.56</v>
      </c>
      <c r="C878" s="11">
        <f t="shared" si="13"/>
        <v>1.5600000000000001E-2</v>
      </c>
    </row>
    <row r="879" spans="1:3" x14ac:dyDescent="0.2">
      <c r="A879" s="2">
        <v>43746</v>
      </c>
      <c r="B879">
        <v>1.54</v>
      </c>
      <c r="C879" s="11">
        <f t="shared" si="13"/>
        <v>1.54E-2</v>
      </c>
    </row>
    <row r="880" spans="1:3" x14ac:dyDescent="0.2">
      <c r="A880" s="2">
        <v>43747</v>
      </c>
      <c r="B880">
        <v>1.59</v>
      </c>
      <c r="C880" s="11">
        <f t="shared" si="13"/>
        <v>1.5900000000000001E-2</v>
      </c>
    </row>
    <row r="881" spans="1:3" x14ac:dyDescent="0.2">
      <c r="A881" s="2">
        <v>43748</v>
      </c>
      <c r="B881">
        <v>1.67</v>
      </c>
      <c r="C881" s="11">
        <f t="shared" si="13"/>
        <v>1.67E-2</v>
      </c>
    </row>
    <row r="882" spans="1:3" x14ac:dyDescent="0.2">
      <c r="A882" s="2">
        <v>43749</v>
      </c>
      <c r="B882">
        <v>1.76</v>
      </c>
      <c r="C882" s="11">
        <f t="shared" si="13"/>
        <v>1.7600000000000001E-2</v>
      </c>
    </row>
    <row r="883" spans="1:3" x14ac:dyDescent="0.2">
      <c r="A883" s="2">
        <v>43753</v>
      </c>
      <c r="B883">
        <v>1.77</v>
      </c>
      <c r="C883" s="11">
        <f t="shared" si="13"/>
        <v>1.77E-2</v>
      </c>
    </row>
    <row r="884" spans="1:3" x14ac:dyDescent="0.2">
      <c r="A884" s="2">
        <v>43754</v>
      </c>
      <c r="B884">
        <v>1.75</v>
      </c>
      <c r="C884" s="11">
        <f t="shared" si="13"/>
        <v>1.7500000000000002E-2</v>
      </c>
    </row>
    <row r="885" spans="1:3" x14ac:dyDescent="0.2">
      <c r="A885" s="2">
        <v>43755</v>
      </c>
      <c r="B885">
        <v>1.76</v>
      </c>
      <c r="C885" s="11">
        <f t="shared" si="13"/>
        <v>1.7600000000000001E-2</v>
      </c>
    </row>
    <row r="886" spans="1:3" x14ac:dyDescent="0.2">
      <c r="A886" s="2">
        <v>43756</v>
      </c>
      <c r="B886">
        <v>1.76</v>
      </c>
      <c r="C886" s="11">
        <f t="shared" si="13"/>
        <v>1.7600000000000001E-2</v>
      </c>
    </row>
    <row r="887" spans="1:3" x14ac:dyDescent="0.2">
      <c r="A887" s="2">
        <v>43759</v>
      </c>
      <c r="B887">
        <v>1.8</v>
      </c>
      <c r="C887" s="11">
        <f t="shared" si="13"/>
        <v>1.8000000000000002E-2</v>
      </c>
    </row>
    <row r="888" spans="1:3" x14ac:dyDescent="0.2">
      <c r="A888" s="2">
        <v>43760</v>
      </c>
      <c r="B888">
        <v>1.78</v>
      </c>
      <c r="C888" s="11">
        <f t="shared" si="13"/>
        <v>1.78E-2</v>
      </c>
    </row>
    <row r="889" spans="1:3" x14ac:dyDescent="0.2">
      <c r="A889" s="2">
        <v>43761</v>
      </c>
      <c r="B889">
        <v>1.77</v>
      </c>
      <c r="C889" s="11">
        <f t="shared" si="13"/>
        <v>1.77E-2</v>
      </c>
    </row>
    <row r="890" spans="1:3" x14ac:dyDescent="0.2">
      <c r="A890" s="2">
        <v>43762</v>
      </c>
      <c r="B890">
        <v>1.77</v>
      </c>
      <c r="C890" s="11">
        <f t="shared" si="13"/>
        <v>1.77E-2</v>
      </c>
    </row>
    <row r="891" spans="1:3" x14ac:dyDescent="0.2">
      <c r="A891" s="2">
        <v>43763</v>
      </c>
      <c r="B891">
        <v>1.8</v>
      </c>
      <c r="C891" s="11">
        <f t="shared" si="13"/>
        <v>1.8000000000000002E-2</v>
      </c>
    </row>
    <row r="892" spans="1:3" x14ac:dyDescent="0.2">
      <c r="A892" s="2">
        <v>43766</v>
      </c>
      <c r="B892">
        <v>1.85</v>
      </c>
      <c r="C892" s="11">
        <f t="shared" si="13"/>
        <v>1.8500000000000003E-2</v>
      </c>
    </row>
    <row r="893" spans="1:3" x14ac:dyDescent="0.2">
      <c r="A893" s="2">
        <v>43767</v>
      </c>
      <c r="B893">
        <v>1.84</v>
      </c>
      <c r="C893" s="11">
        <f t="shared" si="13"/>
        <v>1.84E-2</v>
      </c>
    </row>
    <row r="894" spans="1:3" x14ac:dyDescent="0.2">
      <c r="A894" s="2">
        <v>43768</v>
      </c>
      <c r="B894">
        <v>1.78</v>
      </c>
      <c r="C894" s="11">
        <f t="shared" si="13"/>
        <v>1.78E-2</v>
      </c>
    </row>
    <row r="895" spans="1:3" x14ac:dyDescent="0.2">
      <c r="A895" s="2">
        <v>43769</v>
      </c>
      <c r="B895">
        <v>1.69</v>
      </c>
      <c r="C895" s="11">
        <f t="shared" si="13"/>
        <v>1.6899999999999998E-2</v>
      </c>
    </row>
    <row r="896" spans="1:3" x14ac:dyDescent="0.2">
      <c r="A896" s="2">
        <v>43770</v>
      </c>
      <c r="B896">
        <v>1.73</v>
      </c>
      <c r="C896" s="11">
        <f t="shared" si="13"/>
        <v>1.7299999999999999E-2</v>
      </c>
    </row>
    <row r="897" spans="1:3" x14ac:dyDescent="0.2">
      <c r="A897" s="2">
        <v>43773</v>
      </c>
      <c r="B897">
        <v>1.79</v>
      </c>
      <c r="C897" s="11">
        <f t="shared" si="13"/>
        <v>1.7899999999999999E-2</v>
      </c>
    </row>
    <row r="898" spans="1:3" x14ac:dyDescent="0.2">
      <c r="A898" s="2">
        <v>43774</v>
      </c>
      <c r="B898">
        <v>1.86</v>
      </c>
      <c r="C898" s="11">
        <f t="shared" si="13"/>
        <v>1.8600000000000002E-2</v>
      </c>
    </row>
    <row r="899" spans="1:3" x14ac:dyDescent="0.2">
      <c r="A899" s="2">
        <v>43775</v>
      </c>
      <c r="B899">
        <v>1.81</v>
      </c>
      <c r="C899" s="11">
        <f t="shared" ref="C899:C962" si="14">B899/100</f>
        <v>1.8100000000000002E-2</v>
      </c>
    </row>
    <row r="900" spans="1:3" x14ac:dyDescent="0.2">
      <c r="A900" s="2">
        <v>43776</v>
      </c>
      <c r="B900">
        <v>1.92</v>
      </c>
      <c r="C900" s="11">
        <f t="shared" si="14"/>
        <v>1.9199999999999998E-2</v>
      </c>
    </row>
    <row r="901" spans="1:3" x14ac:dyDescent="0.2">
      <c r="A901" s="2">
        <v>43777</v>
      </c>
      <c r="B901">
        <v>1.94</v>
      </c>
      <c r="C901" s="11">
        <f t="shared" si="14"/>
        <v>1.9400000000000001E-2</v>
      </c>
    </row>
    <row r="902" spans="1:3" x14ac:dyDescent="0.2">
      <c r="A902" s="2">
        <v>43781</v>
      </c>
      <c r="B902">
        <v>1.92</v>
      </c>
      <c r="C902" s="11">
        <f t="shared" si="14"/>
        <v>1.9199999999999998E-2</v>
      </c>
    </row>
    <row r="903" spans="1:3" x14ac:dyDescent="0.2">
      <c r="A903" s="2">
        <v>43782</v>
      </c>
      <c r="B903">
        <v>1.88</v>
      </c>
      <c r="C903" s="11">
        <f t="shared" si="14"/>
        <v>1.8799999999999997E-2</v>
      </c>
    </row>
    <row r="904" spans="1:3" x14ac:dyDescent="0.2">
      <c r="A904" s="2">
        <v>43783</v>
      </c>
      <c r="B904">
        <v>1.82</v>
      </c>
      <c r="C904" s="11">
        <f t="shared" si="14"/>
        <v>1.8200000000000001E-2</v>
      </c>
    </row>
    <row r="905" spans="1:3" x14ac:dyDescent="0.2">
      <c r="A905" s="2">
        <v>43784</v>
      </c>
      <c r="B905">
        <v>1.84</v>
      </c>
      <c r="C905" s="11">
        <f t="shared" si="14"/>
        <v>1.84E-2</v>
      </c>
    </row>
    <row r="906" spans="1:3" x14ac:dyDescent="0.2">
      <c r="A906" s="2">
        <v>43787</v>
      </c>
      <c r="B906">
        <v>1.81</v>
      </c>
      <c r="C906" s="11">
        <f t="shared" si="14"/>
        <v>1.8100000000000002E-2</v>
      </c>
    </row>
    <row r="907" spans="1:3" x14ac:dyDescent="0.2">
      <c r="A907" s="2">
        <v>43788</v>
      </c>
      <c r="B907">
        <v>1.79</v>
      </c>
      <c r="C907" s="11">
        <f t="shared" si="14"/>
        <v>1.7899999999999999E-2</v>
      </c>
    </row>
    <row r="908" spans="1:3" x14ac:dyDescent="0.2">
      <c r="A908" s="2">
        <v>43789</v>
      </c>
      <c r="B908">
        <v>1.73</v>
      </c>
      <c r="C908" s="11">
        <f t="shared" si="14"/>
        <v>1.7299999999999999E-2</v>
      </c>
    </row>
    <row r="909" spans="1:3" x14ac:dyDescent="0.2">
      <c r="A909" s="2">
        <v>43790</v>
      </c>
      <c r="B909">
        <v>1.77</v>
      </c>
      <c r="C909" s="11">
        <f t="shared" si="14"/>
        <v>1.77E-2</v>
      </c>
    </row>
    <row r="910" spans="1:3" x14ac:dyDescent="0.2">
      <c r="A910" s="2">
        <v>43791</v>
      </c>
      <c r="B910">
        <v>1.77</v>
      </c>
      <c r="C910" s="11">
        <f t="shared" si="14"/>
        <v>1.77E-2</v>
      </c>
    </row>
    <row r="911" spans="1:3" x14ac:dyDescent="0.2">
      <c r="A911" s="2">
        <v>43794</v>
      </c>
      <c r="B911">
        <v>1.76</v>
      </c>
      <c r="C911" s="11">
        <f t="shared" si="14"/>
        <v>1.7600000000000001E-2</v>
      </c>
    </row>
    <row r="912" spans="1:3" x14ac:dyDescent="0.2">
      <c r="A912" s="2">
        <v>43795</v>
      </c>
      <c r="B912">
        <v>1.74</v>
      </c>
      <c r="C912" s="11">
        <f t="shared" si="14"/>
        <v>1.7399999999999999E-2</v>
      </c>
    </row>
    <row r="913" spans="1:3" x14ac:dyDescent="0.2">
      <c r="A913" s="2">
        <v>43796</v>
      </c>
      <c r="B913">
        <v>1.77</v>
      </c>
      <c r="C913" s="11">
        <f t="shared" si="14"/>
        <v>1.77E-2</v>
      </c>
    </row>
    <row r="914" spans="1:3" x14ac:dyDescent="0.2">
      <c r="A914" s="2">
        <v>43798</v>
      </c>
      <c r="B914">
        <v>1.78</v>
      </c>
      <c r="C914" s="11">
        <f t="shared" si="14"/>
        <v>1.78E-2</v>
      </c>
    </row>
    <row r="915" spans="1:3" x14ac:dyDescent="0.2">
      <c r="A915" s="2">
        <v>43801</v>
      </c>
      <c r="B915">
        <v>1.83</v>
      </c>
      <c r="C915" s="11">
        <f t="shared" si="14"/>
        <v>1.83E-2</v>
      </c>
    </row>
    <row r="916" spans="1:3" x14ac:dyDescent="0.2">
      <c r="A916" s="2">
        <v>43802</v>
      </c>
      <c r="B916">
        <v>1.72</v>
      </c>
      <c r="C916" s="11">
        <f t="shared" si="14"/>
        <v>1.72E-2</v>
      </c>
    </row>
    <row r="917" spans="1:3" x14ac:dyDescent="0.2">
      <c r="A917" s="2">
        <v>43803</v>
      </c>
      <c r="B917">
        <v>1.77</v>
      </c>
      <c r="C917" s="11">
        <f t="shared" si="14"/>
        <v>1.77E-2</v>
      </c>
    </row>
    <row r="918" spans="1:3" x14ac:dyDescent="0.2">
      <c r="A918" s="2">
        <v>43804</v>
      </c>
      <c r="B918">
        <v>1.8</v>
      </c>
      <c r="C918" s="11">
        <f t="shared" si="14"/>
        <v>1.8000000000000002E-2</v>
      </c>
    </row>
    <row r="919" spans="1:3" x14ac:dyDescent="0.2">
      <c r="A919" s="2">
        <v>43805</v>
      </c>
      <c r="B919">
        <v>1.84</v>
      </c>
      <c r="C919" s="11">
        <f t="shared" si="14"/>
        <v>1.84E-2</v>
      </c>
    </row>
    <row r="920" spans="1:3" x14ac:dyDescent="0.2">
      <c r="A920" s="2">
        <v>43808</v>
      </c>
      <c r="B920">
        <v>1.83</v>
      </c>
      <c r="C920" s="11">
        <f t="shared" si="14"/>
        <v>1.83E-2</v>
      </c>
    </row>
    <row r="921" spans="1:3" x14ac:dyDescent="0.2">
      <c r="A921" s="2">
        <v>43809</v>
      </c>
      <c r="B921">
        <v>1.85</v>
      </c>
      <c r="C921" s="11">
        <f t="shared" si="14"/>
        <v>1.8500000000000003E-2</v>
      </c>
    </row>
    <row r="922" spans="1:3" x14ac:dyDescent="0.2">
      <c r="A922" s="2">
        <v>43810</v>
      </c>
      <c r="B922">
        <v>1.79</v>
      </c>
      <c r="C922" s="11">
        <f t="shared" si="14"/>
        <v>1.7899999999999999E-2</v>
      </c>
    </row>
    <row r="923" spans="1:3" x14ac:dyDescent="0.2">
      <c r="A923" s="2">
        <v>43811</v>
      </c>
      <c r="B923">
        <v>1.9</v>
      </c>
      <c r="C923" s="11">
        <f t="shared" si="14"/>
        <v>1.9E-2</v>
      </c>
    </row>
    <row r="924" spans="1:3" x14ac:dyDescent="0.2">
      <c r="A924" s="2">
        <v>43812</v>
      </c>
      <c r="B924">
        <v>1.82</v>
      </c>
      <c r="C924" s="11">
        <f t="shared" si="14"/>
        <v>1.8200000000000001E-2</v>
      </c>
    </row>
    <row r="925" spans="1:3" x14ac:dyDescent="0.2">
      <c r="A925" s="2">
        <v>43815</v>
      </c>
      <c r="B925">
        <v>1.89</v>
      </c>
      <c r="C925" s="11">
        <f t="shared" si="14"/>
        <v>1.89E-2</v>
      </c>
    </row>
    <row r="926" spans="1:3" x14ac:dyDescent="0.2">
      <c r="A926" s="2">
        <v>43816</v>
      </c>
      <c r="B926">
        <v>1.89</v>
      </c>
      <c r="C926" s="11">
        <f t="shared" si="14"/>
        <v>1.89E-2</v>
      </c>
    </row>
    <row r="927" spans="1:3" x14ac:dyDescent="0.2">
      <c r="A927" s="2">
        <v>43817</v>
      </c>
      <c r="B927">
        <v>1.92</v>
      </c>
      <c r="C927" s="11">
        <f t="shared" si="14"/>
        <v>1.9199999999999998E-2</v>
      </c>
    </row>
    <row r="928" spans="1:3" x14ac:dyDescent="0.2">
      <c r="A928" s="2">
        <v>43818</v>
      </c>
      <c r="B928">
        <v>1.92</v>
      </c>
      <c r="C928" s="11">
        <f t="shared" si="14"/>
        <v>1.9199999999999998E-2</v>
      </c>
    </row>
    <row r="929" spans="1:3" x14ac:dyDescent="0.2">
      <c r="A929" s="2">
        <v>43819</v>
      </c>
      <c r="B929">
        <v>1.92</v>
      </c>
      <c r="C929" s="11">
        <f t="shared" si="14"/>
        <v>1.9199999999999998E-2</v>
      </c>
    </row>
    <row r="930" spans="1:3" x14ac:dyDescent="0.2">
      <c r="A930" s="2">
        <v>43822</v>
      </c>
      <c r="B930">
        <v>1.93</v>
      </c>
      <c r="C930" s="11">
        <f t="shared" si="14"/>
        <v>1.9299999999999998E-2</v>
      </c>
    </row>
    <row r="931" spans="1:3" x14ac:dyDescent="0.2">
      <c r="A931" s="2">
        <v>43823</v>
      </c>
      <c r="B931">
        <v>1.9</v>
      </c>
      <c r="C931" s="11">
        <f t="shared" si="14"/>
        <v>1.9E-2</v>
      </c>
    </row>
    <row r="932" spans="1:3" x14ac:dyDescent="0.2">
      <c r="A932" s="2">
        <v>43825</v>
      </c>
      <c r="B932">
        <v>1.9</v>
      </c>
      <c r="C932" s="11">
        <f t="shared" si="14"/>
        <v>1.9E-2</v>
      </c>
    </row>
    <row r="933" spans="1:3" x14ac:dyDescent="0.2">
      <c r="A933" s="2">
        <v>43826</v>
      </c>
      <c r="B933">
        <v>1.88</v>
      </c>
      <c r="C933" s="11">
        <f t="shared" si="14"/>
        <v>1.8799999999999997E-2</v>
      </c>
    </row>
    <row r="934" spans="1:3" x14ac:dyDescent="0.2">
      <c r="A934" s="2">
        <v>43829</v>
      </c>
      <c r="B934">
        <v>1.9</v>
      </c>
      <c r="C934" s="11">
        <f t="shared" si="14"/>
        <v>1.9E-2</v>
      </c>
    </row>
    <row r="935" spans="1:3" x14ac:dyDescent="0.2">
      <c r="A935" s="2">
        <v>43830</v>
      </c>
      <c r="B935">
        <v>1.92</v>
      </c>
      <c r="C935" s="11">
        <f t="shared" si="14"/>
        <v>1.9199999999999998E-2</v>
      </c>
    </row>
    <row r="936" spans="1:3" x14ac:dyDescent="0.2">
      <c r="A936" s="2">
        <v>43832</v>
      </c>
      <c r="B936">
        <v>1.88</v>
      </c>
      <c r="C936" s="11">
        <f t="shared" si="14"/>
        <v>1.8799999999999997E-2</v>
      </c>
    </row>
    <row r="937" spans="1:3" x14ac:dyDescent="0.2">
      <c r="A937" s="2">
        <v>43833</v>
      </c>
      <c r="B937">
        <v>1.8</v>
      </c>
      <c r="C937" s="11">
        <f t="shared" si="14"/>
        <v>1.8000000000000002E-2</v>
      </c>
    </row>
    <row r="938" spans="1:3" x14ac:dyDescent="0.2">
      <c r="A938" s="2">
        <v>43836</v>
      </c>
      <c r="B938">
        <v>1.81</v>
      </c>
      <c r="C938" s="11">
        <f t="shared" si="14"/>
        <v>1.8100000000000002E-2</v>
      </c>
    </row>
    <row r="939" spans="1:3" x14ac:dyDescent="0.2">
      <c r="A939" s="2">
        <v>43837</v>
      </c>
      <c r="B939">
        <v>1.83</v>
      </c>
      <c r="C939" s="11">
        <f t="shared" si="14"/>
        <v>1.83E-2</v>
      </c>
    </row>
    <row r="940" spans="1:3" x14ac:dyDescent="0.2">
      <c r="A940" s="2">
        <v>43838</v>
      </c>
      <c r="B940">
        <v>1.87</v>
      </c>
      <c r="C940" s="11">
        <f t="shared" si="14"/>
        <v>1.8700000000000001E-2</v>
      </c>
    </row>
    <row r="941" spans="1:3" x14ac:dyDescent="0.2">
      <c r="A941" s="2">
        <v>43839</v>
      </c>
      <c r="B941">
        <v>1.85</v>
      </c>
      <c r="C941" s="11">
        <f t="shared" si="14"/>
        <v>1.8500000000000003E-2</v>
      </c>
    </row>
    <row r="942" spans="1:3" x14ac:dyDescent="0.2">
      <c r="A942" s="2">
        <v>43840</v>
      </c>
      <c r="B942">
        <v>1.83</v>
      </c>
      <c r="C942" s="11">
        <f t="shared" si="14"/>
        <v>1.83E-2</v>
      </c>
    </row>
    <row r="943" spans="1:3" x14ac:dyDescent="0.2">
      <c r="A943" s="2">
        <v>43843</v>
      </c>
      <c r="B943">
        <v>1.85</v>
      </c>
      <c r="C943" s="11">
        <f t="shared" si="14"/>
        <v>1.8500000000000003E-2</v>
      </c>
    </row>
    <row r="944" spans="1:3" x14ac:dyDescent="0.2">
      <c r="A944" s="2">
        <v>43844</v>
      </c>
      <c r="B944">
        <v>1.82</v>
      </c>
      <c r="C944" s="11">
        <f t="shared" si="14"/>
        <v>1.8200000000000001E-2</v>
      </c>
    </row>
    <row r="945" spans="1:3" x14ac:dyDescent="0.2">
      <c r="A945" s="2">
        <v>43845</v>
      </c>
      <c r="B945">
        <v>1.79</v>
      </c>
      <c r="C945" s="11">
        <f t="shared" si="14"/>
        <v>1.7899999999999999E-2</v>
      </c>
    </row>
    <row r="946" spans="1:3" x14ac:dyDescent="0.2">
      <c r="A946" s="2">
        <v>43846</v>
      </c>
      <c r="B946">
        <v>1.81</v>
      </c>
      <c r="C946" s="11">
        <f t="shared" si="14"/>
        <v>1.8100000000000002E-2</v>
      </c>
    </row>
    <row r="947" spans="1:3" x14ac:dyDescent="0.2">
      <c r="A947" s="2">
        <v>43847</v>
      </c>
      <c r="B947">
        <v>1.84</v>
      </c>
      <c r="C947" s="11">
        <f t="shared" si="14"/>
        <v>1.84E-2</v>
      </c>
    </row>
    <row r="948" spans="1:3" x14ac:dyDescent="0.2">
      <c r="A948" s="2">
        <v>43851</v>
      </c>
      <c r="B948">
        <v>1.78</v>
      </c>
      <c r="C948" s="11">
        <f t="shared" si="14"/>
        <v>1.78E-2</v>
      </c>
    </row>
    <row r="949" spans="1:3" x14ac:dyDescent="0.2">
      <c r="A949" s="2">
        <v>43852</v>
      </c>
      <c r="B949">
        <v>1.77</v>
      </c>
      <c r="C949" s="11">
        <f t="shared" si="14"/>
        <v>1.77E-2</v>
      </c>
    </row>
    <row r="950" spans="1:3" x14ac:dyDescent="0.2">
      <c r="A950" s="2">
        <v>43853</v>
      </c>
      <c r="B950">
        <v>1.74</v>
      </c>
      <c r="C950" s="11">
        <f t="shared" si="14"/>
        <v>1.7399999999999999E-2</v>
      </c>
    </row>
    <row r="951" spans="1:3" x14ac:dyDescent="0.2">
      <c r="A951" s="2">
        <v>43854</v>
      </c>
      <c r="B951">
        <v>1.7</v>
      </c>
      <c r="C951" s="11">
        <f t="shared" si="14"/>
        <v>1.7000000000000001E-2</v>
      </c>
    </row>
    <row r="952" spans="1:3" x14ac:dyDescent="0.2">
      <c r="A952" s="2">
        <v>43857</v>
      </c>
      <c r="B952">
        <v>1.61</v>
      </c>
      <c r="C952" s="11">
        <f t="shared" si="14"/>
        <v>1.61E-2</v>
      </c>
    </row>
    <row r="953" spans="1:3" x14ac:dyDescent="0.2">
      <c r="A953" s="2">
        <v>43858</v>
      </c>
      <c r="B953">
        <v>1.65</v>
      </c>
      <c r="C953" s="11">
        <f t="shared" si="14"/>
        <v>1.6500000000000001E-2</v>
      </c>
    </row>
    <row r="954" spans="1:3" x14ac:dyDescent="0.2">
      <c r="A954" s="2">
        <v>43859</v>
      </c>
      <c r="B954">
        <v>1.6</v>
      </c>
      <c r="C954" s="11">
        <f t="shared" si="14"/>
        <v>1.6E-2</v>
      </c>
    </row>
    <row r="955" spans="1:3" x14ac:dyDescent="0.2">
      <c r="A955" s="2">
        <v>43860</v>
      </c>
      <c r="B955">
        <v>1.57</v>
      </c>
      <c r="C955" s="11">
        <f t="shared" si="14"/>
        <v>1.5700000000000002E-2</v>
      </c>
    </row>
    <row r="956" spans="1:3" x14ac:dyDescent="0.2">
      <c r="A956" s="2">
        <v>43861</v>
      </c>
      <c r="B956">
        <v>1.51</v>
      </c>
      <c r="C956" s="11">
        <f t="shared" si="14"/>
        <v>1.5100000000000001E-2</v>
      </c>
    </row>
    <row r="957" spans="1:3" x14ac:dyDescent="0.2">
      <c r="A957" s="2">
        <v>43864</v>
      </c>
      <c r="B957">
        <v>1.54</v>
      </c>
      <c r="C957" s="11">
        <f t="shared" si="14"/>
        <v>1.54E-2</v>
      </c>
    </row>
    <row r="958" spans="1:3" x14ac:dyDescent="0.2">
      <c r="A958" s="2">
        <v>43865</v>
      </c>
      <c r="B958">
        <v>1.61</v>
      </c>
      <c r="C958" s="11">
        <f t="shared" si="14"/>
        <v>1.61E-2</v>
      </c>
    </row>
    <row r="959" spans="1:3" x14ac:dyDescent="0.2">
      <c r="A959" s="2">
        <v>43866</v>
      </c>
      <c r="B959">
        <v>1.66</v>
      </c>
      <c r="C959" s="11">
        <f t="shared" si="14"/>
        <v>1.66E-2</v>
      </c>
    </row>
    <row r="960" spans="1:3" x14ac:dyDescent="0.2">
      <c r="A960" s="2">
        <v>43867</v>
      </c>
      <c r="B960">
        <v>1.65</v>
      </c>
      <c r="C960" s="11">
        <f t="shared" si="14"/>
        <v>1.6500000000000001E-2</v>
      </c>
    </row>
    <row r="961" spans="1:3" x14ac:dyDescent="0.2">
      <c r="A961" s="2">
        <v>43868</v>
      </c>
      <c r="B961">
        <v>1.59</v>
      </c>
      <c r="C961" s="11">
        <f t="shared" si="14"/>
        <v>1.5900000000000001E-2</v>
      </c>
    </row>
    <row r="962" spans="1:3" x14ac:dyDescent="0.2">
      <c r="A962" s="2">
        <v>43871</v>
      </c>
      <c r="B962">
        <v>1.56</v>
      </c>
      <c r="C962" s="11">
        <f t="shared" si="14"/>
        <v>1.5600000000000001E-2</v>
      </c>
    </row>
    <row r="963" spans="1:3" x14ac:dyDescent="0.2">
      <c r="A963" s="2">
        <v>43872</v>
      </c>
      <c r="B963">
        <v>1.59</v>
      </c>
      <c r="C963" s="11">
        <f t="shared" ref="C963:C1026" si="15">B963/100</f>
        <v>1.5900000000000001E-2</v>
      </c>
    </row>
    <row r="964" spans="1:3" x14ac:dyDescent="0.2">
      <c r="A964" s="2">
        <v>43873</v>
      </c>
      <c r="B964">
        <v>1.62</v>
      </c>
      <c r="C964" s="11">
        <f t="shared" si="15"/>
        <v>1.6200000000000003E-2</v>
      </c>
    </row>
    <row r="965" spans="1:3" x14ac:dyDescent="0.2">
      <c r="A965" s="2">
        <v>43874</v>
      </c>
      <c r="B965">
        <v>1.61</v>
      </c>
      <c r="C965" s="11">
        <f t="shared" si="15"/>
        <v>1.61E-2</v>
      </c>
    </row>
    <row r="966" spans="1:3" x14ac:dyDescent="0.2">
      <c r="A966" s="2">
        <v>43875</v>
      </c>
      <c r="B966">
        <v>1.59</v>
      </c>
      <c r="C966" s="11">
        <f t="shared" si="15"/>
        <v>1.5900000000000001E-2</v>
      </c>
    </row>
    <row r="967" spans="1:3" x14ac:dyDescent="0.2">
      <c r="A967" s="2">
        <v>43879</v>
      </c>
      <c r="B967">
        <v>1.55</v>
      </c>
      <c r="C967" s="11">
        <f t="shared" si="15"/>
        <v>1.55E-2</v>
      </c>
    </row>
    <row r="968" spans="1:3" x14ac:dyDescent="0.2">
      <c r="A968" s="2">
        <v>43880</v>
      </c>
      <c r="B968">
        <v>1.56</v>
      </c>
      <c r="C968" s="11">
        <f t="shared" si="15"/>
        <v>1.5600000000000001E-2</v>
      </c>
    </row>
    <row r="969" spans="1:3" x14ac:dyDescent="0.2">
      <c r="A969" s="2">
        <v>43881</v>
      </c>
      <c r="B969">
        <v>1.52</v>
      </c>
      <c r="C969" s="11">
        <f t="shared" si="15"/>
        <v>1.52E-2</v>
      </c>
    </row>
    <row r="970" spans="1:3" x14ac:dyDescent="0.2">
      <c r="A970" s="2">
        <v>43882</v>
      </c>
      <c r="B970">
        <v>1.46</v>
      </c>
      <c r="C970" s="11">
        <f t="shared" si="15"/>
        <v>1.46E-2</v>
      </c>
    </row>
    <row r="971" spans="1:3" x14ac:dyDescent="0.2">
      <c r="A971" s="2">
        <v>43885</v>
      </c>
      <c r="B971">
        <v>1.38</v>
      </c>
      <c r="C971" s="11">
        <f t="shared" si="15"/>
        <v>1.38E-2</v>
      </c>
    </row>
    <row r="972" spans="1:3" x14ac:dyDescent="0.2">
      <c r="A972" s="2">
        <v>43886</v>
      </c>
      <c r="B972">
        <v>1.33</v>
      </c>
      <c r="C972" s="11">
        <f t="shared" si="15"/>
        <v>1.3300000000000001E-2</v>
      </c>
    </row>
    <row r="973" spans="1:3" x14ac:dyDescent="0.2">
      <c r="A973" s="2">
        <v>43887</v>
      </c>
      <c r="B973">
        <v>1.33</v>
      </c>
      <c r="C973" s="11">
        <f t="shared" si="15"/>
        <v>1.3300000000000001E-2</v>
      </c>
    </row>
    <row r="974" spans="1:3" x14ac:dyDescent="0.2">
      <c r="A974" s="2">
        <v>43888</v>
      </c>
      <c r="B974">
        <v>1.3</v>
      </c>
      <c r="C974" s="11">
        <f t="shared" si="15"/>
        <v>1.3000000000000001E-2</v>
      </c>
    </row>
    <row r="975" spans="1:3" x14ac:dyDescent="0.2">
      <c r="A975" s="2">
        <v>43889</v>
      </c>
      <c r="B975">
        <v>1.1299999999999999</v>
      </c>
      <c r="C975" s="11">
        <f t="shared" si="15"/>
        <v>1.1299999999999999E-2</v>
      </c>
    </row>
    <row r="976" spans="1:3" x14ac:dyDescent="0.2">
      <c r="A976" s="2">
        <v>43892</v>
      </c>
      <c r="B976">
        <v>1.1000000000000001</v>
      </c>
      <c r="C976" s="11">
        <f t="shared" si="15"/>
        <v>1.1000000000000001E-2</v>
      </c>
    </row>
    <row r="977" spans="1:3" x14ac:dyDescent="0.2">
      <c r="A977" s="2">
        <v>43893</v>
      </c>
      <c r="B977">
        <v>1.02</v>
      </c>
      <c r="C977" s="11">
        <f t="shared" si="15"/>
        <v>1.0200000000000001E-2</v>
      </c>
    </row>
    <row r="978" spans="1:3" x14ac:dyDescent="0.2">
      <c r="A978" s="2">
        <v>43894</v>
      </c>
      <c r="B978">
        <v>1.02</v>
      </c>
      <c r="C978" s="11">
        <f t="shared" si="15"/>
        <v>1.0200000000000001E-2</v>
      </c>
    </row>
    <row r="979" spans="1:3" x14ac:dyDescent="0.2">
      <c r="A979" s="2">
        <v>43895</v>
      </c>
      <c r="B979">
        <v>0.92</v>
      </c>
      <c r="C979" s="11">
        <f t="shared" si="15"/>
        <v>9.1999999999999998E-3</v>
      </c>
    </row>
    <row r="980" spans="1:3" x14ac:dyDescent="0.2">
      <c r="A980" s="2">
        <v>43896</v>
      </c>
      <c r="B980">
        <v>0.74</v>
      </c>
      <c r="C980" s="11">
        <f t="shared" si="15"/>
        <v>7.4000000000000003E-3</v>
      </c>
    </row>
    <row r="981" spans="1:3" x14ac:dyDescent="0.2">
      <c r="A981" s="2">
        <v>43899</v>
      </c>
      <c r="B981">
        <v>0.54</v>
      </c>
      <c r="C981" s="11">
        <f t="shared" si="15"/>
        <v>5.4000000000000003E-3</v>
      </c>
    </row>
    <row r="982" spans="1:3" x14ac:dyDescent="0.2">
      <c r="A982" s="2">
        <v>43900</v>
      </c>
      <c r="B982">
        <v>0.76</v>
      </c>
      <c r="C982" s="11">
        <f t="shared" si="15"/>
        <v>7.6E-3</v>
      </c>
    </row>
    <row r="983" spans="1:3" x14ac:dyDescent="0.2">
      <c r="A983" s="2">
        <v>43901</v>
      </c>
      <c r="B983">
        <v>0.82</v>
      </c>
      <c r="C983" s="11">
        <f t="shared" si="15"/>
        <v>8.199999999999999E-3</v>
      </c>
    </row>
    <row r="984" spans="1:3" x14ac:dyDescent="0.2">
      <c r="A984" s="2">
        <v>43902</v>
      </c>
      <c r="B984">
        <v>0.88</v>
      </c>
      <c r="C984" s="11">
        <f t="shared" si="15"/>
        <v>8.8000000000000005E-3</v>
      </c>
    </row>
    <row r="985" spans="1:3" x14ac:dyDescent="0.2">
      <c r="A985" s="2">
        <v>43903</v>
      </c>
      <c r="B985">
        <v>0.94</v>
      </c>
      <c r="C985" s="11">
        <f t="shared" si="15"/>
        <v>9.3999999999999986E-3</v>
      </c>
    </row>
    <row r="986" spans="1:3" x14ac:dyDescent="0.2">
      <c r="A986" s="2">
        <v>43906</v>
      </c>
      <c r="B986">
        <v>0.73</v>
      </c>
      <c r="C986" s="11">
        <f t="shared" si="15"/>
        <v>7.3000000000000001E-3</v>
      </c>
    </row>
    <row r="987" spans="1:3" x14ac:dyDescent="0.2">
      <c r="A987" s="2">
        <v>43907</v>
      </c>
      <c r="B987">
        <v>1.02</v>
      </c>
      <c r="C987" s="11">
        <f t="shared" si="15"/>
        <v>1.0200000000000001E-2</v>
      </c>
    </row>
    <row r="988" spans="1:3" x14ac:dyDescent="0.2">
      <c r="A988" s="2">
        <v>43908</v>
      </c>
      <c r="B988">
        <v>1.18</v>
      </c>
      <c r="C988" s="11">
        <f t="shared" si="15"/>
        <v>1.18E-2</v>
      </c>
    </row>
    <row r="989" spans="1:3" x14ac:dyDescent="0.2">
      <c r="A989" s="2">
        <v>43909</v>
      </c>
      <c r="B989">
        <v>1.1200000000000001</v>
      </c>
      <c r="C989" s="11">
        <f t="shared" si="15"/>
        <v>1.1200000000000002E-2</v>
      </c>
    </row>
    <row r="990" spans="1:3" x14ac:dyDescent="0.2">
      <c r="A990" s="2">
        <v>43910</v>
      </c>
      <c r="B990">
        <v>0.92</v>
      </c>
      <c r="C990" s="11">
        <f t="shared" si="15"/>
        <v>9.1999999999999998E-3</v>
      </c>
    </row>
    <row r="991" spans="1:3" x14ac:dyDescent="0.2">
      <c r="A991" s="2">
        <v>43913</v>
      </c>
      <c r="B991">
        <v>0.76</v>
      </c>
      <c r="C991" s="11">
        <f t="shared" si="15"/>
        <v>7.6E-3</v>
      </c>
    </row>
    <row r="992" spans="1:3" x14ac:dyDescent="0.2">
      <c r="A992" s="2">
        <v>43914</v>
      </c>
      <c r="B992">
        <v>0.84</v>
      </c>
      <c r="C992" s="11">
        <f t="shared" si="15"/>
        <v>8.3999999999999995E-3</v>
      </c>
    </row>
    <row r="993" spans="1:3" x14ac:dyDescent="0.2">
      <c r="A993" s="2">
        <v>43915</v>
      </c>
      <c r="B993">
        <v>0.88</v>
      </c>
      <c r="C993" s="11">
        <f t="shared" si="15"/>
        <v>8.8000000000000005E-3</v>
      </c>
    </row>
    <row r="994" spans="1:3" x14ac:dyDescent="0.2">
      <c r="A994" s="2">
        <v>43916</v>
      </c>
      <c r="B994">
        <v>0.83</v>
      </c>
      <c r="C994" s="11">
        <f t="shared" si="15"/>
        <v>8.3000000000000001E-3</v>
      </c>
    </row>
    <row r="995" spans="1:3" x14ac:dyDescent="0.2">
      <c r="A995" s="2">
        <v>43917</v>
      </c>
      <c r="B995">
        <v>0.72</v>
      </c>
      <c r="C995" s="11">
        <f t="shared" si="15"/>
        <v>7.1999999999999998E-3</v>
      </c>
    </row>
    <row r="996" spans="1:3" x14ac:dyDescent="0.2">
      <c r="A996" s="2">
        <v>43920</v>
      </c>
      <c r="B996">
        <v>0.7</v>
      </c>
      <c r="C996" s="11">
        <f t="shared" si="15"/>
        <v>6.9999999999999993E-3</v>
      </c>
    </row>
    <row r="997" spans="1:3" x14ac:dyDescent="0.2">
      <c r="A997" s="2">
        <v>43921</v>
      </c>
      <c r="B997">
        <v>0.7</v>
      </c>
      <c r="C997" s="11">
        <f t="shared" si="15"/>
        <v>6.9999999999999993E-3</v>
      </c>
    </row>
    <row r="998" spans="1:3" x14ac:dyDescent="0.2">
      <c r="A998" s="2">
        <v>43922</v>
      </c>
      <c r="B998">
        <v>0.62</v>
      </c>
      <c r="C998" s="11">
        <f t="shared" si="15"/>
        <v>6.1999999999999998E-3</v>
      </c>
    </row>
    <row r="999" spans="1:3" x14ac:dyDescent="0.2">
      <c r="A999" s="2">
        <v>43923</v>
      </c>
      <c r="B999">
        <v>0.63</v>
      </c>
      <c r="C999" s="11">
        <f t="shared" si="15"/>
        <v>6.3E-3</v>
      </c>
    </row>
    <row r="1000" spans="1:3" x14ac:dyDescent="0.2">
      <c r="A1000" s="2">
        <v>43924</v>
      </c>
      <c r="B1000">
        <v>0.62</v>
      </c>
      <c r="C1000" s="11">
        <f t="shared" si="15"/>
        <v>6.1999999999999998E-3</v>
      </c>
    </row>
    <row r="1001" spans="1:3" x14ac:dyDescent="0.2">
      <c r="A1001" s="2">
        <v>43927</v>
      </c>
      <c r="B1001">
        <v>0.67</v>
      </c>
      <c r="C1001" s="11">
        <f t="shared" si="15"/>
        <v>6.7000000000000002E-3</v>
      </c>
    </row>
    <row r="1002" spans="1:3" x14ac:dyDescent="0.2">
      <c r="A1002" s="2">
        <v>43928</v>
      </c>
      <c r="B1002">
        <v>0.75</v>
      </c>
      <c r="C1002" s="11">
        <f t="shared" si="15"/>
        <v>7.4999999999999997E-3</v>
      </c>
    </row>
    <row r="1003" spans="1:3" x14ac:dyDescent="0.2">
      <c r="A1003" s="2">
        <v>43929</v>
      </c>
      <c r="B1003">
        <v>0.77</v>
      </c>
      <c r="C1003" s="11">
        <f t="shared" si="15"/>
        <v>7.7000000000000002E-3</v>
      </c>
    </row>
    <row r="1004" spans="1:3" x14ac:dyDescent="0.2">
      <c r="A1004" s="2">
        <v>43930</v>
      </c>
      <c r="B1004">
        <v>0.73</v>
      </c>
      <c r="C1004" s="11">
        <f t="shared" si="15"/>
        <v>7.3000000000000001E-3</v>
      </c>
    </row>
    <row r="1005" spans="1:3" x14ac:dyDescent="0.2">
      <c r="A1005" s="2">
        <v>43934</v>
      </c>
      <c r="B1005">
        <v>0.76</v>
      </c>
      <c r="C1005" s="11">
        <f t="shared" si="15"/>
        <v>7.6E-3</v>
      </c>
    </row>
    <row r="1006" spans="1:3" x14ac:dyDescent="0.2">
      <c r="A1006" s="2">
        <v>43935</v>
      </c>
      <c r="B1006">
        <v>0.76</v>
      </c>
      <c r="C1006" s="11">
        <f t="shared" si="15"/>
        <v>7.6E-3</v>
      </c>
    </row>
    <row r="1007" spans="1:3" x14ac:dyDescent="0.2">
      <c r="A1007" s="2">
        <v>43936</v>
      </c>
      <c r="B1007">
        <v>0.63</v>
      </c>
      <c r="C1007" s="11">
        <f t="shared" si="15"/>
        <v>6.3E-3</v>
      </c>
    </row>
    <row r="1008" spans="1:3" x14ac:dyDescent="0.2">
      <c r="A1008" s="2">
        <v>43937</v>
      </c>
      <c r="B1008">
        <v>0.61</v>
      </c>
      <c r="C1008" s="11">
        <f t="shared" si="15"/>
        <v>6.0999999999999995E-3</v>
      </c>
    </row>
    <row r="1009" spans="1:3" x14ac:dyDescent="0.2">
      <c r="A1009" s="2">
        <v>43938</v>
      </c>
      <c r="B1009">
        <v>0.65</v>
      </c>
      <c r="C1009" s="11">
        <f t="shared" si="15"/>
        <v>6.5000000000000006E-3</v>
      </c>
    </row>
    <row r="1010" spans="1:3" x14ac:dyDescent="0.2">
      <c r="A1010" s="2">
        <v>43941</v>
      </c>
      <c r="B1010">
        <v>0.63</v>
      </c>
      <c r="C1010" s="11">
        <f t="shared" si="15"/>
        <v>6.3E-3</v>
      </c>
    </row>
    <row r="1011" spans="1:3" x14ac:dyDescent="0.2">
      <c r="A1011" s="2">
        <v>43942</v>
      </c>
      <c r="B1011">
        <v>0.57999999999999996</v>
      </c>
      <c r="C1011" s="11">
        <f t="shared" si="15"/>
        <v>5.7999999999999996E-3</v>
      </c>
    </row>
    <row r="1012" spans="1:3" x14ac:dyDescent="0.2">
      <c r="A1012" s="2">
        <v>43943</v>
      </c>
      <c r="B1012">
        <v>0.63</v>
      </c>
      <c r="C1012" s="11">
        <f t="shared" si="15"/>
        <v>6.3E-3</v>
      </c>
    </row>
    <row r="1013" spans="1:3" x14ac:dyDescent="0.2">
      <c r="A1013" s="2">
        <v>43944</v>
      </c>
      <c r="B1013">
        <v>0.61</v>
      </c>
      <c r="C1013" s="11">
        <f t="shared" si="15"/>
        <v>6.0999999999999995E-3</v>
      </c>
    </row>
    <row r="1014" spans="1:3" x14ac:dyDescent="0.2">
      <c r="A1014" s="2">
        <v>43945</v>
      </c>
      <c r="B1014">
        <v>0.6</v>
      </c>
      <c r="C1014" s="11">
        <f t="shared" si="15"/>
        <v>6.0000000000000001E-3</v>
      </c>
    </row>
    <row r="1015" spans="1:3" x14ac:dyDescent="0.2">
      <c r="A1015" s="2">
        <v>43948</v>
      </c>
      <c r="B1015">
        <v>0.67</v>
      </c>
      <c r="C1015" s="11">
        <f t="shared" si="15"/>
        <v>6.7000000000000002E-3</v>
      </c>
    </row>
    <row r="1016" spans="1:3" x14ac:dyDescent="0.2">
      <c r="A1016" s="2">
        <v>43949</v>
      </c>
      <c r="B1016">
        <v>0.62</v>
      </c>
      <c r="C1016" s="11">
        <f t="shared" si="15"/>
        <v>6.1999999999999998E-3</v>
      </c>
    </row>
    <row r="1017" spans="1:3" x14ac:dyDescent="0.2">
      <c r="A1017" s="2">
        <v>43950</v>
      </c>
      <c r="B1017">
        <v>0.63</v>
      </c>
      <c r="C1017" s="11">
        <f t="shared" si="15"/>
        <v>6.3E-3</v>
      </c>
    </row>
    <row r="1018" spans="1:3" x14ac:dyDescent="0.2">
      <c r="A1018" s="2">
        <v>43951</v>
      </c>
      <c r="B1018">
        <v>0.64</v>
      </c>
      <c r="C1018" s="11">
        <f t="shared" si="15"/>
        <v>6.4000000000000003E-3</v>
      </c>
    </row>
    <row r="1019" spans="1:3" x14ac:dyDescent="0.2">
      <c r="A1019" s="2">
        <v>43952</v>
      </c>
      <c r="B1019">
        <v>0.64</v>
      </c>
      <c r="C1019" s="11">
        <f t="shared" si="15"/>
        <v>6.4000000000000003E-3</v>
      </c>
    </row>
    <row r="1020" spans="1:3" x14ac:dyDescent="0.2">
      <c r="A1020" s="2">
        <v>43955</v>
      </c>
      <c r="B1020">
        <v>0.64</v>
      </c>
      <c r="C1020" s="11">
        <f t="shared" si="15"/>
        <v>6.4000000000000003E-3</v>
      </c>
    </row>
    <row r="1021" spans="1:3" x14ac:dyDescent="0.2">
      <c r="A1021" s="2">
        <v>43956</v>
      </c>
      <c r="B1021">
        <v>0.66</v>
      </c>
      <c r="C1021" s="11">
        <f t="shared" si="15"/>
        <v>6.6E-3</v>
      </c>
    </row>
    <row r="1022" spans="1:3" x14ac:dyDescent="0.2">
      <c r="A1022" s="2">
        <v>43957</v>
      </c>
      <c r="B1022">
        <v>0.72</v>
      </c>
      <c r="C1022" s="11">
        <f t="shared" si="15"/>
        <v>7.1999999999999998E-3</v>
      </c>
    </row>
    <row r="1023" spans="1:3" x14ac:dyDescent="0.2">
      <c r="A1023" s="2">
        <v>43958</v>
      </c>
      <c r="B1023">
        <v>0.63</v>
      </c>
      <c r="C1023" s="11">
        <f t="shared" si="15"/>
        <v>6.3E-3</v>
      </c>
    </row>
    <row r="1024" spans="1:3" x14ac:dyDescent="0.2">
      <c r="A1024" s="2">
        <v>43959</v>
      </c>
      <c r="B1024">
        <v>0.69</v>
      </c>
      <c r="C1024" s="11">
        <f t="shared" si="15"/>
        <v>6.8999999999999999E-3</v>
      </c>
    </row>
    <row r="1025" spans="1:3" x14ac:dyDescent="0.2">
      <c r="A1025" s="2">
        <v>43962</v>
      </c>
      <c r="B1025">
        <v>0.73</v>
      </c>
      <c r="C1025" s="11">
        <f t="shared" si="15"/>
        <v>7.3000000000000001E-3</v>
      </c>
    </row>
    <row r="1026" spans="1:3" x14ac:dyDescent="0.2">
      <c r="A1026" s="2">
        <v>43963</v>
      </c>
      <c r="B1026">
        <v>0.69</v>
      </c>
      <c r="C1026" s="11">
        <f t="shared" si="15"/>
        <v>6.8999999999999999E-3</v>
      </c>
    </row>
    <row r="1027" spans="1:3" x14ac:dyDescent="0.2">
      <c r="A1027" s="2">
        <v>43964</v>
      </c>
      <c r="B1027">
        <v>0.64</v>
      </c>
      <c r="C1027" s="11">
        <f t="shared" ref="C1027:C1090" si="16">B1027/100</f>
        <v>6.4000000000000003E-3</v>
      </c>
    </row>
    <row r="1028" spans="1:3" x14ac:dyDescent="0.2">
      <c r="A1028" s="2">
        <v>43965</v>
      </c>
      <c r="B1028">
        <v>0.63</v>
      </c>
      <c r="C1028" s="11">
        <f t="shared" si="16"/>
        <v>6.3E-3</v>
      </c>
    </row>
    <row r="1029" spans="1:3" x14ac:dyDescent="0.2">
      <c r="A1029" s="2">
        <v>43966</v>
      </c>
      <c r="B1029">
        <v>0.64</v>
      </c>
      <c r="C1029" s="11">
        <f t="shared" si="16"/>
        <v>6.4000000000000003E-3</v>
      </c>
    </row>
    <row r="1030" spans="1:3" x14ac:dyDescent="0.2">
      <c r="A1030" s="2">
        <v>43969</v>
      </c>
      <c r="B1030">
        <v>0.73</v>
      </c>
      <c r="C1030" s="11">
        <f t="shared" si="16"/>
        <v>7.3000000000000001E-3</v>
      </c>
    </row>
    <row r="1031" spans="1:3" x14ac:dyDescent="0.2">
      <c r="A1031" s="2">
        <v>43970</v>
      </c>
      <c r="B1031">
        <v>0.7</v>
      </c>
      <c r="C1031" s="11">
        <f t="shared" si="16"/>
        <v>6.9999999999999993E-3</v>
      </c>
    </row>
    <row r="1032" spans="1:3" x14ac:dyDescent="0.2">
      <c r="A1032" s="2">
        <v>43971</v>
      </c>
      <c r="B1032">
        <v>0.68</v>
      </c>
      <c r="C1032" s="11">
        <f t="shared" si="16"/>
        <v>6.8000000000000005E-3</v>
      </c>
    </row>
    <row r="1033" spans="1:3" x14ac:dyDescent="0.2">
      <c r="A1033" s="2">
        <v>43972</v>
      </c>
      <c r="B1033">
        <v>0.68</v>
      </c>
      <c r="C1033" s="11">
        <f t="shared" si="16"/>
        <v>6.8000000000000005E-3</v>
      </c>
    </row>
    <row r="1034" spans="1:3" x14ac:dyDescent="0.2">
      <c r="A1034" s="2">
        <v>43973</v>
      </c>
      <c r="B1034">
        <v>0.66</v>
      </c>
      <c r="C1034" s="11">
        <f t="shared" si="16"/>
        <v>6.6E-3</v>
      </c>
    </row>
    <row r="1035" spans="1:3" x14ac:dyDescent="0.2">
      <c r="A1035" s="2">
        <v>43977</v>
      </c>
      <c r="B1035">
        <v>0.69</v>
      </c>
      <c r="C1035" s="11">
        <f t="shared" si="16"/>
        <v>6.8999999999999999E-3</v>
      </c>
    </row>
    <row r="1036" spans="1:3" x14ac:dyDescent="0.2">
      <c r="A1036" s="2">
        <v>43978</v>
      </c>
      <c r="B1036">
        <v>0.68</v>
      </c>
      <c r="C1036" s="11">
        <f t="shared" si="16"/>
        <v>6.8000000000000005E-3</v>
      </c>
    </row>
    <row r="1037" spans="1:3" x14ac:dyDescent="0.2">
      <c r="A1037" s="2">
        <v>43979</v>
      </c>
      <c r="B1037">
        <v>0.7</v>
      </c>
      <c r="C1037" s="11">
        <f t="shared" si="16"/>
        <v>6.9999999999999993E-3</v>
      </c>
    </row>
    <row r="1038" spans="1:3" x14ac:dyDescent="0.2">
      <c r="A1038" s="2">
        <v>43980</v>
      </c>
      <c r="B1038">
        <v>0.65</v>
      </c>
      <c r="C1038" s="11">
        <f t="shared" si="16"/>
        <v>6.5000000000000006E-3</v>
      </c>
    </row>
    <row r="1039" spans="1:3" x14ac:dyDescent="0.2">
      <c r="A1039" s="2">
        <v>43983</v>
      </c>
      <c r="B1039">
        <v>0.66</v>
      </c>
      <c r="C1039" s="11">
        <f t="shared" si="16"/>
        <v>6.6E-3</v>
      </c>
    </row>
    <row r="1040" spans="1:3" x14ac:dyDescent="0.2">
      <c r="A1040" s="2">
        <v>43984</v>
      </c>
      <c r="B1040">
        <v>0.68</v>
      </c>
      <c r="C1040" s="11">
        <f t="shared" si="16"/>
        <v>6.8000000000000005E-3</v>
      </c>
    </row>
    <row r="1041" spans="1:3" x14ac:dyDescent="0.2">
      <c r="A1041" s="2">
        <v>43985</v>
      </c>
      <c r="B1041">
        <v>0.77</v>
      </c>
      <c r="C1041" s="11">
        <f t="shared" si="16"/>
        <v>7.7000000000000002E-3</v>
      </c>
    </row>
    <row r="1042" spans="1:3" x14ac:dyDescent="0.2">
      <c r="A1042" s="2">
        <v>43986</v>
      </c>
      <c r="B1042">
        <v>0.82</v>
      </c>
      <c r="C1042" s="11">
        <f t="shared" si="16"/>
        <v>8.199999999999999E-3</v>
      </c>
    </row>
    <row r="1043" spans="1:3" x14ac:dyDescent="0.2">
      <c r="A1043" s="2">
        <v>43987</v>
      </c>
      <c r="B1043">
        <v>0.91</v>
      </c>
      <c r="C1043" s="11">
        <f t="shared" si="16"/>
        <v>9.1000000000000004E-3</v>
      </c>
    </row>
    <row r="1044" spans="1:3" x14ac:dyDescent="0.2">
      <c r="A1044" s="2">
        <v>43990</v>
      </c>
      <c r="B1044">
        <v>0.88</v>
      </c>
      <c r="C1044" s="11">
        <f t="shared" si="16"/>
        <v>8.8000000000000005E-3</v>
      </c>
    </row>
    <row r="1045" spans="1:3" x14ac:dyDescent="0.2">
      <c r="A1045" s="2">
        <v>43991</v>
      </c>
      <c r="B1045">
        <v>0.84</v>
      </c>
      <c r="C1045" s="11">
        <f t="shared" si="16"/>
        <v>8.3999999999999995E-3</v>
      </c>
    </row>
    <row r="1046" spans="1:3" x14ac:dyDescent="0.2">
      <c r="A1046" s="2">
        <v>43992</v>
      </c>
      <c r="B1046">
        <v>0.75</v>
      </c>
      <c r="C1046" s="11">
        <f t="shared" si="16"/>
        <v>7.4999999999999997E-3</v>
      </c>
    </row>
    <row r="1047" spans="1:3" x14ac:dyDescent="0.2">
      <c r="A1047" s="2">
        <v>43993</v>
      </c>
      <c r="B1047">
        <v>0.66</v>
      </c>
      <c r="C1047" s="11">
        <f t="shared" si="16"/>
        <v>6.6E-3</v>
      </c>
    </row>
    <row r="1048" spans="1:3" x14ac:dyDescent="0.2">
      <c r="A1048" s="2">
        <v>43994</v>
      </c>
      <c r="B1048">
        <v>0.71</v>
      </c>
      <c r="C1048" s="11">
        <f t="shared" si="16"/>
        <v>7.0999999999999995E-3</v>
      </c>
    </row>
    <row r="1049" spans="1:3" x14ac:dyDescent="0.2">
      <c r="A1049" s="2">
        <v>43997</v>
      </c>
      <c r="B1049">
        <v>0.71</v>
      </c>
      <c r="C1049" s="11">
        <f t="shared" si="16"/>
        <v>7.0999999999999995E-3</v>
      </c>
    </row>
    <row r="1050" spans="1:3" x14ac:dyDescent="0.2">
      <c r="A1050" s="2">
        <v>43998</v>
      </c>
      <c r="B1050">
        <v>0.75</v>
      </c>
      <c r="C1050" s="11">
        <f t="shared" si="16"/>
        <v>7.4999999999999997E-3</v>
      </c>
    </row>
    <row r="1051" spans="1:3" x14ac:dyDescent="0.2">
      <c r="A1051" s="2">
        <v>43999</v>
      </c>
      <c r="B1051">
        <v>0.74</v>
      </c>
      <c r="C1051" s="11">
        <f t="shared" si="16"/>
        <v>7.4000000000000003E-3</v>
      </c>
    </row>
    <row r="1052" spans="1:3" x14ac:dyDescent="0.2">
      <c r="A1052" s="2">
        <v>44000</v>
      </c>
      <c r="B1052">
        <v>0.71</v>
      </c>
      <c r="C1052" s="11">
        <f t="shared" si="16"/>
        <v>7.0999999999999995E-3</v>
      </c>
    </row>
    <row r="1053" spans="1:3" x14ac:dyDescent="0.2">
      <c r="A1053" s="2">
        <v>44001</v>
      </c>
      <c r="B1053">
        <v>0.7</v>
      </c>
      <c r="C1053" s="11">
        <f t="shared" si="16"/>
        <v>6.9999999999999993E-3</v>
      </c>
    </row>
    <row r="1054" spans="1:3" x14ac:dyDescent="0.2">
      <c r="A1054" s="2">
        <v>44004</v>
      </c>
      <c r="B1054">
        <v>0.71</v>
      </c>
      <c r="C1054" s="11">
        <f t="shared" si="16"/>
        <v>7.0999999999999995E-3</v>
      </c>
    </row>
    <row r="1055" spans="1:3" x14ac:dyDescent="0.2">
      <c r="A1055" s="2">
        <v>44005</v>
      </c>
      <c r="B1055">
        <v>0.72</v>
      </c>
      <c r="C1055" s="11">
        <f t="shared" si="16"/>
        <v>7.1999999999999998E-3</v>
      </c>
    </row>
    <row r="1056" spans="1:3" x14ac:dyDescent="0.2">
      <c r="A1056" s="2">
        <v>44006</v>
      </c>
      <c r="B1056">
        <v>0.69</v>
      </c>
      <c r="C1056" s="11">
        <f t="shared" si="16"/>
        <v>6.8999999999999999E-3</v>
      </c>
    </row>
    <row r="1057" spans="1:3" x14ac:dyDescent="0.2">
      <c r="A1057" s="2">
        <v>44007</v>
      </c>
      <c r="B1057">
        <v>0.68</v>
      </c>
      <c r="C1057" s="11">
        <f t="shared" si="16"/>
        <v>6.8000000000000005E-3</v>
      </c>
    </row>
    <row r="1058" spans="1:3" x14ac:dyDescent="0.2">
      <c r="A1058" s="2">
        <v>44008</v>
      </c>
      <c r="B1058">
        <v>0.64</v>
      </c>
      <c r="C1058" s="11">
        <f t="shared" si="16"/>
        <v>6.4000000000000003E-3</v>
      </c>
    </row>
    <row r="1059" spans="1:3" x14ac:dyDescent="0.2">
      <c r="A1059" s="2">
        <v>44011</v>
      </c>
      <c r="B1059">
        <v>0.64</v>
      </c>
      <c r="C1059" s="11">
        <f t="shared" si="16"/>
        <v>6.4000000000000003E-3</v>
      </c>
    </row>
    <row r="1060" spans="1:3" x14ac:dyDescent="0.2">
      <c r="A1060" s="2">
        <v>44012</v>
      </c>
      <c r="B1060">
        <v>0.66</v>
      </c>
      <c r="C1060" s="11">
        <f t="shared" si="16"/>
        <v>6.6E-3</v>
      </c>
    </row>
    <row r="1061" spans="1:3" x14ac:dyDescent="0.2">
      <c r="A1061" s="2">
        <v>44013</v>
      </c>
      <c r="B1061">
        <v>0.69</v>
      </c>
      <c r="C1061" s="11">
        <f t="shared" si="16"/>
        <v>6.8999999999999999E-3</v>
      </c>
    </row>
    <row r="1062" spans="1:3" x14ac:dyDescent="0.2">
      <c r="A1062" s="2">
        <v>44014</v>
      </c>
      <c r="B1062">
        <v>0.68</v>
      </c>
      <c r="C1062" s="11">
        <f t="shared" si="16"/>
        <v>6.8000000000000005E-3</v>
      </c>
    </row>
    <row r="1063" spans="1:3" x14ac:dyDescent="0.2">
      <c r="A1063" s="2">
        <v>44018</v>
      </c>
      <c r="B1063">
        <v>0.69</v>
      </c>
      <c r="C1063" s="11">
        <f t="shared" si="16"/>
        <v>6.8999999999999999E-3</v>
      </c>
    </row>
    <row r="1064" spans="1:3" x14ac:dyDescent="0.2">
      <c r="A1064" s="2">
        <v>44019</v>
      </c>
      <c r="B1064">
        <v>0.65</v>
      </c>
      <c r="C1064" s="11">
        <f t="shared" si="16"/>
        <v>6.5000000000000006E-3</v>
      </c>
    </row>
    <row r="1065" spans="1:3" x14ac:dyDescent="0.2">
      <c r="A1065" s="2">
        <v>44020</v>
      </c>
      <c r="B1065">
        <v>0.67</v>
      </c>
      <c r="C1065" s="11">
        <f t="shared" si="16"/>
        <v>6.7000000000000002E-3</v>
      </c>
    </row>
    <row r="1066" spans="1:3" x14ac:dyDescent="0.2">
      <c r="A1066" s="2">
        <v>44021</v>
      </c>
      <c r="B1066">
        <v>0.62</v>
      </c>
      <c r="C1066" s="11">
        <f t="shared" si="16"/>
        <v>6.1999999999999998E-3</v>
      </c>
    </row>
    <row r="1067" spans="1:3" x14ac:dyDescent="0.2">
      <c r="A1067" s="2">
        <v>44022</v>
      </c>
      <c r="B1067">
        <v>0.65</v>
      </c>
      <c r="C1067" s="11">
        <f t="shared" si="16"/>
        <v>6.5000000000000006E-3</v>
      </c>
    </row>
    <row r="1068" spans="1:3" x14ac:dyDescent="0.2">
      <c r="A1068" s="2">
        <v>44025</v>
      </c>
      <c r="B1068">
        <v>0.64</v>
      </c>
      <c r="C1068" s="11">
        <f t="shared" si="16"/>
        <v>6.4000000000000003E-3</v>
      </c>
    </row>
    <row r="1069" spans="1:3" x14ac:dyDescent="0.2">
      <c r="A1069" s="2">
        <v>44026</v>
      </c>
      <c r="B1069">
        <v>0.63</v>
      </c>
      <c r="C1069" s="11">
        <f t="shared" si="16"/>
        <v>6.3E-3</v>
      </c>
    </row>
    <row r="1070" spans="1:3" x14ac:dyDescent="0.2">
      <c r="A1070" s="2">
        <v>44027</v>
      </c>
      <c r="B1070">
        <v>0.64</v>
      </c>
      <c r="C1070" s="11">
        <f t="shared" si="16"/>
        <v>6.4000000000000003E-3</v>
      </c>
    </row>
    <row r="1071" spans="1:3" x14ac:dyDescent="0.2">
      <c r="A1071" s="2">
        <v>44028</v>
      </c>
      <c r="B1071">
        <v>0.62</v>
      </c>
      <c r="C1071" s="11">
        <f t="shared" si="16"/>
        <v>6.1999999999999998E-3</v>
      </c>
    </row>
    <row r="1072" spans="1:3" x14ac:dyDescent="0.2">
      <c r="A1072" s="2">
        <v>44029</v>
      </c>
      <c r="B1072">
        <v>0.64</v>
      </c>
      <c r="C1072" s="11">
        <f t="shared" si="16"/>
        <v>6.4000000000000003E-3</v>
      </c>
    </row>
    <row r="1073" spans="1:3" x14ac:dyDescent="0.2">
      <c r="A1073" s="2">
        <v>44032</v>
      </c>
      <c r="B1073">
        <v>0.62</v>
      </c>
      <c r="C1073" s="11">
        <f t="shared" si="16"/>
        <v>6.1999999999999998E-3</v>
      </c>
    </row>
    <row r="1074" spans="1:3" x14ac:dyDescent="0.2">
      <c r="A1074" s="2">
        <v>44033</v>
      </c>
      <c r="B1074">
        <v>0.61</v>
      </c>
      <c r="C1074" s="11">
        <f t="shared" si="16"/>
        <v>6.0999999999999995E-3</v>
      </c>
    </row>
    <row r="1075" spans="1:3" x14ac:dyDescent="0.2">
      <c r="A1075" s="2">
        <v>44034</v>
      </c>
      <c r="B1075">
        <v>0.6</v>
      </c>
      <c r="C1075" s="11">
        <f t="shared" si="16"/>
        <v>6.0000000000000001E-3</v>
      </c>
    </row>
    <row r="1076" spans="1:3" x14ac:dyDescent="0.2">
      <c r="A1076" s="2">
        <v>44035</v>
      </c>
      <c r="B1076">
        <v>0.59</v>
      </c>
      <c r="C1076" s="11">
        <f t="shared" si="16"/>
        <v>5.8999999999999999E-3</v>
      </c>
    </row>
    <row r="1077" spans="1:3" x14ac:dyDescent="0.2">
      <c r="A1077" s="2">
        <v>44036</v>
      </c>
      <c r="B1077">
        <v>0.59</v>
      </c>
      <c r="C1077" s="11">
        <f t="shared" si="16"/>
        <v>5.8999999999999999E-3</v>
      </c>
    </row>
    <row r="1078" spans="1:3" x14ac:dyDescent="0.2">
      <c r="A1078" s="2">
        <v>44039</v>
      </c>
      <c r="B1078">
        <v>0.62</v>
      </c>
      <c r="C1078" s="11">
        <f t="shared" si="16"/>
        <v>6.1999999999999998E-3</v>
      </c>
    </row>
    <row r="1079" spans="1:3" x14ac:dyDescent="0.2">
      <c r="A1079" s="2">
        <v>44040</v>
      </c>
      <c r="B1079">
        <v>0.59</v>
      </c>
      <c r="C1079" s="11">
        <f t="shared" si="16"/>
        <v>5.8999999999999999E-3</v>
      </c>
    </row>
    <row r="1080" spans="1:3" x14ac:dyDescent="0.2">
      <c r="A1080" s="2">
        <v>44041</v>
      </c>
      <c r="B1080">
        <v>0.57999999999999996</v>
      </c>
      <c r="C1080" s="11">
        <f t="shared" si="16"/>
        <v>5.7999999999999996E-3</v>
      </c>
    </row>
    <row r="1081" spans="1:3" x14ac:dyDescent="0.2">
      <c r="A1081" s="2">
        <v>44042</v>
      </c>
      <c r="B1081">
        <v>0.55000000000000004</v>
      </c>
      <c r="C1081" s="11">
        <f t="shared" si="16"/>
        <v>5.5000000000000005E-3</v>
      </c>
    </row>
    <row r="1082" spans="1:3" x14ac:dyDescent="0.2">
      <c r="A1082" s="2">
        <v>44043</v>
      </c>
      <c r="B1082">
        <v>0.55000000000000004</v>
      </c>
      <c r="C1082" s="11">
        <f t="shared" si="16"/>
        <v>5.5000000000000005E-3</v>
      </c>
    </row>
    <row r="1083" spans="1:3" x14ac:dyDescent="0.2">
      <c r="A1083" s="2">
        <v>44046</v>
      </c>
      <c r="B1083">
        <v>0.56000000000000005</v>
      </c>
      <c r="C1083" s="11">
        <f t="shared" si="16"/>
        <v>5.6000000000000008E-3</v>
      </c>
    </row>
    <row r="1084" spans="1:3" x14ac:dyDescent="0.2">
      <c r="A1084" s="2">
        <v>44047</v>
      </c>
      <c r="B1084">
        <v>0.52</v>
      </c>
      <c r="C1084" s="11">
        <f t="shared" si="16"/>
        <v>5.1999999999999998E-3</v>
      </c>
    </row>
    <row r="1085" spans="1:3" x14ac:dyDescent="0.2">
      <c r="A1085" s="2">
        <v>44048</v>
      </c>
      <c r="B1085">
        <v>0.55000000000000004</v>
      </c>
      <c r="C1085" s="11">
        <f t="shared" si="16"/>
        <v>5.5000000000000005E-3</v>
      </c>
    </row>
    <row r="1086" spans="1:3" x14ac:dyDescent="0.2">
      <c r="A1086" s="2">
        <v>44049</v>
      </c>
      <c r="B1086">
        <v>0.55000000000000004</v>
      </c>
      <c r="C1086" s="11">
        <f t="shared" si="16"/>
        <v>5.5000000000000005E-3</v>
      </c>
    </row>
    <row r="1087" spans="1:3" x14ac:dyDescent="0.2">
      <c r="A1087" s="2">
        <v>44050</v>
      </c>
      <c r="B1087">
        <v>0.56999999999999995</v>
      </c>
      <c r="C1087" s="11">
        <f t="shared" si="16"/>
        <v>5.6999999999999993E-3</v>
      </c>
    </row>
    <row r="1088" spans="1:3" x14ac:dyDescent="0.2">
      <c r="A1088" s="2">
        <v>44053</v>
      </c>
      <c r="B1088">
        <v>0.59</v>
      </c>
      <c r="C1088" s="11">
        <f t="shared" si="16"/>
        <v>5.8999999999999999E-3</v>
      </c>
    </row>
    <row r="1089" spans="1:3" x14ac:dyDescent="0.2">
      <c r="A1089" s="2">
        <v>44054</v>
      </c>
      <c r="B1089">
        <v>0.64</v>
      </c>
      <c r="C1089" s="11">
        <f t="shared" si="16"/>
        <v>6.4000000000000003E-3</v>
      </c>
    </row>
    <row r="1090" spans="1:3" x14ac:dyDescent="0.2">
      <c r="A1090" s="2">
        <v>44055</v>
      </c>
      <c r="B1090">
        <v>0.69</v>
      </c>
      <c r="C1090" s="11">
        <f t="shared" si="16"/>
        <v>6.8999999999999999E-3</v>
      </c>
    </row>
    <row r="1091" spans="1:3" x14ac:dyDescent="0.2">
      <c r="A1091" s="2">
        <v>44056</v>
      </c>
      <c r="B1091">
        <v>0.71</v>
      </c>
      <c r="C1091" s="11">
        <f t="shared" ref="C1091:C1154" si="17">B1091/100</f>
        <v>7.0999999999999995E-3</v>
      </c>
    </row>
    <row r="1092" spans="1:3" x14ac:dyDescent="0.2">
      <c r="A1092" s="2">
        <v>44057</v>
      </c>
      <c r="B1092">
        <v>0.71</v>
      </c>
      <c r="C1092" s="11">
        <f t="shared" si="17"/>
        <v>7.0999999999999995E-3</v>
      </c>
    </row>
    <row r="1093" spans="1:3" x14ac:dyDescent="0.2">
      <c r="A1093" s="2">
        <v>44060</v>
      </c>
      <c r="B1093">
        <v>0.69</v>
      </c>
      <c r="C1093" s="11">
        <f t="shared" si="17"/>
        <v>6.8999999999999999E-3</v>
      </c>
    </row>
    <row r="1094" spans="1:3" x14ac:dyDescent="0.2">
      <c r="A1094" s="2">
        <v>44061</v>
      </c>
      <c r="B1094">
        <v>0.67</v>
      </c>
      <c r="C1094" s="11">
        <f t="shared" si="17"/>
        <v>6.7000000000000002E-3</v>
      </c>
    </row>
    <row r="1095" spans="1:3" x14ac:dyDescent="0.2">
      <c r="A1095" s="2">
        <v>44062</v>
      </c>
      <c r="B1095">
        <v>0.68</v>
      </c>
      <c r="C1095" s="11">
        <f t="shared" si="17"/>
        <v>6.8000000000000005E-3</v>
      </c>
    </row>
    <row r="1096" spans="1:3" x14ac:dyDescent="0.2">
      <c r="A1096" s="2">
        <v>44063</v>
      </c>
      <c r="B1096">
        <v>0.65</v>
      </c>
      <c r="C1096" s="11">
        <f t="shared" si="17"/>
        <v>6.5000000000000006E-3</v>
      </c>
    </row>
    <row r="1097" spans="1:3" x14ac:dyDescent="0.2">
      <c r="A1097" s="2">
        <v>44064</v>
      </c>
      <c r="B1097">
        <v>0.64</v>
      </c>
      <c r="C1097" s="11">
        <f t="shared" si="17"/>
        <v>6.4000000000000003E-3</v>
      </c>
    </row>
    <row r="1098" spans="1:3" x14ac:dyDescent="0.2">
      <c r="A1098" s="2">
        <v>44067</v>
      </c>
      <c r="B1098">
        <v>0.65</v>
      </c>
      <c r="C1098" s="11">
        <f t="shared" si="17"/>
        <v>6.5000000000000006E-3</v>
      </c>
    </row>
    <row r="1099" spans="1:3" x14ac:dyDescent="0.2">
      <c r="A1099" s="2">
        <v>44068</v>
      </c>
      <c r="B1099">
        <v>0.69</v>
      </c>
      <c r="C1099" s="11">
        <f t="shared" si="17"/>
        <v>6.8999999999999999E-3</v>
      </c>
    </row>
    <row r="1100" spans="1:3" x14ac:dyDescent="0.2">
      <c r="A1100" s="2">
        <v>44069</v>
      </c>
      <c r="B1100">
        <v>0.69</v>
      </c>
      <c r="C1100" s="11">
        <f t="shared" si="17"/>
        <v>6.8999999999999999E-3</v>
      </c>
    </row>
    <row r="1101" spans="1:3" x14ac:dyDescent="0.2">
      <c r="A1101" s="2">
        <v>44070</v>
      </c>
      <c r="B1101">
        <v>0.74</v>
      </c>
      <c r="C1101" s="11">
        <f t="shared" si="17"/>
        <v>7.4000000000000003E-3</v>
      </c>
    </row>
    <row r="1102" spans="1:3" x14ac:dyDescent="0.2">
      <c r="A1102" s="2">
        <v>44071</v>
      </c>
      <c r="B1102">
        <v>0.74</v>
      </c>
      <c r="C1102" s="11">
        <f t="shared" si="17"/>
        <v>7.4000000000000003E-3</v>
      </c>
    </row>
    <row r="1103" spans="1:3" x14ac:dyDescent="0.2">
      <c r="A1103" s="2">
        <v>44074</v>
      </c>
      <c r="B1103">
        <v>0.72</v>
      </c>
      <c r="C1103" s="11">
        <f t="shared" si="17"/>
        <v>7.1999999999999998E-3</v>
      </c>
    </row>
    <row r="1104" spans="1:3" x14ac:dyDescent="0.2">
      <c r="A1104" s="2">
        <v>44075</v>
      </c>
      <c r="B1104">
        <v>0.68</v>
      </c>
      <c r="C1104" s="11">
        <f t="shared" si="17"/>
        <v>6.8000000000000005E-3</v>
      </c>
    </row>
    <row r="1105" spans="1:3" x14ac:dyDescent="0.2">
      <c r="A1105" s="2">
        <v>44076</v>
      </c>
      <c r="B1105">
        <v>0.66</v>
      </c>
      <c r="C1105" s="11">
        <f t="shared" si="17"/>
        <v>6.6E-3</v>
      </c>
    </row>
    <row r="1106" spans="1:3" x14ac:dyDescent="0.2">
      <c r="A1106" s="2">
        <v>44077</v>
      </c>
      <c r="B1106">
        <v>0.63</v>
      </c>
      <c r="C1106" s="11">
        <f t="shared" si="17"/>
        <v>6.3E-3</v>
      </c>
    </row>
    <row r="1107" spans="1:3" x14ac:dyDescent="0.2">
      <c r="A1107" s="2">
        <v>44078</v>
      </c>
      <c r="B1107">
        <v>0.72</v>
      </c>
      <c r="C1107" s="11">
        <f t="shared" si="17"/>
        <v>7.1999999999999998E-3</v>
      </c>
    </row>
    <row r="1108" spans="1:3" x14ac:dyDescent="0.2">
      <c r="A1108" s="2">
        <v>44082</v>
      </c>
      <c r="B1108">
        <v>0.69</v>
      </c>
      <c r="C1108" s="11">
        <f t="shared" si="17"/>
        <v>6.8999999999999999E-3</v>
      </c>
    </row>
    <row r="1109" spans="1:3" x14ac:dyDescent="0.2">
      <c r="A1109" s="2">
        <v>44083</v>
      </c>
      <c r="B1109">
        <v>0.71</v>
      </c>
      <c r="C1109" s="11">
        <f t="shared" si="17"/>
        <v>7.0999999999999995E-3</v>
      </c>
    </row>
    <row r="1110" spans="1:3" x14ac:dyDescent="0.2">
      <c r="A1110" s="2">
        <v>44084</v>
      </c>
      <c r="B1110">
        <v>0.68</v>
      </c>
      <c r="C1110" s="11">
        <f t="shared" si="17"/>
        <v>6.8000000000000005E-3</v>
      </c>
    </row>
    <row r="1111" spans="1:3" x14ac:dyDescent="0.2">
      <c r="A1111" s="2">
        <v>44085</v>
      </c>
      <c r="B1111">
        <v>0.67</v>
      </c>
      <c r="C1111" s="11">
        <f t="shared" si="17"/>
        <v>6.7000000000000002E-3</v>
      </c>
    </row>
    <row r="1112" spans="1:3" x14ac:dyDescent="0.2">
      <c r="A1112" s="2">
        <v>44088</v>
      </c>
      <c r="B1112">
        <v>0.68</v>
      </c>
      <c r="C1112" s="11">
        <f t="shared" si="17"/>
        <v>6.8000000000000005E-3</v>
      </c>
    </row>
    <row r="1113" spans="1:3" x14ac:dyDescent="0.2">
      <c r="A1113" s="2">
        <v>44089</v>
      </c>
      <c r="B1113">
        <v>0.68</v>
      </c>
      <c r="C1113" s="11">
        <f t="shared" si="17"/>
        <v>6.8000000000000005E-3</v>
      </c>
    </row>
    <row r="1114" spans="1:3" x14ac:dyDescent="0.2">
      <c r="A1114" s="2">
        <v>44090</v>
      </c>
      <c r="B1114">
        <v>0.69</v>
      </c>
      <c r="C1114" s="11">
        <f t="shared" si="17"/>
        <v>6.8999999999999999E-3</v>
      </c>
    </row>
    <row r="1115" spans="1:3" x14ac:dyDescent="0.2">
      <c r="A1115" s="2">
        <v>44091</v>
      </c>
      <c r="B1115">
        <v>0.69</v>
      </c>
      <c r="C1115" s="11">
        <f t="shared" si="17"/>
        <v>6.8999999999999999E-3</v>
      </c>
    </row>
    <row r="1116" spans="1:3" x14ac:dyDescent="0.2">
      <c r="A1116" s="2">
        <v>44092</v>
      </c>
      <c r="B1116">
        <v>0.7</v>
      </c>
      <c r="C1116" s="11">
        <f t="shared" si="17"/>
        <v>6.9999999999999993E-3</v>
      </c>
    </row>
    <row r="1117" spans="1:3" x14ac:dyDescent="0.2">
      <c r="A1117" s="2">
        <v>44095</v>
      </c>
      <c r="B1117">
        <v>0.68</v>
      </c>
      <c r="C1117" s="11">
        <f t="shared" si="17"/>
        <v>6.8000000000000005E-3</v>
      </c>
    </row>
    <row r="1118" spans="1:3" x14ac:dyDescent="0.2">
      <c r="A1118" s="2">
        <v>44096</v>
      </c>
      <c r="B1118">
        <v>0.68</v>
      </c>
      <c r="C1118" s="11">
        <f t="shared" si="17"/>
        <v>6.8000000000000005E-3</v>
      </c>
    </row>
    <row r="1119" spans="1:3" x14ac:dyDescent="0.2">
      <c r="A1119" s="2">
        <v>44097</v>
      </c>
      <c r="B1119">
        <v>0.68</v>
      </c>
      <c r="C1119" s="11">
        <f t="shared" si="17"/>
        <v>6.8000000000000005E-3</v>
      </c>
    </row>
    <row r="1120" spans="1:3" x14ac:dyDescent="0.2">
      <c r="A1120" s="2">
        <v>44098</v>
      </c>
      <c r="B1120">
        <v>0.67</v>
      </c>
      <c r="C1120" s="11">
        <f t="shared" si="17"/>
        <v>6.7000000000000002E-3</v>
      </c>
    </row>
    <row r="1121" spans="1:3" x14ac:dyDescent="0.2">
      <c r="A1121" s="2">
        <v>44099</v>
      </c>
      <c r="B1121">
        <v>0.66</v>
      </c>
      <c r="C1121" s="11">
        <f t="shared" si="17"/>
        <v>6.6E-3</v>
      </c>
    </row>
    <row r="1122" spans="1:3" x14ac:dyDescent="0.2">
      <c r="A1122" s="2">
        <v>44102</v>
      </c>
      <c r="B1122">
        <v>0.67</v>
      </c>
      <c r="C1122" s="11">
        <f t="shared" si="17"/>
        <v>6.7000000000000002E-3</v>
      </c>
    </row>
    <row r="1123" spans="1:3" x14ac:dyDescent="0.2">
      <c r="A1123" s="2">
        <v>44103</v>
      </c>
      <c r="B1123">
        <v>0.66</v>
      </c>
      <c r="C1123" s="11">
        <f t="shared" si="17"/>
        <v>6.6E-3</v>
      </c>
    </row>
    <row r="1124" spans="1:3" x14ac:dyDescent="0.2">
      <c r="A1124" s="2">
        <v>44104</v>
      </c>
      <c r="B1124">
        <v>0.69</v>
      </c>
      <c r="C1124" s="11">
        <f t="shared" si="17"/>
        <v>6.8999999999999999E-3</v>
      </c>
    </row>
    <row r="1125" spans="1:3" x14ac:dyDescent="0.2">
      <c r="A1125" s="2">
        <v>44105</v>
      </c>
      <c r="B1125">
        <v>0.68</v>
      </c>
      <c r="C1125" s="11">
        <f t="shared" si="17"/>
        <v>6.8000000000000005E-3</v>
      </c>
    </row>
    <row r="1126" spans="1:3" x14ac:dyDescent="0.2">
      <c r="A1126" s="2">
        <v>44106</v>
      </c>
      <c r="B1126">
        <v>0.7</v>
      </c>
      <c r="C1126" s="11">
        <f t="shared" si="17"/>
        <v>6.9999999999999993E-3</v>
      </c>
    </row>
    <row r="1127" spans="1:3" x14ac:dyDescent="0.2">
      <c r="A1127" s="2">
        <v>44109</v>
      </c>
      <c r="B1127">
        <v>0.78</v>
      </c>
      <c r="C1127" s="11">
        <f t="shared" si="17"/>
        <v>7.8000000000000005E-3</v>
      </c>
    </row>
    <row r="1128" spans="1:3" x14ac:dyDescent="0.2">
      <c r="A1128" s="2">
        <v>44110</v>
      </c>
      <c r="B1128">
        <v>0.76</v>
      </c>
      <c r="C1128" s="11">
        <f t="shared" si="17"/>
        <v>7.6E-3</v>
      </c>
    </row>
    <row r="1129" spans="1:3" x14ac:dyDescent="0.2">
      <c r="A1129" s="2">
        <v>44111</v>
      </c>
      <c r="B1129">
        <v>0.81</v>
      </c>
      <c r="C1129" s="11">
        <f t="shared" si="17"/>
        <v>8.1000000000000013E-3</v>
      </c>
    </row>
    <row r="1130" spans="1:3" x14ac:dyDescent="0.2">
      <c r="A1130" s="2">
        <v>44112</v>
      </c>
      <c r="B1130">
        <v>0.78</v>
      </c>
      <c r="C1130" s="11">
        <f t="shared" si="17"/>
        <v>7.8000000000000005E-3</v>
      </c>
    </row>
    <row r="1131" spans="1:3" x14ac:dyDescent="0.2">
      <c r="A1131" s="2">
        <v>44113</v>
      </c>
      <c r="B1131">
        <v>0.79</v>
      </c>
      <c r="C1131" s="11">
        <f t="shared" si="17"/>
        <v>7.9000000000000008E-3</v>
      </c>
    </row>
    <row r="1132" spans="1:3" x14ac:dyDescent="0.2">
      <c r="A1132" s="2">
        <v>44117</v>
      </c>
      <c r="B1132">
        <v>0.74</v>
      </c>
      <c r="C1132" s="11">
        <f t="shared" si="17"/>
        <v>7.4000000000000003E-3</v>
      </c>
    </row>
    <row r="1133" spans="1:3" x14ac:dyDescent="0.2">
      <c r="A1133" s="2">
        <v>44118</v>
      </c>
      <c r="B1133">
        <v>0.73</v>
      </c>
      <c r="C1133" s="11">
        <f t="shared" si="17"/>
        <v>7.3000000000000001E-3</v>
      </c>
    </row>
    <row r="1134" spans="1:3" x14ac:dyDescent="0.2">
      <c r="A1134" s="2">
        <v>44119</v>
      </c>
      <c r="B1134">
        <v>0.74</v>
      </c>
      <c r="C1134" s="11">
        <f t="shared" si="17"/>
        <v>7.4000000000000003E-3</v>
      </c>
    </row>
    <row r="1135" spans="1:3" x14ac:dyDescent="0.2">
      <c r="A1135" s="2">
        <v>44120</v>
      </c>
      <c r="B1135">
        <v>0.76</v>
      </c>
      <c r="C1135" s="11">
        <f t="shared" si="17"/>
        <v>7.6E-3</v>
      </c>
    </row>
    <row r="1136" spans="1:3" x14ac:dyDescent="0.2">
      <c r="A1136" s="2">
        <v>44123</v>
      </c>
      <c r="B1136">
        <v>0.78</v>
      </c>
      <c r="C1136" s="11">
        <f t="shared" si="17"/>
        <v>7.8000000000000005E-3</v>
      </c>
    </row>
    <row r="1137" spans="1:3" x14ac:dyDescent="0.2">
      <c r="A1137" s="2">
        <v>44124</v>
      </c>
      <c r="B1137">
        <v>0.81</v>
      </c>
      <c r="C1137" s="11">
        <f t="shared" si="17"/>
        <v>8.1000000000000013E-3</v>
      </c>
    </row>
    <row r="1138" spans="1:3" x14ac:dyDescent="0.2">
      <c r="A1138" s="2">
        <v>44125</v>
      </c>
      <c r="B1138">
        <v>0.83</v>
      </c>
      <c r="C1138" s="11">
        <f t="shared" si="17"/>
        <v>8.3000000000000001E-3</v>
      </c>
    </row>
    <row r="1139" spans="1:3" x14ac:dyDescent="0.2">
      <c r="A1139" s="2">
        <v>44126</v>
      </c>
      <c r="B1139">
        <v>0.87</v>
      </c>
      <c r="C1139" s="11">
        <f t="shared" si="17"/>
        <v>8.6999999999999994E-3</v>
      </c>
    </row>
    <row r="1140" spans="1:3" x14ac:dyDescent="0.2">
      <c r="A1140" s="2">
        <v>44127</v>
      </c>
      <c r="B1140">
        <v>0.85</v>
      </c>
      <c r="C1140" s="11">
        <f t="shared" si="17"/>
        <v>8.5000000000000006E-3</v>
      </c>
    </row>
    <row r="1141" spans="1:3" x14ac:dyDescent="0.2">
      <c r="A1141" s="2">
        <v>44130</v>
      </c>
      <c r="B1141">
        <v>0.81</v>
      </c>
      <c r="C1141" s="11">
        <f t="shared" si="17"/>
        <v>8.1000000000000013E-3</v>
      </c>
    </row>
    <row r="1142" spans="1:3" x14ac:dyDescent="0.2">
      <c r="A1142" s="2">
        <v>44131</v>
      </c>
      <c r="B1142">
        <v>0.79</v>
      </c>
      <c r="C1142" s="11">
        <f t="shared" si="17"/>
        <v>7.9000000000000008E-3</v>
      </c>
    </row>
    <row r="1143" spans="1:3" x14ac:dyDescent="0.2">
      <c r="A1143" s="2">
        <v>44132</v>
      </c>
      <c r="B1143">
        <v>0.79</v>
      </c>
      <c r="C1143" s="11">
        <f t="shared" si="17"/>
        <v>7.9000000000000008E-3</v>
      </c>
    </row>
    <row r="1144" spans="1:3" x14ac:dyDescent="0.2">
      <c r="A1144" s="2">
        <v>44133</v>
      </c>
      <c r="B1144">
        <v>0.85</v>
      </c>
      <c r="C1144" s="11">
        <f t="shared" si="17"/>
        <v>8.5000000000000006E-3</v>
      </c>
    </row>
    <row r="1145" spans="1:3" x14ac:dyDescent="0.2">
      <c r="A1145" s="2">
        <v>44134</v>
      </c>
      <c r="B1145">
        <v>0.88</v>
      </c>
      <c r="C1145" s="11">
        <f t="shared" si="17"/>
        <v>8.8000000000000005E-3</v>
      </c>
    </row>
    <row r="1146" spans="1:3" x14ac:dyDescent="0.2">
      <c r="A1146" s="2">
        <v>44137</v>
      </c>
      <c r="B1146">
        <v>0.87</v>
      </c>
      <c r="C1146" s="11">
        <f t="shared" si="17"/>
        <v>8.6999999999999994E-3</v>
      </c>
    </row>
    <row r="1147" spans="1:3" x14ac:dyDescent="0.2">
      <c r="A1147" s="2">
        <v>44138</v>
      </c>
      <c r="B1147">
        <v>0.9</v>
      </c>
      <c r="C1147" s="11">
        <f t="shared" si="17"/>
        <v>9.0000000000000011E-3</v>
      </c>
    </row>
    <row r="1148" spans="1:3" x14ac:dyDescent="0.2">
      <c r="A1148" s="2">
        <v>44139</v>
      </c>
      <c r="B1148">
        <v>0.78</v>
      </c>
      <c r="C1148" s="11">
        <f t="shared" si="17"/>
        <v>7.8000000000000005E-3</v>
      </c>
    </row>
    <row r="1149" spans="1:3" x14ac:dyDescent="0.2">
      <c r="A1149" s="2">
        <v>44140</v>
      </c>
      <c r="B1149">
        <v>0.79</v>
      </c>
      <c r="C1149" s="11">
        <f t="shared" si="17"/>
        <v>7.9000000000000008E-3</v>
      </c>
    </row>
    <row r="1150" spans="1:3" x14ac:dyDescent="0.2">
      <c r="A1150" s="2">
        <v>44141</v>
      </c>
      <c r="B1150">
        <v>0.83</v>
      </c>
      <c r="C1150" s="11">
        <f t="shared" si="17"/>
        <v>8.3000000000000001E-3</v>
      </c>
    </row>
    <row r="1151" spans="1:3" x14ac:dyDescent="0.2">
      <c r="A1151" s="2">
        <v>44144</v>
      </c>
      <c r="B1151">
        <v>0.96</v>
      </c>
      <c r="C1151" s="11">
        <f t="shared" si="17"/>
        <v>9.5999999999999992E-3</v>
      </c>
    </row>
    <row r="1152" spans="1:3" x14ac:dyDescent="0.2">
      <c r="A1152" s="2">
        <v>44145</v>
      </c>
      <c r="B1152">
        <v>0.98</v>
      </c>
      <c r="C1152" s="11">
        <f t="shared" si="17"/>
        <v>9.7999999999999997E-3</v>
      </c>
    </row>
    <row r="1153" spans="1:3" x14ac:dyDescent="0.2">
      <c r="A1153" s="2">
        <v>44147</v>
      </c>
      <c r="B1153">
        <v>0.88</v>
      </c>
      <c r="C1153" s="11">
        <f t="shared" si="17"/>
        <v>8.8000000000000005E-3</v>
      </c>
    </row>
    <row r="1154" spans="1:3" x14ac:dyDescent="0.2">
      <c r="A1154" s="2">
        <v>44148</v>
      </c>
      <c r="B1154">
        <v>0.89</v>
      </c>
      <c r="C1154" s="11">
        <f t="shared" si="17"/>
        <v>8.8999999999999999E-3</v>
      </c>
    </row>
    <row r="1155" spans="1:3" x14ac:dyDescent="0.2">
      <c r="A1155" s="2">
        <v>44151</v>
      </c>
      <c r="B1155">
        <v>0.91</v>
      </c>
      <c r="C1155" s="11">
        <f t="shared" ref="C1155:C1218" si="18">B1155/100</f>
        <v>9.1000000000000004E-3</v>
      </c>
    </row>
    <row r="1156" spans="1:3" x14ac:dyDescent="0.2">
      <c r="A1156" s="2">
        <v>44152</v>
      </c>
      <c r="B1156">
        <v>0.87</v>
      </c>
      <c r="C1156" s="11">
        <f t="shared" si="18"/>
        <v>8.6999999999999994E-3</v>
      </c>
    </row>
    <row r="1157" spans="1:3" x14ac:dyDescent="0.2">
      <c r="A1157" s="2">
        <v>44153</v>
      </c>
      <c r="B1157">
        <v>0.88</v>
      </c>
      <c r="C1157" s="11">
        <f t="shared" si="18"/>
        <v>8.8000000000000005E-3</v>
      </c>
    </row>
    <row r="1158" spans="1:3" x14ac:dyDescent="0.2">
      <c r="A1158" s="2">
        <v>44154</v>
      </c>
      <c r="B1158">
        <v>0.86</v>
      </c>
      <c r="C1158" s="11">
        <f t="shared" si="18"/>
        <v>8.6E-3</v>
      </c>
    </row>
    <row r="1159" spans="1:3" x14ac:dyDescent="0.2">
      <c r="A1159" s="2">
        <v>44155</v>
      </c>
      <c r="B1159">
        <v>0.83</v>
      </c>
      <c r="C1159" s="11">
        <f t="shared" si="18"/>
        <v>8.3000000000000001E-3</v>
      </c>
    </row>
    <row r="1160" spans="1:3" x14ac:dyDescent="0.2">
      <c r="A1160" s="2">
        <v>44158</v>
      </c>
      <c r="B1160">
        <v>0.86</v>
      </c>
      <c r="C1160" s="11">
        <f t="shared" si="18"/>
        <v>8.6E-3</v>
      </c>
    </row>
    <row r="1161" spans="1:3" x14ac:dyDescent="0.2">
      <c r="A1161" s="2">
        <v>44159</v>
      </c>
      <c r="B1161">
        <v>0.88</v>
      </c>
      <c r="C1161" s="11">
        <f t="shared" si="18"/>
        <v>8.8000000000000005E-3</v>
      </c>
    </row>
    <row r="1162" spans="1:3" x14ac:dyDescent="0.2">
      <c r="A1162" s="2">
        <v>44160</v>
      </c>
      <c r="B1162">
        <v>0.88</v>
      </c>
      <c r="C1162" s="11">
        <f t="shared" si="18"/>
        <v>8.8000000000000005E-3</v>
      </c>
    </row>
    <row r="1163" spans="1:3" x14ac:dyDescent="0.2">
      <c r="A1163" s="2">
        <v>44162</v>
      </c>
      <c r="B1163">
        <v>0.84</v>
      </c>
      <c r="C1163" s="11">
        <f t="shared" si="18"/>
        <v>8.3999999999999995E-3</v>
      </c>
    </row>
    <row r="1164" spans="1:3" x14ac:dyDescent="0.2">
      <c r="A1164" s="2">
        <v>44165</v>
      </c>
      <c r="B1164">
        <v>0.84</v>
      </c>
      <c r="C1164" s="11">
        <f t="shared" si="18"/>
        <v>8.3999999999999995E-3</v>
      </c>
    </row>
    <row r="1165" spans="1:3" x14ac:dyDescent="0.2">
      <c r="A1165" s="2">
        <v>44166</v>
      </c>
      <c r="B1165">
        <v>0.92</v>
      </c>
      <c r="C1165" s="11">
        <f t="shared" si="18"/>
        <v>9.1999999999999998E-3</v>
      </c>
    </row>
    <row r="1166" spans="1:3" x14ac:dyDescent="0.2">
      <c r="A1166" s="2">
        <v>44167</v>
      </c>
      <c r="B1166">
        <v>0.95</v>
      </c>
      <c r="C1166" s="11">
        <f t="shared" si="18"/>
        <v>9.4999999999999998E-3</v>
      </c>
    </row>
    <row r="1167" spans="1:3" x14ac:dyDescent="0.2">
      <c r="A1167" s="2">
        <v>44168</v>
      </c>
      <c r="B1167">
        <v>0.92</v>
      </c>
      <c r="C1167" s="11">
        <f t="shared" si="18"/>
        <v>9.1999999999999998E-3</v>
      </c>
    </row>
    <row r="1168" spans="1:3" x14ac:dyDescent="0.2">
      <c r="A1168" s="2">
        <v>44169</v>
      </c>
      <c r="B1168">
        <v>0.97</v>
      </c>
      <c r="C1168" s="11">
        <f t="shared" si="18"/>
        <v>9.7000000000000003E-3</v>
      </c>
    </row>
    <row r="1169" spans="1:3" x14ac:dyDescent="0.2">
      <c r="A1169" s="2">
        <v>44172</v>
      </c>
      <c r="B1169">
        <v>0.94</v>
      </c>
      <c r="C1169" s="11">
        <f t="shared" si="18"/>
        <v>9.3999999999999986E-3</v>
      </c>
    </row>
    <row r="1170" spans="1:3" x14ac:dyDescent="0.2">
      <c r="A1170" s="2">
        <v>44173</v>
      </c>
      <c r="B1170">
        <v>0.92</v>
      </c>
      <c r="C1170" s="11">
        <f t="shared" si="18"/>
        <v>9.1999999999999998E-3</v>
      </c>
    </row>
    <row r="1171" spans="1:3" x14ac:dyDescent="0.2">
      <c r="A1171" s="2">
        <v>44174</v>
      </c>
      <c r="B1171">
        <v>0.95</v>
      </c>
      <c r="C1171" s="11">
        <f t="shared" si="18"/>
        <v>9.4999999999999998E-3</v>
      </c>
    </row>
    <row r="1172" spans="1:3" x14ac:dyDescent="0.2">
      <c r="A1172" s="2">
        <v>44175</v>
      </c>
      <c r="B1172">
        <v>0.92</v>
      </c>
      <c r="C1172" s="11">
        <f t="shared" si="18"/>
        <v>9.1999999999999998E-3</v>
      </c>
    </row>
    <row r="1173" spans="1:3" x14ac:dyDescent="0.2">
      <c r="A1173" s="2">
        <v>44176</v>
      </c>
      <c r="B1173">
        <v>0.9</v>
      </c>
      <c r="C1173" s="11">
        <f t="shared" si="18"/>
        <v>9.0000000000000011E-3</v>
      </c>
    </row>
    <row r="1174" spans="1:3" x14ac:dyDescent="0.2">
      <c r="A1174" s="2">
        <v>44179</v>
      </c>
      <c r="B1174">
        <v>0.9</v>
      </c>
      <c r="C1174" s="11">
        <f t="shared" si="18"/>
        <v>9.0000000000000011E-3</v>
      </c>
    </row>
    <row r="1175" spans="1:3" x14ac:dyDescent="0.2">
      <c r="A1175" s="2">
        <v>44180</v>
      </c>
      <c r="B1175">
        <v>0.92</v>
      </c>
      <c r="C1175" s="11">
        <f t="shared" si="18"/>
        <v>9.1999999999999998E-3</v>
      </c>
    </row>
    <row r="1176" spans="1:3" x14ac:dyDescent="0.2">
      <c r="A1176" s="2">
        <v>44181</v>
      </c>
      <c r="B1176">
        <v>0.92</v>
      </c>
      <c r="C1176" s="11">
        <f t="shared" si="18"/>
        <v>9.1999999999999998E-3</v>
      </c>
    </row>
    <row r="1177" spans="1:3" x14ac:dyDescent="0.2">
      <c r="A1177" s="2">
        <v>44182</v>
      </c>
      <c r="B1177">
        <v>0.94</v>
      </c>
      <c r="C1177" s="11">
        <f t="shared" si="18"/>
        <v>9.3999999999999986E-3</v>
      </c>
    </row>
    <row r="1178" spans="1:3" x14ac:dyDescent="0.2">
      <c r="A1178" s="2">
        <v>44183</v>
      </c>
      <c r="B1178">
        <v>0.95</v>
      </c>
      <c r="C1178" s="11">
        <f t="shared" si="18"/>
        <v>9.4999999999999998E-3</v>
      </c>
    </row>
    <row r="1179" spans="1:3" x14ac:dyDescent="0.2">
      <c r="A1179" s="2">
        <v>44186</v>
      </c>
      <c r="B1179">
        <v>0.95</v>
      </c>
      <c r="C1179" s="11">
        <f t="shared" si="18"/>
        <v>9.4999999999999998E-3</v>
      </c>
    </row>
    <row r="1180" spans="1:3" x14ac:dyDescent="0.2">
      <c r="A1180" s="2">
        <v>44187</v>
      </c>
      <c r="B1180">
        <v>0.93</v>
      </c>
      <c r="C1180" s="11">
        <f t="shared" si="18"/>
        <v>9.300000000000001E-3</v>
      </c>
    </row>
    <row r="1181" spans="1:3" x14ac:dyDescent="0.2">
      <c r="A1181" s="2">
        <v>44188</v>
      </c>
      <c r="B1181">
        <v>0.96</v>
      </c>
      <c r="C1181" s="11">
        <f t="shared" si="18"/>
        <v>9.5999999999999992E-3</v>
      </c>
    </row>
    <row r="1182" spans="1:3" x14ac:dyDescent="0.2">
      <c r="A1182" s="2">
        <v>44189</v>
      </c>
      <c r="B1182">
        <v>0.94</v>
      </c>
      <c r="C1182" s="11">
        <f t="shared" si="18"/>
        <v>9.3999999999999986E-3</v>
      </c>
    </row>
    <row r="1183" spans="1:3" x14ac:dyDescent="0.2">
      <c r="A1183" s="2">
        <v>44193</v>
      </c>
      <c r="B1183">
        <v>0.94</v>
      </c>
      <c r="C1183" s="11">
        <f t="shared" si="18"/>
        <v>9.3999999999999986E-3</v>
      </c>
    </row>
    <row r="1184" spans="1:3" x14ac:dyDescent="0.2">
      <c r="A1184" s="2">
        <v>44194</v>
      </c>
      <c r="B1184">
        <v>0.94</v>
      </c>
      <c r="C1184" s="11">
        <f t="shared" si="18"/>
        <v>9.3999999999999986E-3</v>
      </c>
    </row>
    <row r="1185" spans="1:3" x14ac:dyDescent="0.2">
      <c r="A1185" s="2">
        <v>44195</v>
      </c>
      <c r="B1185">
        <v>0.93</v>
      </c>
      <c r="C1185" s="11">
        <f t="shared" si="18"/>
        <v>9.300000000000001E-3</v>
      </c>
    </row>
    <row r="1186" spans="1:3" x14ac:dyDescent="0.2">
      <c r="A1186" s="2">
        <v>44196</v>
      </c>
      <c r="B1186">
        <v>0.93</v>
      </c>
      <c r="C1186" s="11">
        <f t="shared" si="18"/>
        <v>9.300000000000001E-3</v>
      </c>
    </row>
    <row r="1187" spans="1:3" x14ac:dyDescent="0.2">
      <c r="A1187" s="2">
        <v>44200</v>
      </c>
      <c r="B1187">
        <v>0.93</v>
      </c>
      <c r="C1187" s="11">
        <f t="shared" si="18"/>
        <v>9.300000000000001E-3</v>
      </c>
    </row>
    <row r="1188" spans="1:3" x14ac:dyDescent="0.2">
      <c r="A1188" s="2">
        <v>44201</v>
      </c>
      <c r="B1188">
        <v>0.96</v>
      </c>
      <c r="C1188" s="11">
        <f t="shared" si="18"/>
        <v>9.5999999999999992E-3</v>
      </c>
    </row>
    <row r="1189" spans="1:3" x14ac:dyDescent="0.2">
      <c r="A1189" s="2">
        <v>44202</v>
      </c>
      <c r="B1189">
        <v>1.04</v>
      </c>
      <c r="C1189" s="11">
        <f t="shared" si="18"/>
        <v>1.04E-2</v>
      </c>
    </row>
    <row r="1190" spans="1:3" x14ac:dyDescent="0.2">
      <c r="A1190" s="2">
        <v>44203</v>
      </c>
      <c r="B1190">
        <v>1.08</v>
      </c>
      <c r="C1190" s="11">
        <f t="shared" si="18"/>
        <v>1.0800000000000001E-2</v>
      </c>
    </row>
    <row r="1191" spans="1:3" x14ac:dyDescent="0.2">
      <c r="A1191" s="2">
        <v>44204</v>
      </c>
      <c r="B1191">
        <v>1.1299999999999999</v>
      </c>
      <c r="C1191" s="11">
        <f t="shared" si="18"/>
        <v>1.1299999999999999E-2</v>
      </c>
    </row>
    <row r="1192" spans="1:3" x14ac:dyDescent="0.2">
      <c r="A1192" s="2">
        <v>44207</v>
      </c>
      <c r="B1192">
        <v>1.1499999999999999</v>
      </c>
      <c r="C1192" s="11">
        <f t="shared" si="18"/>
        <v>1.15E-2</v>
      </c>
    </row>
    <row r="1193" spans="1:3" x14ac:dyDescent="0.2">
      <c r="A1193" s="2">
        <v>44208</v>
      </c>
      <c r="B1193">
        <v>1.1499999999999999</v>
      </c>
      <c r="C1193" s="11">
        <f t="shared" si="18"/>
        <v>1.15E-2</v>
      </c>
    </row>
    <row r="1194" spans="1:3" x14ac:dyDescent="0.2">
      <c r="A1194" s="2">
        <v>44209</v>
      </c>
      <c r="B1194">
        <v>1.1000000000000001</v>
      </c>
      <c r="C1194" s="11">
        <f t="shared" si="18"/>
        <v>1.1000000000000001E-2</v>
      </c>
    </row>
    <row r="1195" spans="1:3" x14ac:dyDescent="0.2">
      <c r="A1195" s="2">
        <v>44210</v>
      </c>
      <c r="B1195">
        <v>1.1499999999999999</v>
      </c>
      <c r="C1195" s="11">
        <f t="shared" si="18"/>
        <v>1.15E-2</v>
      </c>
    </row>
    <row r="1196" spans="1:3" x14ac:dyDescent="0.2">
      <c r="A1196" s="2">
        <v>44211</v>
      </c>
      <c r="B1196">
        <v>1.1100000000000001</v>
      </c>
      <c r="C1196" s="11">
        <f t="shared" si="18"/>
        <v>1.11E-2</v>
      </c>
    </row>
    <row r="1197" spans="1:3" x14ac:dyDescent="0.2">
      <c r="A1197" s="2">
        <v>44215</v>
      </c>
      <c r="B1197">
        <v>1.1000000000000001</v>
      </c>
      <c r="C1197" s="11">
        <f t="shared" si="18"/>
        <v>1.1000000000000001E-2</v>
      </c>
    </row>
    <row r="1198" spans="1:3" x14ac:dyDescent="0.2">
      <c r="A1198" s="2">
        <v>44216</v>
      </c>
      <c r="B1198">
        <v>1.1000000000000001</v>
      </c>
      <c r="C1198" s="11">
        <f t="shared" si="18"/>
        <v>1.1000000000000001E-2</v>
      </c>
    </row>
    <row r="1199" spans="1:3" x14ac:dyDescent="0.2">
      <c r="A1199" s="2">
        <v>44217</v>
      </c>
      <c r="B1199">
        <v>1.1200000000000001</v>
      </c>
      <c r="C1199" s="11">
        <f t="shared" si="18"/>
        <v>1.1200000000000002E-2</v>
      </c>
    </row>
    <row r="1200" spans="1:3" x14ac:dyDescent="0.2">
      <c r="A1200" s="2">
        <v>44218</v>
      </c>
      <c r="B1200">
        <v>1.1000000000000001</v>
      </c>
      <c r="C1200" s="11">
        <f t="shared" si="18"/>
        <v>1.1000000000000001E-2</v>
      </c>
    </row>
    <row r="1201" spans="1:3" x14ac:dyDescent="0.2">
      <c r="A1201" s="2">
        <v>44221</v>
      </c>
      <c r="B1201">
        <v>1.05</v>
      </c>
      <c r="C1201" s="11">
        <f t="shared" si="18"/>
        <v>1.0500000000000001E-2</v>
      </c>
    </row>
    <row r="1202" spans="1:3" x14ac:dyDescent="0.2">
      <c r="A1202" s="2">
        <v>44222</v>
      </c>
      <c r="B1202">
        <v>1.05</v>
      </c>
      <c r="C1202" s="11">
        <f t="shared" si="18"/>
        <v>1.0500000000000001E-2</v>
      </c>
    </row>
    <row r="1203" spans="1:3" x14ac:dyDescent="0.2">
      <c r="A1203" s="2">
        <v>44223</v>
      </c>
      <c r="B1203">
        <v>1.04</v>
      </c>
      <c r="C1203" s="11">
        <f t="shared" si="18"/>
        <v>1.04E-2</v>
      </c>
    </row>
    <row r="1204" spans="1:3" x14ac:dyDescent="0.2">
      <c r="A1204" s="2">
        <v>44224</v>
      </c>
      <c r="B1204">
        <v>1.07</v>
      </c>
      <c r="C1204" s="11">
        <f t="shared" si="18"/>
        <v>1.0700000000000001E-2</v>
      </c>
    </row>
    <row r="1205" spans="1:3" x14ac:dyDescent="0.2">
      <c r="A1205" s="2">
        <v>44225</v>
      </c>
      <c r="B1205">
        <v>1.1100000000000001</v>
      </c>
      <c r="C1205" s="11">
        <f t="shared" si="18"/>
        <v>1.11E-2</v>
      </c>
    </row>
    <row r="1206" spans="1:3" x14ac:dyDescent="0.2">
      <c r="A1206" s="2">
        <v>44228</v>
      </c>
      <c r="B1206">
        <v>1.0900000000000001</v>
      </c>
      <c r="C1206" s="11">
        <f t="shared" si="18"/>
        <v>1.09E-2</v>
      </c>
    </row>
    <row r="1207" spans="1:3" x14ac:dyDescent="0.2">
      <c r="A1207" s="2">
        <v>44229</v>
      </c>
      <c r="B1207">
        <v>1.1200000000000001</v>
      </c>
      <c r="C1207" s="11">
        <f t="shared" si="18"/>
        <v>1.1200000000000002E-2</v>
      </c>
    </row>
    <row r="1208" spans="1:3" x14ac:dyDescent="0.2">
      <c r="A1208" s="2">
        <v>44230</v>
      </c>
      <c r="B1208">
        <v>1.1499999999999999</v>
      </c>
      <c r="C1208" s="11">
        <f t="shared" si="18"/>
        <v>1.15E-2</v>
      </c>
    </row>
    <row r="1209" spans="1:3" x14ac:dyDescent="0.2">
      <c r="A1209" s="2">
        <v>44231</v>
      </c>
      <c r="B1209">
        <v>1.1499999999999999</v>
      </c>
      <c r="C1209" s="11">
        <f t="shared" si="18"/>
        <v>1.15E-2</v>
      </c>
    </row>
    <row r="1210" spans="1:3" x14ac:dyDescent="0.2">
      <c r="A1210" s="2">
        <v>44232</v>
      </c>
      <c r="B1210">
        <v>1.19</v>
      </c>
      <c r="C1210" s="11">
        <f t="shared" si="18"/>
        <v>1.1899999999999999E-2</v>
      </c>
    </row>
    <row r="1211" spans="1:3" x14ac:dyDescent="0.2">
      <c r="A1211" s="2">
        <v>44235</v>
      </c>
      <c r="B1211">
        <v>1.19</v>
      </c>
      <c r="C1211" s="11">
        <f t="shared" si="18"/>
        <v>1.1899999999999999E-2</v>
      </c>
    </row>
    <row r="1212" spans="1:3" x14ac:dyDescent="0.2">
      <c r="A1212" s="2">
        <v>44236</v>
      </c>
      <c r="B1212">
        <v>1.18</v>
      </c>
      <c r="C1212" s="11">
        <f t="shared" si="18"/>
        <v>1.18E-2</v>
      </c>
    </row>
    <row r="1213" spans="1:3" x14ac:dyDescent="0.2">
      <c r="A1213" s="2">
        <v>44237</v>
      </c>
      <c r="B1213">
        <v>1.1499999999999999</v>
      </c>
      <c r="C1213" s="11">
        <f t="shared" si="18"/>
        <v>1.15E-2</v>
      </c>
    </row>
    <row r="1214" spans="1:3" x14ac:dyDescent="0.2">
      <c r="A1214" s="2">
        <v>44238</v>
      </c>
      <c r="B1214">
        <v>1.1599999999999999</v>
      </c>
      <c r="C1214" s="11">
        <f t="shared" si="18"/>
        <v>1.1599999999999999E-2</v>
      </c>
    </row>
    <row r="1215" spans="1:3" x14ac:dyDescent="0.2">
      <c r="A1215" s="2">
        <v>44239</v>
      </c>
      <c r="B1215">
        <v>1.2</v>
      </c>
      <c r="C1215" s="11">
        <f t="shared" si="18"/>
        <v>1.2E-2</v>
      </c>
    </row>
    <row r="1216" spans="1:3" x14ac:dyDescent="0.2">
      <c r="A1216" s="2">
        <v>44243</v>
      </c>
      <c r="B1216">
        <v>1.3</v>
      </c>
      <c r="C1216" s="11">
        <f t="shared" si="18"/>
        <v>1.3000000000000001E-2</v>
      </c>
    </row>
    <row r="1217" spans="1:3" x14ac:dyDescent="0.2">
      <c r="A1217" s="2">
        <v>44244</v>
      </c>
      <c r="B1217">
        <v>1.29</v>
      </c>
      <c r="C1217" s="11">
        <f t="shared" si="18"/>
        <v>1.29E-2</v>
      </c>
    </row>
    <row r="1218" spans="1:3" x14ac:dyDescent="0.2">
      <c r="A1218" s="2">
        <v>44245</v>
      </c>
      <c r="B1218">
        <v>1.29</v>
      </c>
      <c r="C1218" s="11">
        <f t="shared" si="18"/>
        <v>1.29E-2</v>
      </c>
    </row>
    <row r="1219" spans="1:3" x14ac:dyDescent="0.2">
      <c r="A1219" s="2">
        <v>44246</v>
      </c>
      <c r="B1219">
        <v>1.34</v>
      </c>
      <c r="C1219" s="11">
        <f t="shared" ref="C1219:C1282" si="19">B1219/100</f>
        <v>1.34E-2</v>
      </c>
    </row>
    <row r="1220" spans="1:3" x14ac:dyDescent="0.2">
      <c r="A1220" s="2">
        <v>44249</v>
      </c>
      <c r="B1220">
        <v>1.37</v>
      </c>
      <c r="C1220" s="11">
        <f t="shared" si="19"/>
        <v>1.37E-2</v>
      </c>
    </row>
    <row r="1221" spans="1:3" x14ac:dyDescent="0.2">
      <c r="A1221" s="2">
        <v>44250</v>
      </c>
      <c r="B1221">
        <v>1.37</v>
      </c>
      <c r="C1221" s="11">
        <f t="shared" si="19"/>
        <v>1.37E-2</v>
      </c>
    </row>
    <row r="1222" spans="1:3" x14ac:dyDescent="0.2">
      <c r="A1222" s="2">
        <v>44251</v>
      </c>
      <c r="B1222">
        <v>1.38</v>
      </c>
      <c r="C1222" s="11">
        <f t="shared" si="19"/>
        <v>1.38E-2</v>
      </c>
    </row>
    <row r="1223" spans="1:3" x14ac:dyDescent="0.2">
      <c r="A1223" s="2">
        <v>44252</v>
      </c>
      <c r="B1223">
        <v>1.54</v>
      </c>
      <c r="C1223" s="11">
        <f t="shared" si="19"/>
        <v>1.54E-2</v>
      </c>
    </row>
    <row r="1224" spans="1:3" x14ac:dyDescent="0.2">
      <c r="A1224" s="2">
        <v>44253</v>
      </c>
      <c r="B1224">
        <v>1.44</v>
      </c>
      <c r="C1224" s="11">
        <f t="shared" si="19"/>
        <v>1.44E-2</v>
      </c>
    </row>
    <row r="1225" spans="1:3" x14ac:dyDescent="0.2">
      <c r="A1225" s="2">
        <v>44256</v>
      </c>
      <c r="B1225">
        <v>1.45</v>
      </c>
      <c r="C1225" s="11">
        <f t="shared" si="19"/>
        <v>1.4499999999999999E-2</v>
      </c>
    </row>
    <row r="1226" spans="1:3" x14ac:dyDescent="0.2">
      <c r="A1226" s="2">
        <v>44257</v>
      </c>
      <c r="B1226">
        <v>1.42</v>
      </c>
      <c r="C1226" s="11">
        <f t="shared" si="19"/>
        <v>1.4199999999999999E-2</v>
      </c>
    </row>
    <row r="1227" spans="1:3" x14ac:dyDescent="0.2">
      <c r="A1227" s="2">
        <v>44258</v>
      </c>
      <c r="B1227">
        <v>1.47</v>
      </c>
      <c r="C1227" s="11">
        <f t="shared" si="19"/>
        <v>1.47E-2</v>
      </c>
    </row>
    <row r="1228" spans="1:3" x14ac:dyDescent="0.2">
      <c r="A1228" s="2">
        <v>44259</v>
      </c>
      <c r="B1228">
        <v>1.54</v>
      </c>
      <c r="C1228" s="11">
        <f t="shared" si="19"/>
        <v>1.54E-2</v>
      </c>
    </row>
    <row r="1229" spans="1:3" x14ac:dyDescent="0.2">
      <c r="A1229" s="2">
        <v>44260</v>
      </c>
      <c r="B1229">
        <v>1.56</v>
      </c>
      <c r="C1229" s="11">
        <f t="shared" si="19"/>
        <v>1.5600000000000001E-2</v>
      </c>
    </row>
    <row r="1230" spans="1:3" x14ac:dyDescent="0.2">
      <c r="A1230" s="2">
        <v>44263</v>
      </c>
      <c r="B1230">
        <v>1.59</v>
      </c>
      <c r="C1230" s="11">
        <f t="shared" si="19"/>
        <v>1.5900000000000001E-2</v>
      </c>
    </row>
    <row r="1231" spans="1:3" x14ac:dyDescent="0.2">
      <c r="A1231" s="2">
        <v>44264</v>
      </c>
      <c r="B1231">
        <v>1.55</v>
      </c>
      <c r="C1231" s="11">
        <f t="shared" si="19"/>
        <v>1.55E-2</v>
      </c>
    </row>
    <row r="1232" spans="1:3" x14ac:dyDescent="0.2">
      <c r="A1232" s="2">
        <v>44265</v>
      </c>
      <c r="B1232">
        <v>1.53</v>
      </c>
      <c r="C1232" s="11">
        <f t="shared" si="19"/>
        <v>1.5300000000000001E-2</v>
      </c>
    </row>
    <row r="1233" spans="1:3" x14ac:dyDescent="0.2">
      <c r="A1233" s="2">
        <v>44266</v>
      </c>
      <c r="B1233">
        <v>1.54</v>
      </c>
      <c r="C1233" s="11">
        <f t="shared" si="19"/>
        <v>1.54E-2</v>
      </c>
    </row>
    <row r="1234" spans="1:3" x14ac:dyDescent="0.2">
      <c r="A1234" s="2">
        <v>44267</v>
      </c>
      <c r="B1234">
        <v>1.64</v>
      </c>
      <c r="C1234" s="11">
        <f t="shared" si="19"/>
        <v>1.6399999999999998E-2</v>
      </c>
    </row>
    <row r="1235" spans="1:3" x14ac:dyDescent="0.2">
      <c r="A1235" s="2">
        <v>44270</v>
      </c>
      <c r="B1235">
        <v>1.62</v>
      </c>
      <c r="C1235" s="11">
        <f t="shared" si="19"/>
        <v>1.6200000000000003E-2</v>
      </c>
    </row>
    <row r="1236" spans="1:3" x14ac:dyDescent="0.2">
      <c r="A1236" s="2">
        <v>44271</v>
      </c>
      <c r="B1236">
        <v>1.62</v>
      </c>
      <c r="C1236" s="11">
        <f t="shared" si="19"/>
        <v>1.6200000000000003E-2</v>
      </c>
    </row>
    <row r="1237" spans="1:3" x14ac:dyDescent="0.2">
      <c r="A1237" s="2">
        <v>44272</v>
      </c>
      <c r="B1237">
        <v>1.63</v>
      </c>
      <c r="C1237" s="11">
        <f t="shared" si="19"/>
        <v>1.6299999999999999E-2</v>
      </c>
    </row>
    <row r="1238" spans="1:3" x14ac:dyDescent="0.2">
      <c r="A1238" s="2">
        <v>44273</v>
      </c>
      <c r="B1238">
        <v>1.71</v>
      </c>
      <c r="C1238" s="11">
        <f t="shared" si="19"/>
        <v>1.7100000000000001E-2</v>
      </c>
    </row>
    <row r="1239" spans="1:3" x14ac:dyDescent="0.2">
      <c r="A1239" s="2">
        <v>44274</v>
      </c>
      <c r="B1239">
        <v>1.74</v>
      </c>
      <c r="C1239" s="11">
        <f t="shared" si="19"/>
        <v>1.7399999999999999E-2</v>
      </c>
    </row>
    <row r="1240" spans="1:3" x14ac:dyDescent="0.2">
      <c r="A1240" s="2">
        <v>44277</v>
      </c>
      <c r="B1240">
        <v>1.69</v>
      </c>
      <c r="C1240" s="11">
        <f t="shared" si="19"/>
        <v>1.6899999999999998E-2</v>
      </c>
    </row>
    <row r="1241" spans="1:3" x14ac:dyDescent="0.2">
      <c r="A1241" s="2">
        <v>44278</v>
      </c>
      <c r="B1241">
        <v>1.63</v>
      </c>
      <c r="C1241" s="11">
        <f t="shared" si="19"/>
        <v>1.6299999999999999E-2</v>
      </c>
    </row>
    <row r="1242" spans="1:3" x14ac:dyDescent="0.2">
      <c r="A1242" s="2">
        <v>44279</v>
      </c>
      <c r="B1242">
        <v>1.62</v>
      </c>
      <c r="C1242" s="11">
        <f t="shared" si="19"/>
        <v>1.6200000000000003E-2</v>
      </c>
    </row>
    <row r="1243" spans="1:3" x14ac:dyDescent="0.2">
      <c r="A1243" s="2">
        <v>44280</v>
      </c>
      <c r="B1243">
        <v>1.63</v>
      </c>
      <c r="C1243" s="11">
        <f t="shared" si="19"/>
        <v>1.6299999999999999E-2</v>
      </c>
    </row>
    <row r="1244" spans="1:3" x14ac:dyDescent="0.2">
      <c r="A1244" s="2">
        <v>44281</v>
      </c>
      <c r="B1244">
        <v>1.67</v>
      </c>
      <c r="C1244" s="11">
        <f t="shared" si="19"/>
        <v>1.67E-2</v>
      </c>
    </row>
    <row r="1245" spans="1:3" x14ac:dyDescent="0.2">
      <c r="A1245" s="2">
        <v>44284</v>
      </c>
      <c r="B1245">
        <v>1.73</v>
      </c>
      <c r="C1245" s="11">
        <f t="shared" si="19"/>
        <v>1.7299999999999999E-2</v>
      </c>
    </row>
    <row r="1246" spans="1:3" x14ac:dyDescent="0.2">
      <c r="A1246" s="2">
        <v>44285</v>
      </c>
      <c r="B1246">
        <v>1.73</v>
      </c>
      <c r="C1246" s="11">
        <f t="shared" si="19"/>
        <v>1.7299999999999999E-2</v>
      </c>
    </row>
    <row r="1247" spans="1:3" x14ac:dyDescent="0.2">
      <c r="A1247" s="2">
        <v>44286</v>
      </c>
      <c r="B1247">
        <v>1.74</v>
      </c>
      <c r="C1247" s="11">
        <f t="shared" si="19"/>
        <v>1.7399999999999999E-2</v>
      </c>
    </row>
    <row r="1248" spans="1:3" x14ac:dyDescent="0.2">
      <c r="A1248" s="2">
        <v>44287</v>
      </c>
      <c r="B1248">
        <v>1.69</v>
      </c>
      <c r="C1248" s="11">
        <f t="shared" si="19"/>
        <v>1.6899999999999998E-2</v>
      </c>
    </row>
    <row r="1249" spans="1:3" x14ac:dyDescent="0.2">
      <c r="A1249" s="2">
        <v>44288</v>
      </c>
      <c r="B1249">
        <v>1.72</v>
      </c>
      <c r="C1249" s="11">
        <f t="shared" si="19"/>
        <v>1.72E-2</v>
      </c>
    </row>
    <row r="1250" spans="1:3" x14ac:dyDescent="0.2">
      <c r="A1250" s="2">
        <v>44291</v>
      </c>
      <c r="B1250">
        <v>1.73</v>
      </c>
      <c r="C1250" s="11">
        <f t="shared" si="19"/>
        <v>1.7299999999999999E-2</v>
      </c>
    </row>
    <row r="1251" spans="1:3" x14ac:dyDescent="0.2">
      <c r="A1251" s="2">
        <v>44292</v>
      </c>
      <c r="B1251">
        <v>1.67</v>
      </c>
      <c r="C1251" s="11">
        <f t="shared" si="19"/>
        <v>1.67E-2</v>
      </c>
    </row>
    <row r="1252" spans="1:3" x14ac:dyDescent="0.2">
      <c r="A1252" s="2">
        <v>44293</v>
      </c>
      <c r="B1252">
        <v>1.68</v>
      </c>
      <c r="C1252" s="11">
        <f t="shared" si="19"/>
        <v>1.6799999999999999E-2</v>
      </c>
    </row>
    <row r="1253" spans="1:3" x14ac:dyDescent="0.2">
      <c r="A1253" s="2">
        <v>44294</v>
      </c>
      <c r="B1253">
        <v>1.64</v>
      </c>
      <c r="C1253" s="11">
        <f t="shared" si="19"/>
        <v>1.6399999999999998E-2</v>
      </c>
    </row>
    <row r="1254" spans="1:3" x14ac:dyDescent="0.2">
      <c r="A1254" s="2">
        <v>44295</v>
      </c>
      <c r="B1254">
        <v>1.67</v>
      </c>
      <c r="C1254" s="11">
        <f t="shared" si="19"/>
        <v>1.67E-2</v>
      </c>
    </row>
    <row r="1255" spans="1:3" x14ac:dyDescent="0.2">
      <c r="A1255" s="2">
        <v>44298</v>
      </c>
      <c r="B1255">
        <v>1.69</v>
      </c>
      <c r="C1255" s="11">
        <f t="shared" si="19"/>
        <v>1.6899999999999998E-2</v>
      </c>
    </row>
    <row r="1256" spans="1:3" x14ac:dyDescent="0.2">
      <c r="A1256" s="2">
        <v>44299</v>
      </c>
      <c r="B1256">
        <v>1.64</v>
      </c>
      <c r="C1256" s="11">
        <f t="shared" si="19"/>
        <v>1.6399999999999998E-2</v>
      </c>
    </row>
    <row r="1257" spans="1:3" x14ac:dyDescent="0.2">
      <c r="A1257" s="2">
        <v>44300</v>
      </c>
      <c r="B1257">
        <v>1.64</v>
      </c>
      <c r="C1257" s="11">
        <f t="shared" si="19"/>
        <v>1.6399999999999998E-2</v>
      </c>
    </row>
    <row r="1258" spans="1:3" x14ac:dyDescent="0.2">
      <c r="A1258" s="2">
        <v>44301</v>
      </c>
      <c r="B1258">
        <v>1.56</v>
      </c>
      <c r="C1258" s="11">
        <f t="shared" si="19"/>
        <v>1.5600000000000001E-2</v>
      </c>
    </row>
    <row r="1259" spans="1:3" x14ac:dyDescent="0.2">
      <c r="A1259" s="2">
        <v>44302</v>
      </c>
      <c r="B1259">
        <v>1.59</v>
      </c>
      <c r="C1259" s="11">
        <f t="shared" si="19"/>
        <v>1.5900000000000001E-2</v>
      </c>
    </row>
    <row r="1260" spans="1:3" x14ac:dyDescent="0.2">
      <c r="A1260" s="2">
        <v>44305</v>
      </c>
      <c r="B1260">
        <v>1.61</v>
      </c>
      <c r="C1260" s="11">
        <f t="shared" si="19"/>
        <v>1.61E-2</v>
      </c>
    </row>
    <row r="1261" spans="1:3" x14ac:dyDescent="0.2">
      <c r="A1261" s="2">
        <v>44306</v>
      </c>
      <c r="B1261">
        <v>1.58</v>
      </c>
      <c r="C1261" s="11">
        <f t="shared" si="19"/>
        <v>1.5800000000000002E-2</v>
      </c>
    </row>
    <row r="1262" spans="1:3" x14ac:dyDescent="0.2">
      <c r="A1262" s="2">
        <v>44307</v>
      </c>
      <c r="B1262">
        <v>1.57</v>
      </c>
      <c r="C1262" s="11">
        <f t="shared" si="19"/>
        <v>1.5700000000000002E-2</v>
      </c>
    </row>
    <row r="1263" spans="1:3" x14ac:dyDescent="0.2">
      <c r="A1263" s="2">
        <v>44308</v>
      </c>
      <c r="B1263">
        <v>1.57</v>
      </c>
      <c r="C1263" s="11">
        <f t="shared" si="19"/>
        <v>1.5700000000000002E-2</v>
      </c>
    </row>
    <row r="1264" spans="1:3" x14ac:dyDescent="0.2">
      <c r="A1264" s="2">
        <v>44309</v>
      </c>
      <c r="B1264">
        <v>1.58</v>
      </c>
      <c r="C1264" s="11">
        <f t="shared" si="19"/>
        <v>1.5800000000000002E-2</v>
      </c>
    </row>
    <row r="1265" spans="1:3" x14ac:dyDescent="0.2">
      <c r="A1265" s="2">
        <v>44312</v>
      </c>
      <c r="B1265">
        <v>1.58</v>
      </c>
      <c r="C1265" s="11">
        <f t="shared" si="19"/>
        <v>1.5800000000000002E-2</v>
      </c>
    </row>
    <row r="1266" spans="1:3" x14ac:dyDescent="0.2">
      <c r="A1266" s="2">
        <v>44313</v>
      </c>
      <c r="B1266">
        <v>1.63</v>
      </c>
      <c r="C1266" s="11">
        <f t="shared" si="19"/>
        <v>1.6299999999999999E-2</v>
      </c>
    </row>
    <row r="1267" spans="1:3" x14ac:dyDescent="0.2">
      <c r="A1267" s="2">
        <v>44314</v>
      </c>
      <c r="B1267">
        <v>1.63</v>
      </c>
      <c r="C1267" s="11">
        <f t="shared" si="19"/>
        <v>1.6299999999999999E-2</v>
      </c>
    </row>
    <row r="1268" spans="1:3" x14ac:dyDescent="0.2">
      <c r="A1268" s="2">
        <v>44315</v>
      </c>
      <c r="B1268">
        <v>1.65</v>
      </c>
      <c r="C1268" s="11">
        <f t="shared" si="19"/>
        <v>1.6500000000000001E-2</v>
      </c>
    </row>
    <row r="1269" spans="1:3" x14ac:dyDescent="0.2">
      <c r="A1269" s="2">
        <v>44316</v>
      </c>
      <c r="B1269">
        <v>1.65</v>
      </c>
      <c r="C1269" s="11">
        <f t="shared" si="19"/>
        <v>1.6500000000000001E-2</v>
      </c>
    </row>
    <row r="1270" spans="1:3" x14ac:dyDescent="0.2">
      <c r="A1270" s="2">
        <v>44319</v>
      </c>
      <c r="B1270">
        <v>1.63</v>
      </c>
      <c r="C1270" s="11">
        <f t="shared" si="19"/>
        <v>1.6299999999999999E-2</v>
      </c>
    </row>
    <row r="1271" spans="1:3" x14ac:dyDescent="0.2">
      <c r="A1271" s="2">
        <v>44320</v>
      </c>
      <c r="B1271">
        <v>1.61</v>
      </c>
      <c r="C1271" s="11">
        <f t="shared" si="19"/>
        <v>1.61E-2</v>
      </c>
    </row>
    <row r="1272" spans="1:3" x14ac:dyDescent="0.2">
      <c r="A1272" s="2">
        <v>44321</v>
      </c>
      <c r="B1272">
        <v>1.59</v>
      </c>
      <c r="C1272" s="11">
        <f t="shared" si="19"/>
        <v>1.5900000000000001E-2</v>
      </c>
    </row>
    <row r="1273" spans="1:3" x14ac:dyDescent="0.2">
      <c r="A1273" s="2">
        <v>44322</v>
      </c>
      <c r="B1273">
        <v>1.58</v>
      </c>
      <c r="C1273" s="11">
        <f t="shared" si="19"/>
        <v>1.5800000000000002E-2</v>
      </c>
    </row>
    <row r="1274" spans="1:3" x14ac:dyDescent="0.2">
      <c r="A1274" s="2">
        <v>44323</v>
      </c>
      <c r="B1274">
        <v>1.6</v>
      </c>
      <c r="C1274" s="11">
        <f t="shared" si="19"/>
        <v>1.6E-2</v>
      </c>
    </row>
    <row r="1275" spans="1:3" x14ac:dyDescent="0.2">
      <c r="A1275" s="2">
        <v>44326</v>
      </c>
      <c r="B1275">
        <v>1.63</v>
      </c>
      <c r="C1275" s="11">
        <f t="shared" si="19"/>
        <v>1.6299999999999999E-2</v>
      </c>
    </row>
    <row r="1276" spans="1:3" x14ac:dyDescent="0.2">
      <c r="A1276" s="2">
        <v>44327</v>
      </c>
      <c r="B1276">
        <v>1.64</v>
      </c>
      <c r="C1276" s="11">
        <f t="shared" si="19"/>
        <v>1.6399999999999998E-2</v>
      </c>
    </row>
    <row r="1277" spans="1:3" x14ac:dyDescent="0.2">
      <c r="A1277" s="2">
        <v>44328</v>
      </c>
      <c r="B1277">
        <v>1.69</v>
      </c>
      <c r="C1277" s="11">
        <f t="shared" si="19"/>
        <v>1.6899999999999998E-2</v>
      </c>
    </row>
    <row r="1278" spans="1:3" x14ac:dyDescent="0.2">
      <c r="A1278" s="2">
        <v>44329</v>
      </c>
      <c r="B1278">
        <v>1.66</v>
      </c>
      <c r="C1278" s="11">
        <f t="shared" si="19"/>
        <v>1.66E-2</v>
      </c>
    </row>
    <row r="1279" spans="1:3" x14ac:dyDescent="0.2">
      <c r="A1279" s="2">
        <v>44330</v>
      </c>
      <c r="B1279">
        <v>1.63</v>
      </c>
      <c r="C1279" s="11">
        <f t="shared" si="19"/>
        <v>1.6299999999999999E-2</v>
      </c>
    </row>
    <row r="1280" spans="1:3" x14ac:dyDescent="0.2">
      <c r="A1280" s="2">
        <v>44333</v>
      </c>
      <c r="B1280">
        <v>1.64</v>
      </c>
      <c r="C1280" s="11">
        <f t="shared" si="19"/>
        <v>1.6399999999999998E-2</v>
      </c>
    </row>
    <row r="1281" spans="1:3" x14ac:dyDescent="0.2">
      <c r="A1281" s="2">
        <v>44334</v>
      </c>
      <c r="B1281">
        <v>1.64</v>
      </c>
      <c r="C1281" s="11">
        <f t="shared" si="19"/>
        <v>1.6399999999999998E-2</v>
      </c>
    </row>
    <row r="1282" spans="1:3" x14ac:dyDescent="0.2">
      <c r="A1282" s="2">
        <v>44335</v>
      </c>
      <c r="B1282">
        <v>1.68</v>
      </c>
      <c r="C1282" s="11">
        <f t="shared" si="19"/>
        <v>1.6799999999999999E-2</v>
      </c>
    </row>
    <row r="1283" spans="1:3" x14ac:dyDescent="0.2">
      <c r="A1283" s="2">
        <v>44336</v>
      </c>
      <c r="B1283">
        <v>1.63</v>
      </c>
      <c r="C1283" s="11">
        <f t="shared" ref="C1283:C1346" si="20">B1283/100</f>
        <v>1.6299999999999999E-2</v>
      </c>
    </row>
    <row r="1284" spans="1:3" x14ac:dyDescent="0.2">
      <c r="A1284" s="2">
        <v>44337</v>
      </c>
      <c r="B1284">
        <v>1.63</v>
      </c>
      <c r="C1284" s="11">
        <f t="shared" si="20"/>
        <v>1.6299999999999999E-2</v>
      </c>
    </row>
    <row r="1285" spans="1:3" x14ac:dyDescent="0.2">
      <c r="A1285" s="2">
        <v>44340</v>
      </c>
      <c r="B1285">
        <v>1.61</v>
      </c>
      <c r="C1285" s="11">
        <f t="shared" si="20"/>
        <v>1.61E-2</v>
      </c>
    </row>
    <row r="1286" spans="1:3" x14ac:dyDescent="0.2">
      <c r="A1286" s="2">
        <v>44341</v>
      </c>
      <c r="B1286">
        <v>1.56</v>
      </c>
      <c r="C1286" s="11">
        <f t="shared" si="20"/>
        <v>1.5600000000000001E-2</v>
      </c>
    </row>
    <row r="1287" spans="1:3" x14ac:dyDescent="0.2">
      <c r="A1287" s="2">
        <v>44342</v>
      </c>
      <c r="B1287">
        <v>1.58</v>
      </c>
      <c r="C1287" s="11">
        <f t="shared" si="20"/>
        <v>1.5800000000000002E-2</v>
      </c>
    </row>
    <row r="1288" spans="1:3" x14ac:dyDescent="0.2">
      <c r="A1288" s="2">
        <v>44343</v>
      </c>
      <c r="B1288">
        <v>1.61</v>
      </c>
      <c r="C1288" s="11">
        <f t="shared" si="20"/>
        <v>1.61E-2</v>
      </c>
    </row>
    <row r="1289" spans="1:3" x14ac:dyDescent="0.2">
      <c r="A1289" s="2">
        <v>44344</v>
      </c>
      <c r="B1289">
        <v>1.58</v>
      </c>
      <c r="C1289" s="11">
        <f t="shared" si="20"/>
        <v>1.5800000000000002E-2</v>
      </c>
    </row>
    <row r="1290" spans="1:3" x14ac:dyDescent="0.2">
      <c r="A1290" s="2">
        <v>44348</v>
      </c>
      <c r="B1290">
        <v>1.62</v>
      </c>
      <c r="C1290" s="11">
        <f t="shared" si="20"/>
        <v>1.6200000000000003E-2</v>
      </c>
    </row>
    <row r="1291" spans="1:3" x14ac:dyDescent="0.2">
      <c r="A1291" s="2">
        <v>44349</v>
      </c>
      <c r="B1291">
        <v>1.59</v>
      </c>
      <c r="C1291" s="11">
        <f t="shared" si="20"/>
        <v>1.5900000000000001E-2</v>
      </c>
    </row>
    <row r="1292" spans="1:3" x14ac:dyDescent="0.2">
      <c r="A1292" s="2">
        <v>44350</v>
      </c>
      <c r="B1292">
        <v>1.63</v>
      </c>
      <c r="C1292" s="11">
        <f t="shared" si="20"/>
        <v>1.6299999999999999E-2</v>
      </c>
    </row>
    <row r="1293" spans="1:3" x14ac:dyDescent="0.2">
      <c r="A1293" s="2">
        <v>44351</v>
      </c>
      <c r="B1293">
        <v>1.56</v>
      </c>
      <c r="C1293" s="11">
        <f t="shared" si="20"/>
        <v>1.5600000000000001E-2</v>
      </c>
    </row>
    <row r="1294" spans="1:3" x14ac:dyDescent="0.2">
      <c r="A1294" s="2">
        <v>44354</v>
      </c>
      <c r="B1294">
        <v>1.57</v>
      </c>
      <c r="C1294" s="11">
        <f t="shared" si="20"/>
        <v>1.5700000000000002E-2</v>
      </c>
    </row>
    <row r="1295" spans="1:3" x14ac:dyDescent="0.2">
      <c r="A1295" s="2">
        <v>44355</v>
      </c>
      <c r="B1295">
        <v>1.53</v>
      </c>
      <c r="C1295" s="11">
        <f t="shared" si="20"/>
        <v>1.5300000000000001E-2</v>
      </c>
    </row>
    <row r="1296" spans="1:3" x14ac:dyDescent="0.2">
      <c r="A1296" s="2">
        <v>44356</v>
      </c>
      <c r="B1296">
        <v>1.5</v>
      </c>
      <c r="C1296" s="11">
        <f t="shared" si="20"/>
        <v>1.4999999999999999E-2</v>
      </c>
    </row>
    <row r="1297" spans="1:3" x14ac:dyDescent="0.2">
      <c r="A1297" s="2">
        <v>44357</v>
      </c>
      <c r="B1297">
        <v>1.45</v>
      </c>
      <c r="C1297" s="11">
        <f t="shared" si="20"/>
        <v>1.4499999999999999E-2</v>
      </c>
    </row>
    <row r="1298" spans="1:3" x14ac:dyDescent="0.2">
      <c r="A1298" s="2">
        <v>44358</v>
      </c>
      <c r="B1298">
        <v>1.47</v>
      </c>
      <c r="C1298" s="11">
        <f t="shared" si="20"/>
        <v>1.47E-2</v>
      </c>
    </row>
    <row r="1299" spans="1:3" x14ac:dyDescent="0.2">
      <c r="A1299" s="2">
        <v>44361</v>
      </c>
      <c r="B1299">
        <v>1.51</v>
      </c>
      <c r="C1299" s="11">
        <f t="shared" si="20"/>
        <v>1.5100000000000001E-2</v>
      </c>
    </row>
    <row r="1300" spans="1:3" x14ac:dyDescent="0.2">
      <c r="A1300" s="2">
        <v>44362</v>
      </c>
      <c r="B1300">
        <v>1.51</v>
      </c>
      <c r="C1300" s="11">
        <f t="shared" si="20"/>
        <v>1.5100000000000001E-2</v>
      </c>
    </row>
    <row r="1301" spans="1:3" x14ac:dyDescent="0.2">
      <c r="A1301" s="2">
        <v>44363</v>
      </c>
      <c r="B1301">
        <v>1.57</v>
      </c>
      <c r="C1301" s="11">
        <f t="shared" si="20"/>
        <v>1.5700000000000002E-2</v>
      </c>
    </row>
    <row r="1302" spans="1:3" x14ac:dyDescent="0.2">
      <c r="A1302" s="2">
        <v>44364</v>
      </c>
      <c r="B1302">
        <v>1.52</v>
      </c>
      <c r="C1302" s="11">
        <f t="shared" si="20"/>
        <v>1.52E-2</v>
      </c>
    </row>
    <row r="1303" spans="1:3" x14ac:dyDescent="0.2">
      <c r="A1303" s="2">
        <v>44365</v>
      </c>
      <c r="B1303">
        <v>1.45</v>
      </c>
      <c r="C1303" s="11">
        <f t="shared" si="20"/>
        <v>1.4499999999999999E-2</v>
      </c>
    </row>
    <row r="1304" spans="1:3" x14ac:dyDescent="0.2">
      <c r="A1304" s="2">
        <v>44368</v>
      </c>
      <c r="B1304">
        <v>1.5</v>
      </c>
      <c r="C1304" s="11">
        <f t="shared" si="20"/>
        <v>1.4999999999999999E-2</v>
      </c>
    </row>
    <row r="1305" spans="1:3" x14ac:dyDescent="0.2">
      <c r="A1305" s="2">
        <v>44369</v>
      </c>
      <c r="B1305">
        <v>1.48</v>
      </c>
      <c r="C1305" s="11">
        <f t="shared" si="20"/>
        <v>1.4800000000000001E-2</v>
      </c>
    </row>
    <row r="1306" spans="1:3" x14ac:dyDescent="0.2">
      <c r="A1306" s="2">
        <v>44370</v>
      </c>
      <c r="B1306">
        <v>1.5</v>
      </c>
      <c r="C1306" s="11">
        <f t="shared" si="20"/>
        <v>1.4999999999999999E-2</v>
      </c>
    </row>
    <row r="1307" spans="1:3" x14ac:dyDescent="0.2">
      <c r="A1307" s="2">
        <v>44371</v>
      </c>
      <c r="B1307">
        <v>1.49</v>
      </c>
      <c r="C1307" s="11">
        <f t="shared" si="20"/>
        <v>1.49E-2</v>
      </c>
    </row>
    <row r="1308" spans="1:3" x14ac:dyDescent="0.2">
      <c r="A1308" s="2">
        <v>44372</v>
      </c>
      <c r="B1308">
        <v>1.54</v>
      </c>
      <c r="C1308" s="11">
        <f t="shared" si="20"/>
        <v>1.54E-2</v>
      </c>
    </row>
    <row r="1309" spans="1:3" x14ac:dyDescent="0.2">
      <c r="A1309" s="2">
        <v>44375</v>
      </c>
      <c r="B1309">
        <v>1.49</v>
      </c>
      <c r="C1309" s="11">
        <f t="shared" si="20"/>
        <v>1.49E-2</v>
      </c>
    </row>
    <row r="1310" spans="1:3" x14ac:dyDescent="0.2">
      <c r="A1310" s="2">
        <v>44376</v>
      </c>
      <c r="B1310">
        <v>1.49</v>
      </c>
      <c r="C1310" s="11">
        <f t="shared" si="20"/>
        <v>1.49E-2</v>
      </c>
    </row>
    <row r="1311" spans="1:3" x14ac:dyDescent="0.2">
      <c r="A1311" s="2">
        <v>44377</v>
      </c>
      <c r="B1311">
        <v>1.45</v>
      </c>
      <c r="C1311" s="11">
        <f t="shared" si="20"/>
        <v>1.4499999999999999E-2</v>
      </c>
    </row>
    <row r="1312" spans="1:3" x14ac:dyDescent="0.2">
      <c r="A1312" s="2">
        <v>44378</v>
      </c>
      <c r="B1312">
        <v>1.48</v>
      </c>
      <c r="C1312" s="11">
        <f t="shared" si="20"/>
        <v>1.4800000000000001E-2</v>
      </c>
    </row>
    <row r="1313" spans="1:3" x14ac:dyDescent="0.2">
      <c r="A1313" s="2">
        <v>44379</v>
      </c>
      <c r="B1313">
        <v>1.44</v>
      </c>
      <c r="C1313" s="11">
        <f t="shared" si="20"/>
        <v>1.44E-2</v>
      </c>
    </row>
    <row r="1314" spans="1:3" x14ac:dyDescent="0.2">
      <c r="A1314" s="2">
        <v>44383</v>
      </c>
      <c r="B1314">
        <v>1.37</v>
      </c>
      <c r="C1314" s="11">
        <f t="shared" si="20"/>
        <v>1.37E-2</v>
      </c>
    </row>
    <row r="1315" spans="1:3" x14ac:dyDescent="0.2">
      <c r="A1315" s="2">
        <v>44384</v>
      </c>
      <c r="B1315">
        <v>1.33</v>
      </c>
      <c r="C1315" s="11">
        <f t="shared" si="20"/>
        <v>1.3300000000000001E-2</v>
      </c>
    </row>
    <row r="1316" spans="1:3" x14ac:dyDescent="0.2">
      <c r="A1316" s="2">
        <v>44385</v>
      </c>
      <c r="B1316">
        <v>1.3</v>
      </c>
      <c r="C1316" s="11">
        <f t="shared" si="20"/>
        <v>1.3000000000000001E-2</v>
      </c>
    </row>
    <row r="1317" spans="1:3" x14ac:dyDescent="0.2">
      <c r="A1317" s="2">
        <v>44386</v>
      </c>
      <c r="B1317">
        <v>1.37</v>
      </c>
      <c r="C1317" s="11">
        <f t="shared" si="20"/>
        <v>1.37E-2</v>
      </c>
    </row>
    <row r="1318" spans="1:3" x14ac:dyDescent="0.2">
      <c r="A1318" s="2">
        <v>44389</v>
      </c>
      <c r="B1318">
        <v>1.38</v>
      </c>
      <c r="C1318" s="11">
        <f t="shared" si="20"/>
        <v>1.38E-2</v>
      </c>
    </row>
    <row r="1319" spans="1:3" x14ac:dyDescent="0.2">
      <c r="A1319" s="2">
        <v>44390</v>
      </c>
      <c r="B1319">
        <v>1.42</v>
      </c>
      <c r="C1319" s="11">
        <f t="shared" si="20"/>
        <v>1.4199999999999999E-2</v>
      </c>
    </row>
    <row r="1320" spans="1:3" x14ac:dyDescent="0.2">
      <c r="A1320" s="2">
        <v>44391</v>
      </c>
      <c r="B1320">
        <v>1.37</v>
      </c>
      <c r="C1320" s="11">
        <f t="shared" si="20"/>
        <v>1.37E-2</v>
      </c>
    </row>
    <row r="1321" spans="1:3" x14ac:dyDescent="0.2">
      <c r="A1321" s="2">
        <v>44392</v>
      </c>
      <c r="B1321">
        <v>1.31</v>
      </c>
      <c r="C1321" s="11">
        <f t="shared" si="20"/>
        <v>1.3100000000000001E-2</v>
      </c>
    </row>
    <row r="1322" spans="1:3" x14ac:dyDescent="0.2">
      <c r="A1322" s="2">
        <v>44393</v>
      </c>
      <c r="B1322">
        <v>1.31</v>
      </c>
      <c r="C1322" s="11">
        <f t="shared" si="20"/>
        <v>1.3100000000000001E-2</v>
      </c>
    </row>
    <row r="1323" spans="1:3" x14ac:dyDescent="0.2">
      <c r="A1323" s="2">
        <v>44396</v>
      </c>
      <c r="B1323">
        <v>1.19</v>
      </c>
      <c r="C1323" s="11">
        <f t="shared" si="20"/>
        <v>1.1899999999999999E-2</v>
      </c>
    </row>
    <row r="1324" spans="1:3" x14ac:dyDescent="0.2">
      <c r="A1324" s="2">
        <v>44397</v>
      </c>
      <c r="B1324">
        <v>1.23</v>
      </c>
      <c r="C1324" s="11">
        <f t="shared" si="20"/>
        <v>1.23E-2</v>
      </c>
    </row>
    <row r="1325" spans="1:3" x14ac:dyDescent="0.2">
      <c r="A1325" s="2">
        <v>44398</v>
      </c>
      <c r="B1325">
        <v>1.3</v>
      </c>
      <c r="C1325" s="11">
        <f t="shared" si="20"/>
        <v>1.3000000000000001E-2</v>
      </c>
    </row>
    <row r="1326" spans="1:3" x14ac:dyDescent="0.2">
      <c r="A1326" s="2">
        <v>44399</v>
      </c>
      <c r="B1326">
        <v>1.27</v>
      </c>
      <c r="C1326" s="11">
        <f t="shared" si="20"/>
        <v>1.2699999999999999E-2</v>
      </c>
    </row>
    <row r="1327" spans="1:3" x14ac:dyDescent="0.2">
      <c r="A1327" s="2">
        <v>44400</v>
      </c>
      <c r="B1327">
        <v>1.3</v>
      </c>
      <c r="C1327" s="11">
        <f t="shared" si="20"/>
        <v>1.3000000000000001E-2</v>
      </c>
    </row>
    <row r="1328" spans="1:3" x14ac:dyDescent="0.2">
      <c r="A1328" s="2">
        <v>44403</v>
      </c>
      <c r="B1328">
        <v>1.29</v>
      </c>
      <c r="C1328" s="11">
        <f t="shared" si="20"/>
        <v>1.29E-2</v>
      </c>
    </row>
    <row r="1329" spans="1:3" x14ac:dyDescent="0.2">
      <c r="A1329" s="2">
        <v>44404</v>
      </c>
      <c r="B1329">
        <v>1.25</v>
      </c>
      <c r="C1329" s="11">
        <f t="shared" si="20"/>
        <v>1.2500000000000001E-2</v>
      </c>
    </row>
    <row r="1330" spans="1:3" x14ac:dyDescent="0.2">
      <c r="A1330" s="2">
        <v>44405</v>
      </c>
      <c r="B1330">
        <v>1.26</v>
      </c>
      <c r="C1330" s="11">
        <f t="shared" si="20"/>
        <v>1.26E-2</v>
      </c>
    </row>
    <row r="1331" spans="1:3" x14ac:dyDescent="0.2">
      <c r="A1331" s="2">
        <v>44406</v>
      </c>
      <c r="B1331">
        <v>1.28</v>
      </c>
      <c r="C1331" s="11">
        <f t="shared" si="20"/>
        <v>1.2800000000000001E-2</v>
      </c>
    </row>
    <row r="1332" spans="1:3" x14ac:dyDescent="0.2">
      <c r="A1332" s="2">
        <v>44407</v>
      </c>
      <c r="B1332">
        <v>1.24</v>
      </c>
      <c r="C1332" s="11">
        <f t="shared" si="20"/>
        <v>1.24E-2</v>
      </c>
    </row>
    <row r="1333" spans="1:3" x14ac:dyDescent="0.2">
      <c r="A1333" s="2">
        <v>44410</v>
      </c>
      <c r="B1333">
        <v>1.2</v>
      </c>
      <c r="C1333" s="11">
        <f t="shared" si="20"/>
        <v>1.2E-2</v>
      </c>
    </row>
    <row r="1334" spans="1:3" x14ac:dyDescent="0.2">
      <c r="A1334" s="2">
        <v>44411</v>
      </c>
      <c r="B1334">
        <v>1.19</v>
      </c>
      <c r="C1334" s="11">
        <f t="shared" si="20"/>
        <v>1.1899999999999999E-2</v>
      </c>
    </row>
    <row r="1335" spans="1:3" x14ac:dyDescent="0.2">
      <c r="A1335" s="2">
        <v>44412</v>
      </c>
      <c r="B1335">
        <v>1.19</v>
      </c>
      <c r="C1335" s="11">
        <f t="shared" si="20"/>
        <v>1.1899999999999999E-2</v>
      </c>
    </row>
    <row r="1336" spans="1:3" x14ac:dyDescent="0.2">
      <c r="A1336" s="2">
        <v>44413</v>
      </c>
      <c r="B1336">
        <v>1.23</v>
      </c>
      <c r="C1336" s="11">
        <f t="shared" si="20"/>
        <v>1.23E-2</v>
      </c>
    </row>
    <row r="1337" spans="1:3" x14ac:dyDescent="0.2">
      <c r="A1337" s="2">
        <v>44414</v>
      </c>
      <c r="B1337">
        <v>1.31</v>
      </c>
      <c r="C1337" s="11">
        <f t="shared" si="20"/>
        <v>1.3100000000000001E-2</v>
      </c>
    </row>
    <row r="1338" spans="1:3" x14ac:dyDescent="0.2">
      <c r="A1338" s="2">
        <v>44417</v>
      </c>
      <c r="B1338">
        <v>1.33</v>
      </c>
      <c r="C1338" s="11">
        <f t="shared" si="20"/>
        <v>1.3300000000000001E-2</v>
      </c>
    </row>
    <row r="1339" spans="1:3" x14ac:dyDescent="0.2">
      <c r="A1339" s="2">
        <v>44418</v>
      </c>
      <c r="B1339">
        <v>1.36</v>
      </c>
      <c r="C1339" s="11">
        <f t="shared" si="20"/>
        <v>1.3600000000000001E-2</v>
      </c>
    </row>
    <row r="1340" spans="1:3" x14ac:dyDescent="0.2">
      <c r="A1340" s="2">
        <v>44419</v>
      </c>
      <c r="B1340">
        <v>1.35</v>
      </c>
      <c r="C1340" s="11">
        <f t="shared" si="20"/>
        <v>1.3500000000000002E-2</v>
      </c>
    </row>
    <row r="1341" spans="1:3" x14ac:dyDescent="0.2">
      <c r="A1341" s="2">
        <v>44420</v>
      </c>
      <c r="B1341">
        <v>1.36</v>
      </c>
      <c r="C1341" s="11">
        <f t="shared" si="20"/>
        <v>1.3600000000000001E-2</v>
      </c>
    </row>
    <row r="1342" spans="1:3" x14ac:dyDescent="0.2">
      <c r="A1342" s="2">
        <v>44421</v>
      </c>
      <c r="B1342">
        <v>1.29</v>
      </c>
      <c r="C1342" s="11">
        <f t="shared" si="20"/>
        <v>1.29E-2</v>
      </c>
    </row>
    <row r="1343" spans="1:3" x14ac:dyDescent="0.2">
      <c r="A1343" s="2">
        <v>44424</v>
      </c>
      <c r="B1343">
        <v>1.26</v>
      </c>
      <c r="C1343" s="11">
        <f t="shared" si="20"/>
        <v>1.26E-2</v>
      </c>
    </row>
    <row r="1344" spans="1:3" x14ac:dyDescent="0.2">
      <c r="A1344" s="2">
        <v>44425</v>
      </c>
      <c r="B1344">
        <v>1.26</v>
      </c>
      <c r="C1344" s="11">
        <f t="shared" si="20"/>
        <v>1.26E-2</v>
      </c>
    </row>
    <row r="1345" spans="1:3" x14ac:dyDescent="0.2">
      <c r="A1345" s="2">
        <v>44426</v>
      </c>
      <c r="B1345">
        <v>1.27</v>
      </c>
      <c r="C1345" s="11">
        <f t="shared" si="20"/>
        <v>1.2699999999999999E-2</v>
      </c>
    </row>
    <row r="1346" spans="1:3" x14ac:dyDescent="0.2">
      <c r="A1346" s="2">
        <v>44427</v>
      </c>
      <c r="B1346">
        <v>1.24</v>
      </c>
      <c r="C1346" s="11">
        <f t="shared" si="20"/>
        <v>1.24E-2</v>
      </c>
    </row>
    <row r="1347" spans="1:3" x14ac:dyDescent="0.2">
      <c r="A1347" s="2">
        <v>44428</v>
      </c>
      <c r="B1347">
        <v>1.26</v>
      </c>
      <c r="C1347" s="11">
        <f t="shared" ref="C1347:C1410" si="21">B1347/100</f>
        <v>1.26E-2</v>
      </c>
    </row>
    <row r="1348" spans="1:3" x14ac:dyDescent="0.2">
      <c r="A1348" s="2">
        <v>44431</v>
      </c>
      <c r="B1348">
        <v>1.25</v>
      </c>
      <c r="C1348" s="11">
        <f t="shared" si="21"/>
        <v>1.2500000000000001E-2</v>
      </c>
    </row>
    <row r="1349" spans="1:3" x14ac:dyDescent="0.2">
      <c r="A1349" s="2">
        <v>44432</v>
      </c>
      <c r="B1349">
        <v>1.29</v>
      </c>
      <c r="C1349" s="11">
        <f t="shared" si="21"/>
        <v>1.29E-2</v>
      </c>
    </row>
    <row r="1350" spans="1:3" x14ac:dyDescent="0.2">
      <c r="A1350" s="2">
        <v>44433</v>
      </c>
      <c r="B1350">
        <v>1.35</v>
      </c>
      <c r="C1350" s="11">
        <f t="shared" si="21"/>
        <v>1.3500000000000002E-2</v>
      </c>
    </row>
    <row r="1351" spans="1:3" x14ac:dyDescent="0.2">
      <c r="A1351" s="2">
        <v>44434</v>
      </c>
      <c r="B1351">
        <v>1.34</v>
      </c>
      <c r="C1351" s="11">
        <f t="shared" si="21"/>
        <v>1.34E-2</v>
      </c>
    </row>
    <row r="1352" spans="1:3" x14ac:dyDescent="0.2">
      <c r="A1352" s="2">
        <v>44435</v>
      </c>
      <c r="B1352">
        <v>1.31</v>
      </c>
      <c r="C1352" s="11">
        <f t="shared" si="21"/>
        <v>1.3100000000000001E-2</v>
      </c>
    </row>
    <row r="1353" spans="1:3" x14ac:dyDescent="0.2">
      <c r="A1353" s="2">
        <v>44438</v>
      </c>
      <c r="B1353">
        <v>1.29</v>
      </c>
      <c r="C1353" s="11">
        <f t="shared" si="21"/>
        <v>1.29E-2</v>
      </c>
    </row>
    <row r="1354" spans="1:3" x14ac:dyDescent="0.2">
      <c r="A1354" s="2">
        <v>44439</v>
      </c>
      <c r="B1354">
        <v>1.3</v>
      </c>
      <c r="C1354" s="11">
        <f t="shared" si="21"/>
        <v>1.3000000000000001E-2</v>
      </c>
    </row>
    <row r="1355" spans="1:3" x14ac:dyDescent="0.2">
      <c r="A1355" s="2">
        <v>44440</v>
      </c>
      <c r="B1355">
        <v>1.31</v>
      </c>
      <c r="C1355" s="11">
        <f t="shared" si="21"/>
        <v>1.3100000000000001E-2</v>
      </c>
    </row>
    <row r="1356" spans="1:3" x14ac:dyDescent="0.2">
      <c r="A1356" s="2">
        <v>44441</v>
      </c>
      <c r="B1356">
        <v>1.29</v>
      </c>
      <c r="C1356" s="11">
        <f t="shared" si="21"/>
        <v>1.29E-2</v>
      </c>
    </row>
    <row r="1357" spans="1:3" x14ac:dyDescent="0.2">
      <c r="A1357" s="2">
        <v>44442</v>
      </c>
      <c r="B1357">
        <v>1.33</v>
      </c>
      <c r="C1357" s="11">
        <f t="shared" si="21"/>
        <v>1.3300000000000001E-2</v>
      </c>
    </row>
    <row r="1358" spans="1:3" x14ac:dyDescent="0.2">
      <c r="A1358" s="2">
        <v>44446</v>
      </c>
      <c r="B1358">
        <v>1.38</v>
      </c>
      <c r="C1358" s="11">
        <f t="shared" si="21"/>
        <v>1.38E-2</v>
      </c>
    </row>
    <row r="1359" spans="1:3" x14ac:dyDescent="0.2">
      <c r="A1359" s="2">
        <v>44447</v>
      </c>
      <c r="B1359">
        <v>1.35</v>
      </c>
      <c r="C1359" s="11">
        <f t="shared" si="21"/>
        <v>1.3500000000000002E-2</v>
      </c>
    </row>
    <row r="1360" spans="1:3" x14ac:dyDescent="0.2">
      <c r="A1360" s="2">
        <v>44448</v>
      </c>
      <c r="B1360">
        <v>1.3</v>
      </c>
      <c r="C1360" s="11">
        <f t="shared" si="21"/>
        <v>1.3000000000000001E-2</v>
      </c>
    </row>
    <row r="1361" spans="1:3" x14ac:dyDescent="0.2">
      <c r="A1361" s="2">
        <v>44449</v>
      </c>
      <c r="B1361">
        <v>1.35</v>
      </c>
      <c r="C1361" s="11">
        <f t="shared" si="21"/>
        <v>1.3500000000000002E-2</v>
      </c>
    </row>
    <row r="1362" spans="1:3" x14ac:dyDescent="0.2">
      <c r="A1362" s="2">
        <v>44452</v>
      </c>
      <c r="B1362">
        <v>1.33</v>
      </c>
      <c r="C1362" s="11">
        <f t="shared" si="21"/>
        <v>1.3300000000000001E-2</v>
      </c>
    </row>
    <row r="1363" spans="1:3" x14ac:dyDescent="0.2">
      <c r="A1363" s="2">
        <v>44453</v>
      </c>
      <c r="B1363">
        <v>1.28</v>
      </c>
      <c r="C1363" s="11">
        <f t="shared" si="21"/>
        <v>1.2800000000000001E-2</v>
      </c>
    </row>
    <row r="1364" spans="1:3" x14ac:dyDescent="0.2">
      <c r="A1364" s="2">
        <v>44454</v>
      </c>
      <c r="B1364">
        <v>1.31</v>
      </c>
      <c r="C1364" s="11">
        <f t="shared" si="21"/>
        <v>1.3100000000000001E-2</v>
      </c>
    </row>
    <row r="1365" spans="1:3" x14ac:dyDescent="0.2">
      <c r="A1365" s="2">
        <v>44455</v>
      </c>
      <c r="B1365">
        <v>1.34</v>
      </c>
      <c r="C1365" s="11">
        <f t="shared" si="21"/>
        <v>1.34E-2</v>
      </c>
    </row>
    <row r="1366" spans="1:3" x14ac:dyDescent="0.2">
      <c r="A1366" s="2">
        <v>44456</v>
      </c>
      <c r="B1366">
        <v>1.37</v>
      </c>
      <c r="C1366" s="11">
        <f t="shared" si="21"/>
        <v>1.37E-2</v>
      </c>
    </row>
    <row r="1367" spans="1:3" x14ac:dyDescent="0.2">
      <c r="A1367" s="2">
        <v>44459</v>
      </c>
      <c r="B1367">
        <v>1.31</v>
      </c>
      <c r="C1367" s="11">
        <f t="shared" si="21"/>
        <v>1.3100000000000001E-2</v>
      </c>
    </row>
    <row r="1368" spans="1:3" x14ac:dyDescent="0.2">
      <c r="A1368" s="2">
        <v>44460</v>
      </c>
      <c r="B1368">
        <v>1.33</v>
      </c>
      <c r="C1368" s="11">
        <f t="shared" si="21"/>
        <v>1.3300000000000001E-2</v>
      </c>
    </row>
    <row r="1369" spans="1:3" x14ac:dyDescent="0.2">
      <c r="A1369" s="2">
        <v>44461</v>
      </c>
      <c r="B1369">
        <v>1.32</v>
      </c>
      <c r="C1369" s="11">
        <f t="shared" si="21"/>
        <v>1.32E-2</v>
      </c>
    </row>
    <row r="1370" spans="1:3" x14ac:dyDescent="0.2">
      <c r="A1370" s="2">
        <v>44462</v>
      </c>
      <c r="B1370">
        <v>1.41</v>
      </c>
      <c r="C1370" s="11">
        <f t="shared" si="21"/>
        <v>1.41E-2</v>
      </c>
    </row>
    <row r="1371" spans="1:3" x14ac:dyDescent="0.2">
      <c r="A1371" s="2">
        <v>44463</v>
      </c>
      <c r="B1371">
        <v>1.47</v>
      </c>
      <c r="C1371" s="11">
        <f t="shared" si="21"/>
        <v>1.47E-2</v>
      </c>
    </row>
    <row r="1372" spans="1:3" x14ac:dyDescent="0.2">
      <c r="A1372" s="2">
        <v>44466</v>
      </c>
      <c r="B1372">
        <v>1.48</v>
      </c>
      <c r="C1372" s="11">
        <f t="shared" si="21"/>
        <v>1.4800000000000001E-2</v>
      </c>
    </row>
    <row r="1373" spans="1:3" x14ac:dyDescent="0.2">
      <c r="A1373" s="2">
        <v>44467</v>
      </c>
      <c r="B1373">
        <v>1.54</v>
      </c>
      <c r="C1373" s="11">
        <f t="shared" si="21"/>
        <v>1.54E-2</v>
      </c>
    </row>
    <row r="1374" spans="1:3" x14ac:dyDescent="0.2">
      <c r="A1374" s="2">
        <v>44468</v>
      </c>
      <c r="B1374">
        <v>1.55</v>
      </c>
      <c r="C1374" s="11">
        <f t="shared" si="21"/>
        <v>1.55E-2</v>
      </c>
    </row>
    <row r="1375" spans="1:3" x14ac:dyDescent="0.2">
      <c r="A1375" s="2">
        <v>44469</v>
      </c>
      <c r="B1375">
        <v>1.52</v>
      </c>
      <c r="C1375" s="11">
        <f t="shared" si="21"/>
        <v>1.52E-2</v>
      </c>
    </row>
    <row r="1376" spans="1:3" x14ac:dyDescent="0.2">
      <c r="A1376" s="2">
        <v>44470</v>
      </c>
      <c r="B1376">
        <v>1.48</v>
      </c>
      <c r="C1376" s="11">
        <f t="shared" si="21"/>
        <v>1.4800000000000001E-2</v>
      </c>
    </row>
    <row r="1377" spans="1:3" x14ac:dyDescent="0.2">
      <c r="A1377" s="2">
        <v>44473</v>
      </c>
      <c r="B1377">
        <v>1.49</v>
      </c>
      <c r="C1377" s="11">
        <f t="shared" si="21"/>
        <v>1.49E-2</v>
      </c>
    </row>
    <row r="1378" spans="1:3" x14ac:dyDescent="0.2">
      <c r="A1378" s="2">
        <v>44474</v>
      </c>
      <c r="B1378">
        <v>1.54</v>
      </c>
      <c r="C1378" s="11">
        <f t="shared" si="21"/>
        <v>1.54E-2</v>
      </c>
    </row>
    <row r="1379" spans="1:3" x14ac:dyDescent="0.2">
      <c r="A1379" s="2">
        <v>44475</v>
      </c>
      <c r="B1379">
        <v>1.53</v>
      </c>
      <c r="C1379" s="11">
        <f t="shared" si="21"/>
        <v>1.5300000000000001E-2</v>
      </c>
    </row>
    <row r="1380" spans="1:3" x14ac:dyDescent="0.2">
      <c r="A1380" s="2">
        <v>44476</v>
      </c>
      <c r="B1380">
        <v>1.58</v>
      </c>
      <c r="C1380" s="11">
        <f t="shared" si="21"/>
        <v>1.5800000000000002E-2</v>
      </c>
    </row>
    <row r="1381" spans="1:3" x14ac:dyDescent="0.2">
      <c r="A1381" s="2">
        <v>44477</v>
      </c>
      <c r="B1381">
        <v>1.61</v>
      </c>
      <c r="C1381" s="11">
        <f t="shared" si="21"/>
        <v>1.61E-2</v>
      </c>
    </row>
    <row r="1382" spans="1:3" x14ac:dyDescent="0.2">
      <c r="A1382" s="2">
        <v>44481</v>
      </c>
      <c r="B1382">
        <v>1.59</v>
      </c>
      <c r="C1382" s="11">
        <f t="shared" si="21"/>
        <v>1.5900000000000001E-2</v>
      </c>
    </row>
    <row r="1383" spans="1:3" x14ac:dyDescent="0.2">
      <c r="A1383" s="2">
        <v>44482</v>
      </c>
      <c r="B1383">
        <v>1.56</v>
      </c>
      <c r="C1383" s="11">
        <f t="shared" si="21"/>
        <v>1.5600000000000001E-2</v>
      </c>
    </row>
    <row r="1384" spans="1:3" x14ac:dyDescent="0.2">
      <c r="A1384" s="2">
        <v>44483</v>
      </c>
      <c r="B1384">
        <v>1.52</v>
      </c>
      <c r="C1384" s="11">
        <f t="shared" si="21"/>
        <v>1.52E-2</v>
      </c>
    </row>
    <row r="1385" spans="1:3" x14ac:dyDescent="0.2">
      <c r="A1385" s="2">
        <v>44484</v>
      </c>
      <c r="B1385">
        <v>1.59</v>
      </c>
      <c r="C1385" s="11">
        <f t="shared" si="21"/>
        <v>1.5900000000000001E-2</v>
      </c>
    </row>
    <row r="1386" spans="1:3" x14ac:dyDescent="0.2">
      <c r="A1386" s="2">
        <v>44487</v>
      </c>
      <c r="B1386">
        <v>1.59</v>
      </c>
      <c r="C1386" s="11">
        <f t="shared" si="21"/>
        <v>1.5900000000000001E-2</v>
      </c>
    </row>
    <row r="1387" spans="1:3" x14ac:dyDescent="0.2">
      <c r="A1387" s="2">
        <v>44488</v>
      </c>
      <c r="B1387">
        <v>1.65</v>
      </c>
      <c r="C1387" s="11">
        <f t="shared" si="21"/>
        <v>1.6500000000000001E-2</v>
      </c>
    </row>
    <row r="1388" spans="1:3" x14ac:dyDescent="0.2">
      <c r="A1388" s="2">
        <v>44489</v>
      </c>
      <c r="B1388">
        <v>1.65</v>
      </c>
      <c r="C1388" s="11">
        <f t="shared" si="21"/>
        <v>1.6500000000000001E-2</v>
      </c>
    </row>
    <row r="1389" spans="1:3" x14ac:dyDescent="0.2">
      <c r="A1389" s="2">
        <v>44490</v>
      </c>
      <c r="B1389">
        <v>1.68</v>
      </c>
      <c r="C1389" s="11">
        <f t="shared" si="21"/>
        <v>1.6799999999999999E-2</v>
      </c>
    </row>
    <row r="1390" spans="1:3" x14ac:dyDescent="0.2">
      <c r="A1390" s="2">
        <v>44491</v>
      </c>
      <c r="B1390">
        <v>1.66</v>
      </c>
      <c r="C1390" s="11">
        <f t="shared" si="21"/>
        <v>1.66E-2</v>
      </c>
    </row>
    <row r="1391" spans="1:3" x14ac:dyDescent="0.2">
      <c r="A1391" s="2">
        <v>44494</v>
      </c>
      <c r="B1391">
        <v>1.64</v>
      </c>
      <c r="C1391" s="11">
        <f t="shared" si="21"/>
        <v>1.6399999999999998E-2</v>
      </c>
    </row>
    <row r="1392" spans="1:3" x14ac:dyDescent="0.2">
      <c r="A1392" s="2">
        <v>44495</v>
      </c>
      <c r="B1392">
        <v>1.63</v>
      </c>
      <c r="C1392" s="11">
        <f t="shared" si="21"/>
        <v>1.6299999999999999E-2</v>
      </c>
    </row>
    <row r="1393" spans="1:3" x14ac:dyDescent="0.2">
      <c r="A1393" s="2">
        <v>44496</v>
      </c>
      <c r="B1393">
        <v>1.54</v>
      </c>
      <c r="C1393" s="11">
        <f t="shared" si="21"/>
        <v>1.54E-2</v>
      </c>
    </row>
    <row r="1394" spans="1:3" x14ac:dyDescent="0.2">
      <c r="A1394" s="2">
        <v>44497</v>
      </c>
      <c r="B1394">
        <v>1.57</v>
      </c>
      <c r="C1394" s="11">
        <f t="shared" si="21"/>
        <v>1.5700000000000002E-2</v>
      </c>
    </row>
    <row r="1395" spans="1:3" x14ac:dyDescent="0.2">
      <c r="A1395" s="2">
        <v>44498</v>
      </c>
      <c r="B1395">
        <v>1.55</v>
      </c>
      <c r="C1395" s="11">
        <f t="shared" si="21"/>
        <v>1.55E-2</v>
      </c>
    </row>
    <row r="1396" spans="1:3" x14ac:dyDescent="0.2">
      <c r="A1396" s="2">
        <v>44501</v>
      </c>
      <c r="B1396">
        <v>1.58</v>
      </c>
      <c r="C1396" s="11">
        <f t="shared" si="21"/>
        <v>1.5800000000000002E-2</v>
      </c>
    </row>
    <row r="1397" spans="1:3" x14ac:dyDescent="0.2">
      <c r="A1397" s="2">
        <v>44502</v>
      </c>
      <c r="B1397">
        <v>1.56</v>
      </c>
      <c r="C1397" s="11">
        <f t="shared" si="21"/>
        <v>1.5600000000000001E-2</v>
      </c>
    </row>
    <row r="1398" spans="1:3" x14ac:dyDescent="0.2">
      <c r="A1398" s="2">
        <v>44503</v>
      </c>
      <c r="B1398">
        <v>1.6</v>
      </c>
      <c r="C1398" s="11">
        <f t="shared" si="21"/>
        <v>1.6E-2</v>
      </c>
    </row>
    <row r="1399" spans="1:3" x14ac:dyDescent="0.2">
      <c r="A1399" s="2">
        <v>44504</v>
      </c>
      <c r="B1399">
        <v>1.53</v>
      </c>
      <c r="C1399" s="11">
        <f t="shared" si="21"/>
        <v>1.5300000000000001E-2</v>
      </c>
    </row>
    <row r="1400" spans="1:3" x14ac:dyDescent="0.2">
      <c r="A1400" s="2">
        <v>44505</v>
      </c>
      <c r="B1400">
        <v>1.45</v>
      </c>
      <c r="C1400" s="11">
        <f t="shared" si="21"/>
        <v>1.4499999999999999E-2</v>
      </c>
    </row>
    <row r="1401" spans="1:3" x14ac:dyDescent="0.2">
      <c r="A1401" s="2">
        <v>44508</v>
      </c>
      <c r="B1401">
        <v>1.51</v>
      </c>
      <c r="C1401" s="11">
        <f t="shared" si="21"/>
        <v>1.5100000000000001E-2</v>
      </c>
    </row>
    <row r="1402" spans="1:3" x14ac:dyDescent="0.2">
      <c r="A1402" s="2">
        <v>44509</v>
      </c>
      <c r="B1402">
        <v>1.46</v>
      </c>
      <c r="C1402" s="11">
        <f t="shared" si="21"/>
        <v>1.46E-2</v>
      </c>
    </row>
    <row r="1403" spans="1:3" x14ac:dyDescent="0.2">
      <c r="A1403" s="2">
        <v>44510</v>
      </c>
      <c r="B1403">
        <v>1.56</v>
      </c>
      <c r="C1403" s="11">
        <f t="shared" si="21"/>
        <v>1.5600000000000001E-2</v>
      </c>
    </row>
    <row r="1404" spans="1:3" x14ac:dyDescent="0.2">
      <c r="A1404" s="2">
        <v>44512</v>
      </c>
      <c r="B1404">
        <v>1.58</v>
      </c>
      <c r="C1404" s="11">
        <f t="shared" si="21"/>
        <v>1.5800000000000002E-2</v>
      </c>
    </row>
    <row r="1405" spans="1:3" x14ac:dyDescent="0.2">
      <c r="A1405" s="2">
        <v>44515</v>
      </c>
      <c r="B1405">
        <v>1.63</v>
      </c>
      <c r="C1405" s="11">
        <f t="shared" si="21"/>
        <v>1.6299999999999999E-2</v>
      </c>
    </row>
    <row r="1406" spans="1:3" x14ac:dyDescent="0.2">
      <c r="A1406" s="2">
        <v>44516</v>
      </c>
      <c r="B1406">
        <v>1.63</v>
      </c>
      <c r="C1406" s="11">
        <f t="shared" si="21"/>
        <v>1.6299999999999999E-2</v>
      </c>
    </row>
    <row r="1407" spans="1:3" x14ac:dyDescent="0.2">
      <c r="A1407" s="2">
        <v>44517</v>
      </c>
      <c r="B1407">
        <v>1.6</v>
      </c>
      <c r="C1407" s="11">
        <f t="shared" si="21"/>
        <v>1.6E-2</v>
      </c>
    </row>
    <row r="1408" spans="1:3" x14ac:dyDescent="0.2">
      <c r="A1408" s="2">
        <v>44518</v>
      </c>
      <c r="B1408">
        <v>1.59</v>
      </c>
      <c r="C1408" s="11">
        <f t="shared" si="21"/>
        <v>1.5900000000000001E-2</v>
      </c>
    </row>
    <row r="1409" spans="1:3" x14ac:dyDescent="0.2">
      <c r="A1409" s="2">
        <v>44519</v>
      </c>
      <c r="B1409">
        <v>1.54</v>
      </c>
      <c r="C1409" s="11">
        <f t="shared" si="21"/>
        <v>1.54E-2</v>
      </c>
    </row>
    <row r="1410" spans="1:3" x14ac:dyDescent="0.2">
      <c r="A1410" s="2">
        <v>44522</v>
      </c>
      <c r="B1410">
        <v>1.63</v>
      </c>
      <c r="C1410" s="11">
        <f t="shared" si="21"/>
        <v>1.6299999999999999E-2</v>
      </c>
    </row>
    <row r="1411" spans="1:3" x14ac:dyDescent="0.2">
      <c r="A1411" s="2">
        <v>44523</v>
      </c>
      <c r="B1411">
        <v>1.67</v>
      </c>
      <c r="C1411" s="11">
        <f t="shared" ref="C1411:C1474" si="22">B1411/100</f>
        <v>1.67E-2</v>
      </c>
    </row>
    <row r="1412" spans="1:3" x14ac:dyDescent="0.2">
      <c r="A1412" s="2">
        <v>44524</v>
      </c>
      <c r="B1412">
        <v>1.64</v>
      </c>
      <c r="C1412" s="11">
        <f t="shared" si="22"/>
        <v>1.6399999999999998E-2</v>
      </c>
    </row>
    <row r="1413" spans="1:3" x14ac:dyDescent="0.2">
      <c r="A1413" s="2">
        <v>44526</v>
      </c>
      <c r="B1413">
        <v>1.48</v>
      </c>
      <c r="C1413" s="11">
        <f t="shared" si="22"/>
        <v>1.4800000000000001E-2</v>
      </c>
    </row>
    <row r="1414" spans="1:3" x14ac:dyDescent="0.2">
      <c r="A1414" s="2">
        <v>44529</v>
      </c>
      <c r="B1414">
        <v>1.52</v>
      </c>
      <c r="C1414" s="11">
        <f t="shared" si="22"/>
        <v>1.52E-2</v>
      </c>
    </row>
    <row r="1415" spans="1:3" x14ac:dyDescent="0.2">
      <c r="A1415" s="2">
        <v>44530</v>
      </c>
      <c r="B1415">
        <v>1.43</v>
      </c>
      <c r="C1415" s="11">
        <f t="shared" si="22"/>
        <v>1.43E-2</v>
      </c>
    </row>
    <row r="1416" spans="1:3" x14ac:dyDescent="0.2">
      <c r="A1416" s="2">
        <v>44531</v>
      </c>
      <c r="B1416">
        <v>1.43</v>
      </c>
      <c r="C1416" s="11">
        <f t="shared" si="22"/>
        <v>1.43E-2</v>
      </c>
    </row>
    <row r="1417" spans="1:3" x14ac:dyDescent="0.2">
      <c r="A1417" s="2">
        <v>44532</v>
      </c>
      <c r="B1417">
        <v>1.44</v>
      </c>
      <c r="C1417" s="11">
        <f t="shared" si="22"/>
        <v>1.44E-2</v>
      </c>
    </row>
    <row r="1418" spans="1:3" x14ac:dyDescent="0.2">
      <c r="A1418" s="2">
        <v>44533</v>
      </c>
      <c r="B1418">
        <v>1.35</v>
      </c>
      <c r="C1418" s="11">
        <f t="shared" si="22"/>
        <v>1.3500000000000002E-2</v>
      </c>
    </row>
    <row r="1419" spans="1:3" x14ac:dyDescent="0.2">
      <c r="A1419" s="2">
        <v>44536</v>
      </c>
      <c r="B1419">
        <v>1.43</v>
      </c>
      <c r="C1419" s="11">
        <f t="shared" si="22"/>
        <v>1.43E-2</v>
      </c>
    </row>
    <row r="1420" spans="1:3" x14ac:dyDescent="0.2">
      <c r="A1420" s="2">
        <v>44537</v>
      </c>
      <c r="B1420">
        <v>1.48</v>
      </c>
      <c r="C1420" s="11">
        <f t="shared" si="22"/>
        <v>1.4800000000000001E-2</v>
      </c>
    </row>
    <row r="1421" spans="1:3" x14ac:dyDescent="0.2">
      <c r="A1421" s="2">
        <v>44538</v>
      </c>
      <c r="B1421">
        <v>1.52</v>
      </c>
      <c r="C1421" s="11">
        <f t="shared" si="22"/>
        <v>1.52E-2</v>
      </c>
    </row>
    <row r="1422" spans="1:3" x14ac:dyDescent="0.2">
      <c r="A1422" s="2">
        <v>44539</v>
      </c>
      <c r="B1422">
        <v>1.49</v>
      </c>
      <c r="C1422" s="11">
        <f t="shared" si="22"/>
        <v>1.49E-2</v>
      </c>
    </row>
    <row r="1423" spans="1:3" x14ac:dyDescent="0.2">
      <c r="A1423" s="2">
        <v>44540</v>
      </c>
      <c r="B1423">
        <v>1.48</v>
      </c>
      <c r="C1423" s="11">
        <f t="shared" si="22"/>
        <v>1.4800000000000001E-2</v>
      </c>
    </row>
    <row r="1424" spans="1:3" x14ac:dyDescent="0.2">
      <c r="A1424" s="2">
        <v>44543</v>
      </c>
      <c r="B1424">
        <v>1.42</v>
      </c>
      <c r="C1424" s="11">
        <f t="shared" si="22"/>
        <v>1.4199999999999999E-2</v>
      </c>
    </row>
    <row r="1425" spans="1:3" x14ac:dyDescent="0.2">
      <c r="A1425" s="2">
        <v>44544</v>
      </c>
      <c r="B1425">
        <v>1.44</v>
      </c>
      <c r="C1425" s="11">
        <f t="shared" si="22"/>
        <v>1.44E-2</v>
      </c>
    </row>
    <row r="1426" spans="1:3" x14ac:dyDescent="0.2">
      <c r="A1426" s="2">
        <v>44545</v>
      </c>
      <c r="B1426">
        <v>1.47</v>
      </c>
      <c r="C1426" s="11">
        <f t="shared" si="22"/>
        <v>1.47E-2</v>
      </c>
    </row>
    <row r="1427" spans="1:3" x14ac:dyDescent="0.2">
      <c r="A1427" s="2">
        <v>44546</v>
      </c>
      <c r="B1427">
        <v>1.44</v>
      </c>
      <c r="C1427" s="11">
        <f t="shared" si="22"/>
        <v>1.44E-2</v>
      </c>
    </row>
    <row r="1428" spans="1:3" x14ac:dyDescent="0.2">
      <c r="A1428" s="2">
        <v>44547</v>
      </c>
      <c r="B1428">
        <v>1.41</v>
      </c>
      <c r="C1428" s="11">
        <f t="shared" si="22"/>
        <v>1.41E-2</v>
      </c>
    </row>
    <row r="1429" spans="1:3" x14ac:dyDescent="0.2">
      <c r="A1429" s="2">
        <v>44550</v>
      </c>
      <c r="B1429">
        <v>1.43</v>
      </c>
      <c r="C1429" s="11">
        <f t="shared" si="22"/>
        <v>1.43E-2</v>
      </c>
    </row>
    <row r="1430" spans="1:3" x14ac:dyDescent="0.2">
      <c r="A1430" s="2">
        <v>44551</v>
      </c>
      <c r="B1430">
        <v>1.48</v>
      </c>
      <c r="C1430" s="11">
        <f t="shared" si="22"/>
        <v>1.4800000000000001E-2</v>
      </c>
    </row>
    <row r="1431" spans="1:3" x14ac:dyDescent="0.2">
      <c r="A1431" s="2">
        <v>44552</v>
      </c>
      <c r="B1431">
        <v>1.46</v>
      </c>
      <c r="C1431" s="11">
        <f t="shared" si="22"/>
        <v>1.46E-2</v>
      </c>
    </row>
    <row r="1432" spans="1:3" x14ac:dyDescent="0.2">
      <c r="A1432" s="2">
        <v>44553</v>
      </c>
      <c r="B1432">
        <v>1.5</v>
      </c>
      <c r="C1432" s="11">
        <f t="shared" si="22"/>
        <v>1.4999999999999999E-2</v>
      </c>
    </row>
    <row r="1433" spans="1:3" x14ac:dyDescent="0.2">
      <c r="A1433" s="2">
        <v>44557</v>
      </c>
      <c r="B1433">
        <v>1.48</v>
      </c>
      <c r="C1433" s="11">
        <f t="shared" si="22"/>
        <v>1.4800000000000001E-2</v>
      </c>
    </row>
    <row r="1434" spans="1:3" x14ac:dyDescent="0.2">
      <c r="A1434" s="2">
        <v>44558</v>
      </c>
      <c r="B1434">
        <v>1.49</v>
      </c>
      <c r="C1434" s="11">
        <f t="shared" si="22"/>
        <v>1.49E-2</v>
      </c>
    </row>
    <row r="1435" spans="1:3" x14ac:dyDescent="0.2">
      <c r="A1435" s="2">
        <v>44559</v>
      </c>
      <c r="B1435">
        <v>1.55</v>
      </c>
      <c r="C1435" s="11">
        <f t="shared" si="22"/>
        <v>1.55E-2</v>
      </c>
    </row>
    <row r="1436" spans="1:3" x14ac:dyDescent="0.2">
      <c r="A1436" s="2">
        <v>44560</v>
      </c>
      <c r="B1436">
        <v>1.52</v>
      </c>
      <c r="C1436" s="11">
        <f t="shared" si="22"/>
        <v>1.52E-2</v>
      </c>
    </row>
    <row r="1437" spans="1:3" x14ac:dyDescent="0.2">
      <c r="A1437" s="2">
        <v>44561</v>
      </c>
      <c r="B1437">
        <v>1.52</v>
      </c>
      <c r="C1437" s="11">
        <f t="shared" si="22"/>
        <v>1.52E-2</v>
      </c>
    </row>
    <row r="1438" spans="1:3" x14ac:dyDescent="0.2">
      <c r="A1438" s="2">
        <v>44564</v>
      </c>
      <c r="B1438">
        <v>1.63</v>
      </c>
      <c r="C1438" s="11">
        <f t="shared" si="22"/>
        <v>1.6299999999999999E-2</v>
      </c>
    </row>
    <row r="1439" spans="1:3" x14ac:dyDescent="0.2">
      <c r="A1439" s="2">
        <v>44565</v>
      </c>
      <c r="B1439">
        <v>1.66</v>
      </c>
      <c r="C1439" s="11">
        <f t="shared" si="22"/>
        <v>1.66E-2</v>
      </c>
    </row>
    <row r="1440" spans="1:3" x14ac:dyDescent="0.2">
      <c r="A1440" s="2">
        <v>44566</v>
      </c>
      <c r="B1440">
        <v>1.71</v>
      </c>
      <c r="C1440" s="11">
        <f t="shared" si="22"/>
        <v>1.7100000000000001E-2</v>
      </c>
    </row>
    <row r="1441" spans="1:3" x14ac:dyDescent="0.2">
      <c r="A1441" s="2">
        <v>44567</v>
      </c>
      <c r="B1441">
        <v>1.73</v>
      </c>
      <c r="C1441" s="11">
        <f t="shared" si="22"/>
        <v>1.7299999999999999E-2</v>
      </c>
    </row>
    <row r="1442" spans="1:3" x14ac:dyDescent="0.2">
      <c r="A1442" s="2">
        <v>44568</v>
      </c>
      <c r="B1442">
        <v>1.76</v>
      </c>
      <c r="C1442" s="11">
        <f t="shared" si="22"/>
        <v>1.7600000000000001E-2</v>
      </c>
    </row>
    <row r="1443" spans="1:3" x14ac:dyDescent="0.2">
      <c r="A1443" s="2">
        <v>44571</v>
      </c>
      <c r="B1443">
        <v>1.78</v>
      </c>
      <c r="C1443" s="11">
        <f t="shared" si="22"/>
        <v>1.78E-2</v>
      </c>
    </row>
    <row r="1444" spans="1:3" x14ac:dyDescent="0.2">
      <c r="A1444" s="2">
        <v>44572</v>
      </c>
      <c r="B1444">
        <v>1.75</v>
      </c>
      <c r="C1444" s="11">
        <f t="shared" si="22"/>
        <v>1.7500000000000002E-2</v>
      </c>
    </row>
    <row r="1445" spans="1:3" x14ac:dyDescent="0.2">
      <c r="A1445" s="2">
        <v>44573</v>
      </c>
      <c r="B1445">
        <v>1.74</v>
      </c>
      <c r="C1445" s="11">
        <f t="shared" si="22"/>
        <v>1.7399999999999999E-2</v>
      </c>
    </row>
    <row r="1446" spans="1:3" x14ac:dyDescent="0.2">
      <c r="A1446" s="2">
        <v>44574</v>
      </c>
      <c r="B1446">
        <v>1.7</v>
      </c>
      <c r="C1446" s="11">
        <f t="shared" si="22"/>
        <v>1.7000000000000001E-2</v>
      </c>
    </row>
    <row r="1447" spans="1:3" x14ac:dyDescent="0.2">
      <c r="A1447" s="2">
        <v>44575</v>
      </c>
      <c r="B1447">
        <v>1.78</v>
      </c>
      <c r="C1447" s="11">
        <f t="shared" si="22"/>
        <v>1.78E-2</v>
      </c>
    </row>
    <row r="1448" spans="1:3" x14ac:dyDescent="0.2">
      <c r="A1448" s="2">
        <v>44579</v>
      </c>
      <c r="B1448">
        <v>1.87</v>
      </c>
      <c r="C1448" s="11">
        <f t="shared" si="22"/>
        <v>1.8700000000000001E-2</v>
      </c>
    </row>
    <row r="1449" spans="1:3" x14ac:dyDescent="0.2">
      <c r="A1449" s="2">
        <v>44580</v>
      </c>
      <c r="B1449">
        <v>1.83</v>
      </c>
      <c r="C1449" s="11">
        <f t="shared" si="22"/>
        <v>1.83E-2</v>
      </c>
    </row>
    <row r="1450" spans="1:3" x14ac:dyDescent="0.2">
      <c r="A1450" s="2">
        <v>44581</v>
      </c>
      <c r="B1450">
        <v>1.83</v>
      </c>
      <c r="C1450" s="11">
        <f t="shared" si="22"/>
        <v>1.83E-2</v>
      </c>
    </row>
    <row r="1451" spans="1:3" x14ac:dyDescent="0.2">
      <c r="A1451" s="2">
        <v>44582</v>
      </c>
      <c r="B1451">
        <v>1.75</v>
      </c>
      <c r="C1451" s="11">
        <f t="shared" si="22"/>
        <v>1.7500000000000002E-2</v>
      </c>
    </row>
    <row r="1452" spans="1:3" x14ac:dyDescent="0.2">
      <c r="A1452" s="2">
        <v>44585</v>
      </c>
      <c r="B1452">
        <v>1.75</v>
      </c>
      <c r="C1452" s="11">
        <f t="shared" si="22"/>
        <v>1.7500000000000002E-2</v>
      </c>
    </row>
    <row r="1453" spans="1:3" x14ac:dyDescent="0.2">
      <c r="A1453" s="2">
        <v>44586</v>
      </c>
      <c r="B1453">
        <v>1.78</v>
      </c>
      <c r="C1453" s="11">
        <f t="shared" si="22"/>
        <v>1.78E-2</v>
      </c>
    </row>
    <row r="1454" spans="1:3" x14ac:dyDescent="0.2">
      <c r="A1454" s="2">
        <v>44587</v>
      </c>
      <c r="B1454">
        <v>1.85</v>
      </c>
      <c r="C1454" s="11">
        <f t="shared" si="22"/>
        <v>1.8500000000000003E-2</v>
      </c>
    </row>
    <row r="1455" spans="1:3" x14ac:dyDescent="0.2">
      <c r="A1455" s="2">
        <v>44588</v>
      </c>
      <c r="B1455">
        <v>1.81</v>
      </c>
      <c r="C1455" s="11">
        <f t="shared" si="22"/>
        <v>1.8100000000000002E-2</v>
      </c>
    </row>
    <row r="1456" spans="1:3" x14ac:dyDescent="0.2">
      <c r="A1456" s="2">
        <v>44589</v>
      </c>
      <c r="B1456">
        <v>1.78</v>
      </c>
      <c r="C1456" s="11">
        <f t="shared" si="22"/>
        <v>1.78E-2</v>
      </c>
    </row>
    <row r="1457" spans="1:3" x14ac:dyDescent="0.2">
      <c r="A1457" s="2">
        <v>44592</v>
      </c>
      <c r="B1457">
        <v>1.79</v>
      </c>
      <c r="C1457" s="11">
        <f t="shared" si="22"/>
        <v>1.7899999999999999E-2</v>
      </c>
    </row>
    <row r="1458" spans="1:3" x14ac:dyDescent="0.2">
      <c r="A1458" s="2">
        <v>44593</v>
      </c>
      <c r="B1458">
        <v>1.81</v>
      </c>
      <c r="C1458" s="11">
        <f t="shared" si="22"/>
        <v>1.8100000000000002E-2</v>
      </c>
    </row>
    <row r="1459" spans="1:3" x14ac:dyDescent="0.2">
      <c r="A1459" s="2">
        <v>44594</v>
      </c>
      <c r="B1459">
        <v>1.78</v>
      </c>
      <c r="C1459" s="11">
        <f t="shared" si="22"/>
        <v>1.78E-2</v>
      </c>
    </row>
    <row r="1460" spans="1:3" x14ac:dyDescent="0.2">
      <c r="A1460" s="2">
        <v>44595</v>
      </c>
      <c r="B1460">
        <v>1.82</v>
      </c>
      <c r="C1460" s="11">
        <f t="shared" si="22"/>
        <v>1.8200000000000001E-2</v>
      </c>
    </row>
    <row r="1461" spans="1:3" x14ac:dyDescent="0.2">
      <c r="A1461" s="2">
        <v>44596</v>
      </c>
      <c r="B1461">
        <v>1.93</v>
      </c>
      <c r="C1461" s="11">
        <f t="shared" si="22"/>
        <v>1.9299999999999998E-2</v>
      </c>
    </row>
    <row r="1462" spans="1:3" x14ac:dyDescent="0.2">
      <c r="A1462" s="2">
        <v>44599</v>
      </c>
      <c r="B1462">
        <v>1.92</v>
      </c>
      <c r="C1462" s="11">
        <f t="shared" si="22"/>
        <v>1.9199999999999998E-2</v>
      </c>
    </row>
    <row r="1463" spans="1:3" x14ac:dyDescent="0.2">
      <c r="A1463" s="2">
        <v>44600</v>
      </c>
      <c r="B1463">
        <v>1.96</v>
      </c>
      <c r="C1463" s="11">
        <f t="shared" si="22"/>
        <v>1.9599999999999999E-2</v>
      </c>
    </row>
    <row r="1464" spans="1:3" x14ac:dyDescent="0.2">
      <c r="A1464" s="2">
        <v>44601</v>
      </c>
      <c r="B1464">
        <v>1.94</v>
      </c>
      <c r="C1464" s="11">
        <f t="shared" si="22"/>
        <v>1.9400000000000001E-2</v>
      </c>
    </row>
    <row r="1465" spans="1:3" x14ac:dyDescent="0.2">
      <c r="A1465" s="2">
        <v>44602</v>
      </c>
      <c r="B1465">
        <v>2.0299999999999998</v>
      </c>
      <c r="C1465" s="11">
        <f t="shared" si="22"/>
        <v>2.0299999999999999E-2</v>
      </c>
    </row>
    <row r="1466" spans="1:3" x14ac:dyDescent="0.2">
      <c r="A1466" s="2">
        <v>44603</v>
      </c>
      <c r="B1466">
        <v>1.92</v>
      </c>
      <c r="C1466" s="11">
        <f t="shared" si="22"/>
        <v>1.9199999999999998E-2</v>
      </c>
    </row>
    <row r="1467" spans="1:3" x14ac:dyDescent="0.2">
      <c r="A1467" s="2">
        <v>44606</v>
      </c>
      <c r="B1467">
        <v>1.98</v>
      </c>
      <c r="C1467" s="11">
        <f t="shared" si="22"/>
        <v>1.9799999999999998E-2</v>
      </c>
    </row>
    <row r="1468" spans="1:3" x14ac:dyDescent="0.2">
      <c r="A1468" s="2">
        <v>44607</v>
      </c>
      <c r="B1468">
        <v>2.0499999999999998</v>
      </c>
      <c r="C1468" s="11">
        <f t="shared" si="22"/>
        <v>2.0499999999999997E-2</v>
      </c>
    </row>
    <row r="1469" spans="1:3" x14ac:dyDescent="0.2">
      <c r="A1469" s="2">
        <v>44608</v>
      </c>
      <c r="B1469">
        <v>2.0299999999999998</v>
      </c>
      <c r="C1469" s="11">
        <f t="shared" si="22"/>
        <v>2.0299999999999999E-2</v>
      </c>
    </row>
    <row r="1470" spans="1:3" x14ac:dyDescent="0.2">
      <c r="A1470" s="2">
        <v>44609</v>
      </c>
      <c r="B1470">
        <v>1.97</v>
      </c>
      <c r="C1470" s="11">
        <f t="shared" si="22"/>
        <v>1.9699999999999999E-2</v>
      </c>
    </row>
    <row r="1471" spans="1:3" x14ac:dyDescent="0.2">
      <c r="A1471" s="2">
        <v>44610</v>
      </c>
      <c r="B1471">
        <v>1.92</v>
      </c>
      <c r="C1471" s="11">
        <f t="shared" si="22"/>
        <v>1.9199999999999998E-2</v>
      </c>
    </row>
    <row r="1472" spans="1:3" x14ac:dyDescent="0.2">
      <c r="A1472" s="2">
        <v>44614</v>
      </c>
      <c r="B1472">
        <v>1.94</v>
      </c>
      <c r="C1472" s="11">
        <f t="shared" si="22"/>
        <v>1.9400000000000001E-2</v>
      </c>
    </row>
    <row r="1473" spans="1:3" x14ac:dyDescent="0.2">
      <c r="A1473" s="2">
        <v>44615</v>
      </c>
      <c r="B1473">
        <v>1.99</v>
      </c>
      <c r="C1473" s="11">
        <f t="shared" si="22"/>
        <v>1.9900000000000001E-2</v>
      </c>
    </row>
    <row r="1474" spans="1:3" x14ac:dyDescent="0.2">
      <c r="A1474" s="2">
        <v>44616</v>
      </c>
      <c r="B1474">
        <v>1.96</v>
      </c>
      <c r="C1474" s="11">
        <f t="shared" si="22"/>
        <v>1.9599999999999999E-2</v>
      </c>
    </row>
    <row r="1475" spans="1:3" x14ac:dyDescent="0.2">
      <c r="A1475" s="2">
        <v>44617</v>
      </c>
      <c r="B1475">
        <v>1.97</v>
      </c>
      <c r="C1475" s="11">
        <f t="shared" ref="C1475:C1538" si="23">B1475/100</f>
        <v>1.9699999999999999E-2</v>
      </c>
    </row>
    <row r="1476" spans="1:3" x14ac:dyDescent="0.2">
      <c r="A1476" s="2">
        <v>44620</v>
      </c>
      <c r="B1476">
        <v>1.83</v>
      </c>
      <c r="C1476" s="11">
        <f t="shared" si="23"/>
        <v>1.83E-2</v>
      </c>
    </row>
    <row r="1477" spans="1:3" x14ac:dyDescent="0.2">
      <c r="A1477" s="2">
        <v>44621</v>
      </c>
      <c r="B1477">
        <v>1.72</v>
      </c>
      <c r="C1477" s="11">
        <f t="shared" si="23"/>
        <v>1.72E-2</v>
      </c>
    </row>
    <row r="1478" spans="1:3" x14ac:dyDescent="0.2">
      <c r="A1478" s="2">
        <v>44622</v>
      </c>
      <c r="B1478">
        <v>1.86</v>
      </c>
      <c r="C1478" s="11">
        <f t="shared" si="23"/>
        <v>1.8600000000000002E-2</v>
      </c>
    </row>
    <row r="1479" spans="1:3" x14ac:dyDescent="0.2">
      <c r="A1479" s="2">
        <v>44623</v>
      </c>
      <c r="B1479">
        <v>1.86</v>
      </c>
      <c r="C1479" s="11">
        <f t="shared" si="23"/>
        <v>1.8600000000000002E-2</v>
      </c>
    </row>
    <row r="1480" spans="1:3" x14ac:dyDescent="0.2">
      <c r="A1480" s="2">
        <v>44624</v>
      </c>
      <c r="B1480">
        <v>1.74</v>
      </c>
      <c r="C1480" s="11">
        <f t="shared" si="23"/>
        <v>1.7399999999999999E-2</v>
      </c>
    </row>
    <row r="1481" spans="1:3" x14ac:dyDescent="0.2">
      <c r="A1481" s="2">
        <v>44627</v>
      </c>
      <c r="B1481">
        <v>1.78</v>
      </c>
      <c r="C1481" s="11">
        <f t="shared" si="23"/>
        <v>1.78E-2</v>
      </c>
    </row>
    <row r="1482" spans="1:3" x14ac:dyDescent="0.2">
      <c r="A1482" s="2">
        <v>44628</v>
      </c>
      <c r="B1482">
        <v>1.86</v>
      </c>
      <c r="C1482" s="11">
        <f t="shared" si="23"/>
        <v>1.8600000000000002E-2</v>
      </c>
    </row>
    <row r="1483" spans="1:3" x14ac:dyDescent="0.2">
      <c r="A1483" s="2">
        <v>44629</v>
      </c>
      <c r="B1483">
        <v>1.94</v>
      </c>
      <c r="C1483" s="11">
        <f t="shared" si="23"/>
        <v>1.9400000000000001E-2</v>
      </c>
    </row>
    <row r="1484" spans="1:3" x14ac:dyDescent="0.2">
      <c r="A1484" s="2">
        <v>44630</v>
      </c>
      <c r="B1484">
        <v>1.98</v>
      </c>
      <c r="C1484" s="11">
        <f t="shared" si="23"/>
        <v>1.9799999999999998E-2</v>
      </c>
    </row>
    <row r="1485" spans="1:3" x14ac:dyDescent="0.2">
      <c r="A1485" s="2">
        <v>44631</v>
      </c>
      <c r="B1485">
        <v>2</v>
      </c>
      <c r="C1485" s="11">
        <f t="shared" si="23"/>
        <v>0.02</v>
      </c>
    </row>
    <row r="1486" spans="1:3" x14ac:dyDescent="0.2">
      <c r="A1486" s="2">
        <v>44634</v>
      </c>
      <c r="B1486">
        <v>2.14</v>
      </c>
      <c r="C1486" s="11">
        <f t="shared" si="23"/>
        <v>2.1400000000000002E-2</v>
      </c>
    </row>
    <row r="1487" spans="1:3" x14ac:dyDescent="0.2">
      <c r="A1487" s="2">
        <v>44635</v>
      </c>
      <c r="B1487">
        <v>2.15</v>
      </c>
      <c r="C1487" s="11">
        <f t="shared" si="23"/>
        <v>2.1499999999999998E-2</v>
      </c>
    </row>
    <row r="1488" spans="1:3" x14ac:dyDescent="0.2">
      <c r="A1488" s="2">
        <v>44636</v>
      </c>
      <c r="B1488">
        <v>2.19</v>
      </c>
      <c r="C1488" s="11">
        <f t="shared" si="23"/>
        <v>2.1899999999999999E-2</v>
      </c>
    </row>
    <row r="1489" spans="1:3" x14ac:dyDescent="0.2">
      <c r="A1489" s="2">
        <v>44637</v>
      </c>
      <c r="B1489">
        <v>2.2000000000000002</v>
      </c>
      <c r="C1489" s="11">
        <f t="shared" si="23"/>
        <v>2.2000000000000002E-2</v>
      </c>
    </row>
    <row r="1490" spans="1:3" x14ac:dyDescent="0.2">
      <c r="A1490" s="2">
        <v>44638</v>
      </c>
      <c r="B1490">
        <v>2.14</v>
      </c>
      <c r="C1490" s="11">
        <f t="shared" si="23"/>
        <v>2.1400000000000002E-2</v>
      </c>
    </row>
    <row r="1491" spans="1:3" x14ac:dyDescent="0.2">
      <c r="A1491" s="2">
        <v>44641</v>
      </c>
      <c r="B1491">
        <v>2.3199999999999998</v>
      </c>
      <c r="C1491" s="11">
        <f t="shared" si="23"/>
        <v>2.3199999999999998E-2</v>
      </c>
    </row>
    <row r="1492" spans="1:3" x14ac:dyDescent="0.2">
      <c r="A1492" s="2">
        <v>44642</v>
      </c>
      <c r="B1492">
        <v>2.38</v>
      </c>
      <c r="C1492" s="11">
        <f t="shared" si="23"/>
        <v>2.3799999999999998E-2</v>
      </c>
    </row>
    <row r="1493" spans="1:3" x14ac:dyDescent="0.2">
      <c r="A1493" s="2">
        <v>44643</v>
      </c>
      <c r="B1493">
        <v>2.3199999999999998</v>
      </c>
      <c r="C1493" s="11">
        <f t="shared" si="23"/>
        <v>2.3199999999999998E-2</v>
      </c>
    </row>
    <row r="1494" spans="1:3" x14ac:dyDescent="0.2">
      <c r="A1494" s="2">
        <v>44644</v>
      </c>
      <c r="B1494">
        <v>2.34</v>
      </c>
      <c r="C1494" s="11">
        <f t="shared" si="23"/>
        <v>2.3399999999999997E-2</v>
      </c>
    </row>
    <row r="1495" spans="1:3" x14ac:dyDescent="0.2">
      <c r="A1495" s="2">
        <v>44645</v>
      </c>
      <c r="B1495">
        <v>2.48</v>
      </c>
      <c r="C1495" s="11">
        <f t="shared" si="23"/>
        <v>2.4799999999999999E-2</v>
      </c>
    </row>
    <row r="1496" spans="1:3" x14ac:dyDescent="0.2">
      <c r="A1496" s="2">
        <v>44648</v>
      </c>
      <c r="B1496">
        <v>2.46</v>
      </c>
      <c r="C1496" s="11">
        <f t="shared" si="23"/>
        <v>2.46E-2</v>
      </c>
    </row>
    <row r="1497" spans="1:3" x14ac:dyDescent="0.2">
      <c r="A1497" s="2">
        <v>44649</v>
      </c>
      <c r="B1497">
        <v>2.41</v>
      </c>
      <c r="C1497" s="11">
        <f t="shared" si="23"/>
        <v>2.41E-2</v>
      </c>
    </row>
    <row r="1498" spans="1:3" x14ac:dyDescent="0.2">
      <c r="A1498" s="2">
        <v>44650</v>
      </c>
      <c r="B1498">
        <v>2.35</v>
      </c>
      <c r="C1498" s="11">
        <f t="shared" si="23"/>
        <v>2.35E-2</v>
      </c>
    </row>
    <row r="1499" spans="1:3" x14ac:dyDescent="0.2">
      <c r="A1499" s="2">
        <v>44651</v>
      </c>
      <c r="B1499">
        <v>2.3199999999999998</v>
      </c>
      <c r="C1499" s="11">
        <f t="shared" si="23"/>
        <v>2.3199999999999998E-2</v>
      </c>
    </row>
    <row r="1500" spans="1:3" x14ac:dyDescent="0.2">
      <c r="A1500" s="2">
        <v>44652</v>
      </c>
      <c r="B1500">
        <v>2.39</v>
      </c>
      <c r="C1500" s="11">
        <f t="shared" si="23"/>
        <v>2.3900000000000001E-2</v>
      </c>
    </row>
    <row r="1501" spans="1:3" x14ac:dyDescent="0.2">
      <c r="A1501" s="2">
        <v>44655</v>
      </c>
      <c r="B1501">
        <v>2.42</v>
      </c>
      <c r="C1501" s="11">
        <f t="shared" si="23"/>
        <v>2.4199999999999999E-2</v>
      </c>
    </row>
    <row r="1502" spans="1:3" x14ac:dyDescent="0.2">
      <c r="A1502" s="2">
        <v>44656</v>
      </c>
      <c r="B1502">
        <v>2.54</v>
      </c>
      <c r="C1502" s="11">
        <f t="shared" si="23"/>
        <v>2.5399999999999999E-2</v>
      </c>
    </row>
    <row r="1503" spans="1:3" x14ac:dyDescent="0.2">
      <c r="A1503" s="2">
        <v>44657</v>
      </c>
      <c r="B1503">
        <v>2.61</v>
      </c>
      <c r="C1503" s="11">
        <f t="shared" si="23"/>
        <v>2.6099999999999998E-2</v>
      </c>
    </row>
    <row r="1504" spans="1:3" x14ac:dyDescent="0.2">
      <c r="A1504" s="2">
        <v>44658</v>
      </c>
      <c r="B1504">
        <v>2.66</v>
      </c>
      <c r="C1504" s="11">
        <f t="shared" si="23"/>
        <v>2.6600000000000002E-2</v>
      </c>
    </row>
    <row r="1505" spans="1:3" x14ac:dyDescent="0.2">
      <c r="A1505" s="2">
        <v>44659</v>
      </c>
      <c r="B1505">
        <v>2.72</v>
      </c>
      <c r="C1505" s="11">
        <f t="shared" si="23"/>
        <v>2.7200000000000002E-2</v>
      </c>
    </row>
    <row r="1506" spans="1:3" x14ac:dyDescent="0.2">
      <c r="A1506" s="2">
        <v>44662</v>
      </c>
      <c r="B1506">
        <v>2.79</v>
      </c>
      <c r="C1506" s="11">
        <f t="shared" si="23"/>
        <v>2.7900000000000001E-2</v>
      </c>
    </row>
    <row r="1507" spans="1:3" x14ac:dyDescent="0.2">
      <c r="A1507" s="2">
        <v>44663</v>
      </c>
      <c r="B1507">
        <v>2.72</v>
      </c>
      <c r="C1507" s="11">
        <f t="shared" si="23"/>
        <v>2.7200000000000002E-2</v>
      </c>
    </row>
    <row r="1508" spans="1:3" x14ac:dyDescent="0.2">
      <c r="A1508" s="2">
        <v>44664</v>
      </c>
      <c r="B1508">
        <v>2.7</v>
      </c>
      <c r="C1508" s="11">
        <f t="shared" si="23"/>
        <v>2.7000000000000003E-2</v>
      </c>
    </row>
    <row r="1509" spans="1:3" x14ac:dyDescent="0.2">
      <c r="A1509" s="2">
        <v>44665</v>
      </c>
      <c r="B1509">
        <v>2.83</v>
      </c>
      <c r="C1509" s="11">
        <f t="shared" si="23"/>
        <v>2.8300000000000002E-2</v>
      </c>
    </row>
    <row r="1510" spans="1:3" x14ac:dyDescent="0.2">
      <c r="A1510" s="2">
        <v>44669</v>
      </c>
      <c r="B1510">
        <v>2.85</v>
      </c>
      <c r="C1510" s="11">
        <f t="shared" si="23"/>
        <v>2.8500000000000001E-2</v>
      </c>
    </row>
    <row r="1511" spans="1:3" x14ac:dyDescent="0.2">
      <c r="A1511" s="2">
        <v>44670</v>
      </c>
      <c r="B1511">
        <v>2.93</v>
      </c>
      <c r="C1511" s="11">
        <f t="shared" si="23"/>
        <v>2.9300000000000003E-2</v>
      </c>
    </row>
    <row r="1512" spans="1:3" x14ac:dyDescent="0.2">
      <c r="A1512" s="2">
        <v>44671</v>
      </c>
      <c r="B1512">
        <v>2.85</v>
      </c>
      <c r="C1512" s="11">
        <f t="shared" si="23"/>
        <v>2.8500000000000001E-2</v>
      </c>
    </row>
    <row r="1513" spans="1:3" x14ac:dyDescent="0.2">
      <c r="A1513" s="2">
        <v>44672</v>
      </c>
      <c r="B1513">
        <v>2.9</v>
      </c>
      <c r="C1513" s="11">
        <f t="shared" si="23"/>
        <v>2.8999999999999998E-2</v>
      </c>
    </row>
    <row r="1514" spans="1:3" x14ac:dyDescent="0.2">
      <c r="A1514" s="2">
        <v>44673</v>
      </c>
      <c r="B1514">
        <v>2.9</v>
      </c>
      <c r="C1514" s="11">
        <f t="shared" si="23"/>
        <v>2.8999999999999998E-2</v>
      </c>
    </row>
    <row r="1515" spans="1:3" x14ac:dyDescent="0.2">
      <c r="A1515" s="2">
        <v>44676</v>
      </c>
      <c r="B1515">
        <v>2.81</v>
      </c>
      <c r="C1515" s="11">
        <f t="shared" si="23"/>
        <v>2.81E-2</v>
      </c>
    </row>
    <row r="1516" spans="1:3" x14ac:dyDescent="0.2">
      <c r="A1516" s="2">
        <v>44677</v>
      </c>
      <c r="B1516">
        <v>2.77</v>
      </c>
      <c r="C1516" s="11">
        <f t="shared" si="23"/>
        <v>2.7699999999999999E-2</v>
      </c>
    </row>
    <row r="1517" spans="1:3" x14ac:dyDescent="0.2">
      <c r="A1517" s="2">
        <v>44678</v>
      </c>
      <c r="B1517">
        <v>2.82</v>
      </c>
      <c r="C1517" s="11">
        <f t="shared" si="23"/>
        <v>2.8199999999999999E-2</v>
      </c>
    </row>
    <row r="1518" spans="1:3" x14ac:dyDescent="0.2">
      <c r="A1518" s="2">
        <v>44679</v>
      </c>
      <c r="B1518">
        <v>2.85</v>
      </c>
      <c r="C1518" s="11">
        <f t="shared" si="23"/>
        <v>2.8500000000000001E-2</v>
      </c>
    </row>
    <row r="1519" spans="1:3" x14ac:dyDescent="0.2">
      <c r="A1519" s="2">
        <v>44680</v>
      </c>
      <c r="B1519">
        <v>2.89</v>
      </c>
      <c r="C1519" s="11">
        <f t="shared" si="23"/>
        <v>2.8900000000000002E-2</v>
      </c>
    </row>
    <row r="1520" spans="1:3" x14ac:dyDescent="0.2">
      <c r="A1520" s="2">
        <v>44683</v>
      </c>
      <c r="B1520">
        <v>2.99</v>
      </c>
      <c r="C1520" s="11">
        <f t="shared" si="23"/>
        <v>2.9900000000000003E-2</v>
      </c>
    </row>
    <row r="1521" spans="1:3" x14ac:dyDescent="0.2">
      <c r="A1521" s="2">
        <v>44684</v>
      </c>
      <c r="B1521">
        <v>2.97</v>
      </c>
      <c r="C1521" s="11">
        <f t="shared" si="23"/>
        <v>2.9700000000000001E-2</v>
      </c>
    </row>
    <row r="1522" spans="1:3" x14ac:dyDescent="0.2">
      <c r="A1522" s="2">
        <v>44685</v>
      </c>
      <c r="B1522">
        <v>2.93</v>
      </c>
      <c r="C1522" s="11">
        <f t="shared" si="23"/>
        <v>2.9300000000000003E-2</v>
      </c>
    </row>
    <row r="1523" spans="1:3" x14ac:dyDescent="0.2">
      <c r="A1523" s="2">
        <v>44686</v>
      </c>
      <c r="B1523">
        <v>3.05</v>
      </c>
      <c r="C1523" s="11">
        <f t="shared" si="23"/>
        <v>3.0499999999999999E-2</v>
      </c>
    </row>
    <row r="1524" spans="1:3" x14ac:dyDescent="0.2">
      <c r="A1524" s="2">
        <v>44687</v>
      </c>
      <c r="B1524">
        <v>3.12</v>
      </c>
      <c r="C1524" s="11">
        <f t="shared" si="23"/>
        <v>3.1200000000000002E-2</v>
      </c>
    </row>
    <row r="1525" spans="1:3" x14ac:dyDescent="0.2">
      <c r="A1525" s="2">
        <v>44690</v>
      </c>
      <c r="B1525">
        <v>3.05</v>
      </c>
      <c r="C1525" s="11">
        <f t="shared" si="23"/>
        <v>3.0499999999999999E-2</v>
      </c>
    </row>
    <row r="1526" spans="1:3" x14ac:dyDescent="0.2">
      <c r="A1526" s="2">
        <v>44691</v>
      </c>
      <c r="B1526">
        <v>2.99</v>
      </c>
      <c r="C1526" s="11">
        <f t="shared" si="23"/>
        <v>2.9900000000000003E-2</v>
      </c>
    </row>
    <row r="1527" spans="1:3" x14ac:dyDescent="0.2">
      <c r="A1527" s="2">
        <v>44692</v>
      </c>
      <c r="B1527">
        <v>2.91</v>
      </c>
      <c r="C1527" s="11">
        <f t="shared" si="23"/>
        <v>2.9100000000000001E-2</v>
      </c>
    </row>
    <row r="1528" spans="1:3" x14ac:dyDescent="0.2">
      <c r="A1528" s="2">
        <v>44693</v>
      </c>
      <c r="B1528">
        <v>2.84</v>
      </c>
      <c r="C1528" s="11">
        <f t="shared" si="23"/>
        <v>2.8399999999999998E-2</v>
      </c>
    </row>
    <row r="1529" spans="1:3" x14ac:dyDescent="0.2">
      <c r="A1529" s="2">
        <v>44694</v>
      </c>
      <c r="B1529">
        <v>2.93</v>
      </c>
      <c r="C1529" s="11">
        <f t="shared" si="23"/>
        <v>2.9300000000000003E-2</v>
      </c>
    </row>
    <row r="1530" spans="1:3" x14ac:dyDescent="0.2">
      <c r="A1530" s="2">
        <v>44697</v>
      </c>
      <c r="B1530">
        <v>2.88</v>
      </c>
      <c r="C1530" s="11">
        <f t="shared" si="23"/>
        <v>2.8799999999999999E-2</v>
      </c>
    </row>
    <row r="1531" spans="1:3" x14ac:dyDescent="0.2">
      <c r="A1531" s="2">
        <v>44698</v>
      </c>
      <c r="B1531">
        <v>2.98</v>
      </c>
      <c r="C1531" s="11">
        <f t="shared" si="23"/>
        <v>2.98E-2</v>
      </c>
    </row>
    <row r="1532" spans="1:3" x14ac:dyDescent="0.2">
      <c r="A1532" s="2">
        <v>44699</v>
      </c>
      <c r="B1532">
        <v>2.89</v>
      </c>
      <c r="C1532" s="11">
        <f t="shared" si="23"/>
        <v>2.8900000000000002E-2</v>
      </c>
    </row>
    <row r="1533" spans="1:3" x14ac:dyDescent="0.2">
      <c r="A1533" s="2">
        <v>44700</v>
      </c>
      <c r="B1533">
        <v>2.84</v>
      </c>
      <c r="C1533" s="11">
        <f t="shared" si="23"/>
        <v>2.8399999999999998E-2</v>
      </c>
    </row>
    <row r="1534" spans="1:3" x14ac:dyDescent="0.2">
      <c r="A1534" s="2">
        <v>44701</v>
      </c>
      <c r="B1534">
        <v>2.78</v>
      </c>
      <c r="C1534" s="11">
        <f t="shared" si="23"/>
        <v>2.7799999999999998E-2</v>
      </c>
    </row>
    <row r="1535" spans="1:3" x14ac:dyDescent="0.2">
      <c r="A1535" s="2">
        <v>44704</v>
      </c>
      <c r="B1535">
        <v>2.86</v>
      </c>
      <c r="C1535" s="11">
        <f t="shared" si="23"/>
        <v>2.86E-2</v>
      </c>
    </row>
    <row r="1536" spans="1:3" x14ac:dyDescent="0.2">
      <c r="A1536" s="2">
        <v>44705</v>
      </c>
      <c r="B1536">
        <v>2.76</v>
      </c>
      <c r="C1536" s="11">
        <f t="shared" si="23"/>
        <v>2.76E-2</v>
      </c>
    </row>
    <row r="1537" spans="1:3" x14ac:dyDescent="0.2">
      <c r="A1537" s="2">
        <v>44706</v>
      </c>
      <c r="B1537">
        <v>2.75</v>
      </c>
      <c r="C1537" s="11">
        <f t="shared" si="23"/>
        <v>2.75E-2</v>
      </c>
    </row>
    <row r="1538" spans="1:3" x14ac:dyDescent="0.2">
      <c r="A1538" s="2">
        <v>44707</v>
      </c>
      <c r="B1538">
        <v>2.75</v>
      </c>
      <c r="C1538" s="11">
        <f t="shared" si="23"/>
        <v>2.75E-2</v>
      </c>
    </row>
    <row r="1539" spans="1:3" x14ac:dyDescent="0.2">
      <c r="A1539" s="2">
        <v>44708</v>
      </c>
      <c r="B1539">
        <v>2.74</v>
      </c>
      <c r="C1539" s="11">
        <f t="shared" ref="C1539:C1602" si="24">B1539/100</f>
        <v>2.7400000000000001E-2</v>
      </c>
    </row>
    <row r="1540" spans="1:3" x14ac:dyDescent="0.2">
      <c r="A1540" s="2">
        <v>44712</v>
      </c>
      <c r="B1540">
        <v>2.85</v>
      </c>
      <c r="C1540" s="11">
        <f t="shared" si="24"/>
        <v>2.8500000000000001E-2</v>
      </c>
    </row>
    <row r="1541" spans="1:3" x14ac:dyDescent="0.2">
      <c r="A1541" s="2">
        <v>44713</v>
      </c>
      <c r="B1541">
        <v>2.94</v>
      </c>
      <c r="C1541" s="11">
        <f t="shared" si="24"/>
        <v>2.9399999999999999E-2</v>
      </c>
    </row>
    <row r="1542" spans="1:3" x14ac:dyDescent="0.2">
      <c r="A1542" s="2">
        <v>44714</v>
      </c>
      <c r="B1542">
        <v>2.92</v>
      </c>
      <c r="C1542" s="11">
        <f t="shared" si="24"/>
        <v>2.92E-2</v>
      </c>
    </row>
    <row r="1543" spans="1:3" x14ac:dyDescent="0.2">
      <c r="A1543" s="2">
        <v>44715</v>
      </c>
      <c r="B1543">
        <v>2.96</v>
      </c>
      <c r="C1543" s="11">
        <f t="shared" si="24"/>
        <v>2.9600000000000001E-2</v>
      </c>
    </row>
    <row r="1544" spans="1:3" x14ac:dyDescent="0.2">
      <c r="A1544" s="2">
        <v>44718</v>
      </c>
      <c r="B1544">
        <v>3.04</v>
      </c>
      <c r="C1544" s="11">
        <f t="shared" si="24"/>
        <v>3.04E-2</v>
      </c>
    </row>
    <row r="1545" spans="1:3" x14ac:dyDescent="0.2">
      <c r="A1545" s="2">
        <v>44719</v>
      </c>
      <c r="B1545">
        <v>2.98</v>
      </c>
      <c r="C1545" s="11">
        <f t="shared" si="24"/>
        <v>2.98E-2</v>
      </c>
    </row>
    <row r="1546" spans="1:3" x14ac:dyDescent="0.2">
      <c r="A1546" s="2">
        <v>44720</v>
      </c>
      <c r="B1546">
        <v>3.03</v>
      </c>
      <c r="C1546" s="11">
        <f t="shared" si="24"/>
        <v>3.0299999999999997E-2</v>
      </c>
    </row>
    <row r="1547" spans="1:3" x14ac:dyDescent="0.2">
      <c r="A1547" s="2">
        <v>44721</v>
      </c>
      <c r="B1547">
        <v>3.04</v>
      </c>
      <c r="C1547" s="11">
        <f t="shared" si="24"/>
        <v>3.04E-2</v>
      </c>
    </row>
    <row r="1548" spans="1:3" x14ac:dyDescent="0.2">
      <c r="A1548" s="2">
        <v>44722</v>
      </c>
      <c r="B1548">
        <v>3.15</v>
      </c>
      <c r="C1548" s="11">
        <f t="shared" si="24"/>
        <v>3.15E-2</v>
      </c>
    </row>
    <row r="1549" spans="1:3" x14ac:dyDescent="0.2">
      <c r="A1549" s="2">
        <v>44725</v>
      </c>
      <c r="B1549">
        <v>3.43</v>
      </c>
      <c r="C1549" s="11">
        <f t="shared" si="24"/>
        <v>3.4300000000000004E-2</v>
      </c>
    </row>
    <row r="1550" spans="1:3" x14ac:dyDescent="0.2">
      <c r="A1550" s="2">
        <v>44726</v>
      </c>
      <c r="B1550">
        <v>3.49</v>
      </c>
      <c r="C1550" s="11">
        <f t="shared" si="24"/>
        <v>3.49E-2</v>
      </c>
    </row>
    <row r="1551" spans="1:3" x14ac:dyDescent="0.2">
      <c r="A1551" s="2">
        <v>44727</v>
      </c>
      <c r="B1551">
        <v>3.33</v>
      </c>
      <c r="C1551" s="11">
        <f t="shared" si="24"/>
        <v>3.3300000000000003E-2</v>
      </c>
    </row>
    <row r="1552" spans="1:3" x14ac:dyDescent="0.2">
      <c r="A1552" s="2">
        <v>44728</v>
      </c>
      <c r="B1552">
        <v>3.28</v>
      </c>
      <c r="C1552" s="11">
        <f t="shared" si="24"/>
        <v>3.2799999999999996E-2</v>
      </c>
    </row>
    <row r="1553" spans="1:3" x14ac:dyDescent="0.2">
      <c r="A1553" s="2">
        <v>44729</v>
      </c>
      <c r="B1553">
        <v>3.25</v>
      </c>
      <c r="C1553" s="11">
        <f t="shared" si="24"/>
        <v>3.2500000000000001E-2</v>
      </c>
    </row>
    <row r="1554" spans="1:3" x14ac:dyDescent="0.2">
      <c r="A1554" s="2">
        <v>44733</v>
      </c>
      <c r="B1554">
        <v>3.31</v>
      </c>
      <c r="C1554" s="11">
        <f t="shared" si="24"/>
        <v>3.3099999999999997E-2</v>
      </c>
    </row>
    <row r="1555" spans="1:3" x14ac:dyDescent="0.2">
      <c r="A1555" s="2">
        <v>44734</v>
      </c>
      <c r="B1555">
        <v>3.16</v>
      </c>
      <c r="C1555" s="11">
        <f t="shared" si="24"/>
        <v>3.1600000000000003E-2</v>
      </c>
    </row>
    <row r="1556" spans="1:3" x14ac:dyDescent="0.2">
      <c r="A1556" s="2">
        <v>44735</v>
      </c>
      <c r="B1556">
        <v>3.09</v>
      </c>
      <c r="C1556" s="11">
        <f t="shared" si="24"/>
        <v>3.0899999999999997E-2</v>
      </c>
    </row>
    <row r="1557" spans="1:3" x14ac:dyDescent="0.2">
      <c r="A1557" s="2">
        <v>44736</v>
      </c>
      <c r="B1557">
        <v>3.13</v>
      </c>
      <c r="C1557" s="11">
        <f t="shared" si="24"/>
        <v>3.1300000000000001E-2</v>
      </c>
    </row>
    <row r="1558" spans="1:3" x14ac:dyDescent="0.2">
      <c r="A1558" s="2">
        <v>44739</v>
      </c>
      <c r="B1558">
        <v>3.2</v>
      </c>
      <c r="C1558" s="11">
        <f t="shared" si="24"/>
        <v>3.2000000000000001E-2</v>
      </c>
    </row>
    <row r="1559" spans="1:3" x14ac:dyDescent="0.2">
      <c r="A1559" s="2">
        <v>44740</v>
      </c>
      <c r="B1559">
        <v>3.2</v>
      </c>
      <c r="C1559" s="11">
        <f t="shared" si="24"/>
        <v>3.2000000000000001E-2</v>
      </c>
    </row>
    <row r="1560" spans="1:3" x14ac:dyDescent="0.2">
      <c r="A1560" s="2">
        <v>44741</v>
      </c>
      <c r="B1560">
        <v>3.1</v>
      </c>
      <c r="C1560" s="11">
        <f t="shared" si="24"/>
        <v>3.1E-2</v>
      </c>
    </row>
    <row r="1561" spans="1:3" x14ac:dyDescent="0.2">
      <c r="A1561" s="2">
        <v>44742</v>
      </c>
      <c r="B1561">
        <v>2.98</v>
      </c>
      <c r="C1561" s="11">
        <f t="shared" si="24"/>
        <v>2.98E-2</v>
      </c>
    </row>
    <row r="1562" spans="1:3" x14ac:dyDescent="0.2">
      <c r="A1562" s="2">
        <v>44743</v>
      </c>
      <c r="B1562">
        <v>2.88</v>
      </c>
      <c r="C1562" s="11">
        <f t="shared" si="24"/>
        <v>2.8799999999999999E-2</v>
      </c>
    </row>
    <row r="1563" spans="1:3" x14ac:dyDescent="0.2">
      <c r="A1563" s="2">
        <v>44747</v>
      </c>
      <c r="B1563">
        <v>2.82</v>
      </c>
      <c r="C1563" s="11">
        <f t="shared" si="24"/>
        <v>2.8199999999999999E-2</v>
      </c>
    </row>
    <row r="1564" spans="1:3" x14ac:dyDescent="0.2">
      <c r="A1564" s="2">
        <v>44748</v>
      </c>
      <c r="B1564">
        <v>2.93</v>
      </c>
      <c r="C1564" s="11">
        <f t="shared" si="24"/>
        <v>2.9300000000000003E-2</v>
      </c>
    </row>
    <row r="1565" spans="1:3" x14ac:dyDescent="0.2">
      <c r="A1565" s="2">
        <v>44749</v>
      </c>
      <c r="B1565">
        <v>3.01</v>
      </c>
      <c r="C1565" s="11">
        <f t="shared" si="24"/>
        <v>3.0099999999999998E-2</v>
      </c>
    </row>
    <row r="1566" spans="1:3" x14ac:dyDescent="0.2">
      <c r="A1566" s="2">
        <v>44750</v>
      </c>
      <c r="B1566">
        <v>3.09</v>
      </c>
      <c r="C1566" s="11">
        <f t="shared" si="24"/>
        <v>3.0899999999999997E-2</v>
      </c>
    </row>
    <row r="1567" spans="1:3" x14ac:dyDescent="0.2">
      <c r="A1567" s="2">
        <v>44753</v>
      </c>
      <c r="B1567">
        <v>2.99</v>
      </c>
      <c r="C1567" s="11">
        <f t="shared" si="24"/>
        <v>2.9900000000000003E-2</v>
      </c>
    </row>
    <row r="1568" spans="1:3" x14ac:dyDescent="0.2">
      <c r="A1568" s="2">
        <v>44754</v>
      </c>
      <c r="B1568">
        <v>2.96</v>
      </c>
      <c r="C1568" s="11">
        <f t="shared" si="24"/>
        <v>2.9600000000000001E-2</v>
      </c>
    </row>
    <row r="1569" spans="1:3" x14ac:dyDescent="0.2">
      <c r="A1569" s="2">
        <v>44755</v>
      </c>
      <c r="B1569">
        <v>2.91</v>
      </c>
      <c r="C1569" s="11">
        <f t="shared" si="24"/>
        <v>2.9100000000000001E-2</v>
      </c>
    </row>
    <row r="1570" spans="1:3" x14ac:dyDescent="0.2">
      <c r="A1570" s="2">
        <v>44756</v>
      </c>
      <c r="B1570">
        <v>2.96</v>
      </c>
      <c r="C1570" s="11">
        <f t="shared" si="24"/>
        <v>2.9600000000000001E-2</v>
      </c>
    </row>
    <row r="1571" spans="1:3" x14ac:dyDescent="0.2">
      <c r="A1571" s="2">
        <v>44757</v>
      </c>
      <c r="B1571">
        <v>2.93</v>
      </c>
      <c r="C1571" s="11">
        <f t="shared" si="24"/>
        <v>2.9300000000000003E-2</v>
      </c>
    </row>
    <row r="1572" spans="1:3" x14ac:dyDescent="0.2">
      <c r="A1572" s="2">
        <v>44760</v>
      </c>
      <c r="B1572">
        <v>2.96</v>
      </c>
      <c r="C1572" s="11">
        <f t="shared" si="24"/>
        <v>2.9600000000000001E-2</v>
      </c>
    </row>
    <row r="1573" spans="1:3" x14ac:dyDescent="0.2">
      <c r="A1573" s="2">
        <v>44761</v>
      </c>
      <c r="B1573">
        <v>3.01</v>
      </c>
      <c r="C1573" s="11">
        <f t="shared" si="24"/>
        <v>3.0099999999999998E-2</v>
      </c>
    </row>
    <row r="1574" spans="1:3" x14ac:dyDescent="0.2">
      <c r="A1574" s="2">
        <v>44762</v>
      </c>
      <c r="B1574">
        <v>3.04</v>
      </c>
      <c r="C1574" s="11">
        <f t="shared" si="24"/>
        <v>3.04E-2</v>
      </c>
    </row>
    <row r="1575" spans="1:3" x14ac:dyDescent="0.2">
      <c r="A1575" s="2">
        <v>44763</v>
      </c>
      <c r="B1575">
        <v>2.91</v>
      </c>
      <c r="C1575" s="11">
        <f t="shared" si="24"/>
        <v>2.9100000000000001E-2</v>
      </c>
    </row>
    <row r="1576" spans="1:3" x14ac:dyDescent="0.2">
      <c r="A1576" s="2">
        <v>44764</v>
      </c>
      <c r="B1576">
        <v>2.77</v>
      </c>
      <c r="C1576" s="11">
        <f t="shared" si="24"/>
        <v>2.7699999999999999E-2</v>
      </c>
    </row>
    <row r="1577" spans="1:3" x14ac:dyDescent="0.2">
      <c r="A1577" s="2">
        <v>44767</v>
      </c>
      <c r="B1577">
        <v>2.81</v>
      </c>
      <c r="C1577" s="11">
        <f t="shared" si="24"/>
        <v>2.81E-2</v>
      </c>
    </row>
    <row r="1578" spans="1:3" x14ac:dyDescent="0.2">
      <c r="A1578" s="2">
        <v>44768</v>
      </c>
      <c r="B1578">
        <v>2.81</v>
      </c>
      <c r="C1578" s="11">
        <f t="shared" si="24"/>
        <v>2.81E-2</v>
      </c>
    </row>
    <row r="1579" spans="1:3" x14ac:dyDescent="0.2">
      <c r="A1579" s="2">
        <v>44769</v>
      </c>
      <c r="B1579">
        <v>2.78</v>
      </c>
      <c r="C1579" s="11">
        <f t="shared" si="24"/>
        <v>2.7799999999999998E-2</v>
      </c>
    </row>
    <row r="1580" spans="1:3" x14ac:dyDescent="0.2">
      <c r="A1580" s="2">
        <v>44770</v>
      </c>
      <c r="B1580">
        <v>2.68</v>
      </c>
      <c r="C1580" s="11">
        <f t="shared" si="24"/>
        <v>2.6800000000000001E-2</v>
      </c>
    </row>
    <row r="1581" spans="1:3" x14ac:dyDescent="0.2">
      <c r="A1581" s="2">
        <v>44771</v>
      </c>
      <c r="B1581">
        <v>2.67</v>
      </c>
      <c r="C1581" s="11">
        <f t="shared" si="24"/>
        <v>2.6699999999999998E-2</v>
      </c>
    </row>
    <row r="1582" spans="1:3" x14ac:dyDescent="0.2">
      <c r="A1582" s="2">
        <v>44774</v>
      </c>
      <c r="B1582">
        <v>2.6</v>
      </c>
      <c r="C1582" s="11">
        <f t="shared" si="24"/>
        <v>2.6000000000000002E-2</v>
      </c>
    </row>
    <row r="1583" spans="1:3" x14ac:dyDescent="0.2">
      <c r="A1583" s="2">
        <v>44775</v>
      </c>
      <c r="B1583">
        <v>2.75</v>
      </c>
      <c r="C1583" s="11">
        <f t="shared" si="24"/>
        <v>2.75E-2</v>
      </c>
    </row>
    <row r="1584" spans="1:3" x14ac:dyDescent="0.2">
      <c r="A1584" s="2">
        <v>44776</v>
      </c>
      <c r="B1584">
        <v>2.73</v>
      </c>
      <c r="C1584" s="11">
        <f t="shared" si="24"/>
        <v>2.7300000000000001E-2</v>
      </c>
    </row>
    <row r="1585" spans="1:3" x14ac:dyDescent="0.2">
      <c r="A1585" s="2">
        <v>44777</v>
      </c>
      <c r="B1585">
        <v>2.68</v>
      </c>
      <c r="C1585" s="11">
        <f t="shared" si="24"/>
        <v>2.6800000000000001E-2</v>
      </c>
    </row>
    <row r="1586" spans="1:3" x14ac:dyDescent="0.2">
      <c r="A1586" s="2">
        <v>44778</v>
      </c>
      <c r="B1586">
        <v>2.83</v>
      </c>
      <c r="C1586" s="11">
        <f t="shared" si="24"/>
        <v>2.8300000000000002E-2</v>
      </c>
    </row>
    <row r="1587" spans="1:3" x14ac:dyDescent="0.2">
      <c r="A1587" s="2">
        <v>44781</v>
      </c>
      <c r="B1587">
        <v>2.77</v>
      </c>
      <c r="C1587" s="11">
        <f t="shared" si="24"/>
        <v>2.7699999999999999E-2</v>
      </c>
    </row>
    <row r="1588" spans="1:3" x14ac:dyDescent="0.2">
      <c r="A1588" s="2">
        <v>44782</v>
      </c>
      <c r="B1588">
        <v>2.8</v>
      </c>
      <c r="C1588" s="11">
        <f t="shared" si="24"/>
        <v>2.7999999999999997E-2</v>
      </c>
    </row>
    <row r="1589" spans="1:3" x14ac:dyDescent="0.2">
      <c r="A1589" s="2">
        <v>44783</v>
      </c>
      <c r="B1589">
        <v>2.78</v>
      </c>
      <c r="C1589" s="11">
        <f t="shared" si="24"/>
        <v>2.7799999999999998E-2</v>
      </c>
    </row>
    <row r="1590" spans="1:3" x14ac:dyDescent="0.2">
      <c r="A1590" s="2">
        <v>44784</v>
      </c>
      <c r="B1590">
        <v>2.87</v>
      </c>
      <c r="C1590" s="11">
        <f t="shared" si="24"/>
        <v>2.87E-2</v>
      </c>
    </row>
    <row r="1591" spans="1:3" x14ac:dyDescent="0.2">
      <c r="A1591" s="2">
        <v>44785</v>
      </c>
      <c r="B1591">
        <v>2.84</v>
      </c>
      <c r="C1591" s="11">
        <f t="shared" si="24"/>
        <v>2.8399999999999998E-2</v>
      </c>
    </row>
    <row r="1592" spans="1:3" x14ac:dyDescent="0.2">
      <c r="A1592" s="2">
        <v>44788</v>
      </c>
      <c r="B1592">
        <v>2.79</v>
      </c>
      <c r="C1592" s="11">
        <f t="shared" si="24"/>
        <v>2.7900000000000001E-2</v>
      </c>
    </row>
    <row r="1593" spans="1:3" x14ac:dyDescent="0.2">
      <c r="A1593" s="2">
        <v>44789</v>
      </c>
      <c r="B1593">
        <v>2.82</v>
      </c>
      <c r="C1593" s="11">
        <f t="shared" si="24"/>
        <v>2.8199999999999999E-2</v>
      </c>
    </row>
    <row r="1594" spans="1:3" x14ac:dyDescent="0.2">
      <c r="A1594" s="2">
        <v>44790</v>
      </c>
      <c r="B1594">
        <v>2.89</v>
      </c>
      <c r="C1594" s="11">
        <f t="shared" si="24"/>
        <v>2.8900000000000002E-2</v>
      </c>
    </row>
    <row r="1595" spans="1:3" x14ac:dyDescent="0.2">
      <c r="A1595" s="2">
        <v>44791</v>
      </c>
      <c r="B1595">
        <v>2.88</v>
      </c>
      <c r="C1595" s="11">
        <f t="shared" si="24"/>
        <v>2.8799999999999999E-2</v>
      </c>
    </row>
    <row r="1596" spans="1:3" x14ac:dyDescent="0.2">
      <c r="A1596" s="2">
        <v>44792</v>
      </c>
      <c r="B1596">
        <v>2.98</v>
      </c>
      <c r="C1596" s="11">
        <f t="shared" si="24"/>
        <v>2.98E-2</v>
      </c>
    </row>
    <row r="1597" spans="1:3" x14ac:dyDescent="0.2">
      <c r="A1597" s="2">
        <v>44795</v>
      </c>
      <c r="B1597">
        <v>3.03</v>
      </c>
      <c r="C1597" s="11">
        <f t="shared" si="24"/>
        <v>3.0299999999999997E-2</v>
      </c>
    </row>
    <row r="1598" spans="1:3" x14ac:dyDescent="0.2">
      <c r="A1598" s="2">
        <v>44796</v>
      </c>
      <c r="B1598">
        <v>3.05</v>
      </c>
      <c r="C1598" s="11">
        <f t="shared" si="24"/>
        <v>3.0499999999999999E-2</v>
      </c>
    </row>
    <row r="1599" spans="1:3" x14ac:dyDescent="0.2">
      <c r="A1599" s="2">
        <v>44797</v>
      </c>
      <c r="B1599">
        <v>3.11</v>
      </c>
      <c r="C1599" s="11">
        <f t="shared" si="24"/>
        <v>3.1099999999999999E-2</v>
      </c>
    </row>
    <row r="1600" spans="1:3" x14ac:dyDescent="0.2">
      <c r="A1600" s="2">
        <v>44798</v>
      </c>
      <c r="B1600">
        <v>3.03</v>
      </c>
      <c r="C1600" s="11">
        <f t="shared" si="24"/>
        <v>3.0299999999999997E-2</v>
      </c>
    </row>
    <row r="1601" spans="1:3" x14ac:dyDescent="0.2">
      <c r="A1601" s="2">
        <v>44799</v>
      </c>
      <c r="B1601">
        <v>3.04</v>
      </c>
      <c r="C1601" s="11">
        <f t="shared" si="24"/>
        <v>3.04E-2</v>
      </c>
    </row>
    <row r="1602" spans="1:3" x14ac:dyDescent="0.2">
      <c r="A1602" s="2">
        <v>44802</v>
      </c>
      <c r="B1602">
        <v>3.12</v>
      </c>
      <c r="C1602" s="11">
        <f t="shared" si="24"/>
        <v>3.1200000000000002E-2</v>
      </c>
    </row>
    <row r="1603" spans="1:3" x14ac:dyDescent="0.2">
      <c r="A1603" s="2">
        <v>44803</v>
      </c>
      <c r="B1603">
        <v>3.11</v>
      </c>
      <c r="C1603" s="11">
        <f t="shared" ref="C1603:C1666" si="25">B1603/100</f>
        <v>3.1099999999999999E-2</v>
      </c>
    </row>
    <row r="1604" spans="1:3" x14ac:dyDescent="0.2">
      <c r="A1604" s="2">
        <v>44804</v>
      </c>
      <c r="B1604">
        <v>3.15</v>
      </c>
      <c r="C1604" s="11">
        <f t="shared" si="25"/>
        <v>3.15E-2</v>
      </c>
    </row>
    <row r="1605" spans="1:3" x14ac:dyDescent="0.2">
      <c r="A1605" s="2">
        <v>44805</v>
      </c>
      <c r="B1605">
        <v>3.26</v>
      </c>
      <c r="C1605" s="11">
        <f t="shared" si="25"/>
        <v>3.2599999999999997E-2</v>
      </c>
    </row>
    <row r="1606" spans="1:3" x14ac:dyDescent="0.2">
      <c r="A1606" s="2">
        <v>44806</v>
      </c>
      <c r="B1606">
        <v>3.2</v>
      </c>
      <c r="C1606" s="11">
        <f t="shared" si="25"/>
        <v>3.2000000000000001E-2</v>
      </c>
    </row>
    <row r="1607" spans="1:3" x14ac:dyDescent="0.2">
      <c r="A1607" s="2">
        <v>44810</v>
      </c>
      <c r="B1607">
        <v>3.33</v>
      </c>
      <c r="C1607" s="11">
        <f t="shared" si="25"/>
        <v>3.3300000000000003E-2</v>
      </c>
    </row>
    <row r="1608" spans="1:3" x14ac:dyDescent="0.2">
      <c r="A1608" s="2">
        <v>44811</v>
      </c>
      <c r="B1608">
        <v>3.27</v>
      </c>
      <c r="C1608" s="11">
        <f t="shared" si="25"/>
        <v>3.27E-2</v>
      </c>
    </row>
    <row r="1609" spans="1:3" x14ac:dyDescent="0.2">
      <c r="A1609" s="2">
        <v>44812</v>
      </c>
      <c r="B1609">
        <v>3.29</v>
      </c>
      <c r="C1609" s="11">
        <f t="shared" si="25"/>
        <v>3.2899999999999999E-2</v>
      </c>
    </row>
    <row r="1610" spans="1:3" x14ac:dyDescent="0.2">
      <c r="A1610" s="2">
        <v>44813</v>
      </c>
      <c r="B1610">
        <v>3.33</v>
      </c>
      <c r="C1610" s="11">
        <f t="shared" si="25"/>
        <v>3.3300000000000003E-2</v>
      </c>
    </row>
    <row r="1611" spans="1:3" x14ac:dyDescent="0.2">
      <c r="A1611" s="2">
        <v>44816</v>
      </c>
      <c r="B1611">
        <v>3.37</v>
      </c>
      <c r="C1611" s="11">
        <f t="shared" si="25"/>
        <v>3.3700000000000001E-2</v>
      </c>
    </row>
    <row r="1612" spans="1:3" x14ac:dyDescent="0.2">
      <c r="A1612" s="2">
        <v>44817</v>
      </c>
      <c r="B1612">
        <v>3.42</v>
      </c>
      <c r="C1612" s="11">
        <f t="shared" si="25"/>
        <v>3.4200000000000001E-2</v>
      </c>
    </row>
    <row r="1613" spans="1:3" x14ac:dyDescent="0.2">
      <c r="A1613" s="2">
        <v>44818</v>
      </c>
      <c r="B1613">
        <v>3.41</v>
      </c>
      <c r="C1613" s="11">
        <f t="shared" si="25"/>
        <v>3.4099999999999998E-2</v>
      </c>
    </row>
    <row r="1614" spans="1:3" x14ac:dyDescent="0.2">
      <c r="A1614" s="2">
        <v>44819</v>
      </c>
      <c r="B1614">
        <v>3.45</v>
      </c>
      <c r="C1614" s="11">
        <f t="shared" si="25"/>
        <v>3.4500000000000003E-2</v>
      </c>
    </row>
    <row r="1615" spans="1:3" x14ac:dyDescent="0.2">
      <c r="A1615" s="2">
        <v>44820</v>
      </c>
      <c r="B1615">
        <v>3.45</v>
      </c>
      <c r="C1615" s="11">
        <f t="shared" si="25"/>
        <v>3.4500000000000003E-2</v>
      </c>
    </row>
    <row r="1616" spans="1:3" x14ac:dyDescent="0.2">
      <c r="A1616" s="2">
        <v>44823</v>
      </c>
      <c r="B1616">
        <v>3.49</v>
      </c>
      <c r="C1616" s="11">
        <f t="shared" si="25"/>
        <v>3.49E-2</v>
      </c>
    </row>
    <row r="1617" spans="1:3" x14ac:dyDescent="0.2">
      <c r="A1617" s="2">
        <v>44824</v>
      </c>
      <c r="B1617">
        <v>3.57</v>
      </c>
      <c r="C1617" s="11">
        <f t="shared" si="25"/>
        <v>3.5699999999999996E-2</v>
      </c>
    </row>
    <row r="1618" spans="1:3" x14ac:dyDescent="0.2">
      <c r="A1618" s="2">
        <v>44825</v>
      </c>
      <c r="B1618">
        <v>3.51</v>
      </c>
      <c r="C1618" s="11">
        <f t="shared" si="25"/>
        <v>3.5099999999999999E-2</v>
      </c>
    </row>
    <row r="1619" spans="1:3" x14ac:dyDescent="0.2">
      <c r="A1619" s="2">
        <v>44826</v>
      </c>
      <c r="B1619">
        <v>3.7</v>
      </c>
      <c r="C1619" s="11">
        <f t="shared" si="25"/>
        <v>3.7000000000000005E-2</v>
      </c>
    </row>
    <row r="1620" spans="1:3" x14ac:dyDescent="0.2">
      <c r="A1620" s="2">
        <v>44827</v>
      </c>
      <c r="B1620">
        <v>3.69</v>
      </c>
      <c r="C1620" s="11">
        <f t="shared" si="25"/>
        <v>3.6900000000000002E-2</v>
      </c>
    </row>
    <row r="1621" spans="1:3" x14ac:dyDescent="0.2">
      <c r="A1621" s="2">
        <v>44830</v>
      </c>
      <c r="B1621">
        <v>3.88</v>
      </c>
      <c r="C1621" s="11">
        <f t="shared" si="25"/>
        <v>3.8800000000000001E-2</v>
      </c>
    </row>
    <row r="1622" spans="1:3" x14ac:dyDescent="0.2">
      <c r="A1622" s="2">
        <v>44831</v>
      </c>
      <c r="B1622">
        <v>3.97</v>
      </c>
      <c r="C1622" s="11">
        <f t="shared" si="25"/>
        <v>3.9699999999999999E-2</v>
      </c>
    </row>
    <row r="1623" spans="1:3" x14ac:dyDescent="0.2">
      <c r="A1623" s="2">
        <v>44832</v>
      </c>
      <c r="B1623">
        <v>3.72</v>
      </c>
      <c r="C1623" s="11">
        <f t="shared" si="25"/>
        <v>3.7200000000000004E-2</v>
      </c>
    </row>
    <row r="1624" spans="1:3" x14ac:dyDescent="0.2">
      <c r="A1624" s="2">
        <v>44833</v>
      </c>
      <c r="B1624">
        <v>3.76</v>
      </c>
      <c r="C1624" s="11">
        <f t="shared" si="25"/>
        <v>3.7599999999999995E-2</v>
      </c>
    </row>
    <row r="1625" spans="1:3" x14ac:dyDescent="0.2">
      <c r="A1625" s="2">
        <v>44834</v>
      </c>
      <c r="B1625">
        <v>3.83</v>
      </c>
      <c r="C1625" s="11">
        <f t="shared" si="25"/>
        <v>3.8300000000000001E-2</v>
      </c>
    </row>
    <row r="1626" spans="1:3" x14ac:dyDescent="0.2">
      <c r="A1626" s="2">
        <v>44837</v>
      </c>
      <c r="B1626">
        <v>3.67</v>
      </c>
      <c r="C1626" s="11">
        <f t="shared" si="25"/>
        <v>3.6699999999999997E-2</v>
      </c>
    </row>
    <row r="1627" spans="1:3" x14ac:dyDescent="0.2">
      <c r="A1627" s="2">
        <v>44838</v>
      </c>
      <c r="B1627">
        <v>3.62</v>
      </c>
      <c r="C1627" s="11">
        <f t="shared" si="25"/>
        <v>3.6200000000000003E-2</v>
      </c>
    </row>
    <row r="1628" spans="1:3" x14ac:dyDescent="0.2">
      <c r="A1628" s="2">
        <v>44839</v>
      </c>
      <c r="B1628">
        <v>3.76</v>
      </c>
      <c r="C1628" s="11">
        <f t="shared" si="25"/>
        <v>3.7599999999999995E-2</v>
      </c>
    </row>
    <row r="1629" spans="1:3" x14ac:dyDescent="0.2">
      <c r="A1629" s="2">
        <v>44840</v>
      </c>
      <c r="B1629">
        <v>3.83</v>
      </c>
      <c r="C1629" s="11">
        <f t="shared" si="25"/>
        <v>3.8300000000000001E-2</v>
      </c>
    </row>
    <row r="1630" spans="1:3" x14ac:dyDescent="0.2">
      <c r="A1630" s="2">
        <v>44841</v>
      </c>
      <c r="B1630">
        <v>3.89</v>
      </c>
      <c r="C1630" s="11">
        <f t="shared" si="25"/>
        <v>3.8900000000000004E-2</v>
      </c>
    </row>
    <row r="1631" spans="1:3" x14ac:dyDescent="0.2">
      <c r="A1631" s="2">
        <v>44845</v>
      </c>
      <c r="B1631">
        <v>3.93</v>
      </c>
      <c r="C1631" s="11">
        <f t="shared" si="25"/>
        <v>3.9300000000000002E-2</v>
      </c>
    </row>
    <row r="1632" spans="1:3" x14ac:dyDescent="0.2">
      <c r="A1632" s="2">
        <v>44846</v>
      </c>
      <c r="B1632">
        <v>3.91</v>
      </c>
      <c r="C1632" s="11">
        <f t="shared" si="25"/>
        <v>3.9100000000000003E-2</v>
      </c>
    </row>
    <row r="1633" spans="1:3" x14ac:dyDescent="0.2">
      <c r="A1633" s="2">
        <v>44847</v>
      </c>
      <c r="B1633">
        <v>3.97</v>
      </c>
      <c r="C1633" s="11">
        <f t="shared" si="25"/>
        <v>3.9699999999999999E-2</v>
      </c>
    </row>
    <row r="1634" spans="1:3" x14ac:dyDescent="0.2">
      <c r="A1634" s="2">
        <v>44848</v>
      </c>
      <c r="B1634">
        <v>4</v>
      </c>
      <c r="C1634" s="11">
        <f t="shared" si="25"/>
        <v>0.04</v>
      </c>
    </row>
    <row r="1635" spans="1:3" x14ac:dyDescent="0.2">
      <c r="A1635" s="2">
        <v>44851</v>
      </c>
      <c r="B1635">
        <v>4.0199999999999996</v>
      </c>
      <c r="C1635" s="11">
        <f t="shared" si="25"/>
        <v>4.0199999999999993E-2</v>
      </c>
    </row>
    <row r="1636" spans="1:3" x14ac:dyDescent="0.2">
      <c r="A1636" s="2">
        <v>44852</v>
      </c>
      <c r="B1636">
        <v>4.01</v>
      </c>
      <c r="C1636" s="11">
        <f t="shared" si="25"/>
        <v>4.0099999999999997E-2</v>
      </c>
    </row>
    <row r="1637" spans="1:3" x14ac:dyDescent="0.2">
      <c r="A1637" s="2">
        <v>44853</v>
      </c>
      <c r="B1637">
        <v>4.1399999999999997</v>
      </c>
      <c r="C1637" s="11">
        <f t="shared" si="25"/>
        <v>4.1399999999999999E-2</v>
      </c>
    </row>
    <row r="1638" spans="1:3" x14ac:dyDescent="0.2">
      <c r="A1638" s="2">
        <v>44854</v>
      </c>
      <c r="B1638">
        <v>4.24</v>
      </c>
      <c r="C1638" s="11">
        <f t="shared" si="25"/>
        <v>4.24E-2</v>
      </c>
    </row>
    <row r="1639" spans="1:3" x14ac:dyDescent="0.2">
      <c r="A1639" s="2">
        <v>44855</v>
      </c>
      <c r="B1639">
        <v>4.21</v>
      </c>
      <c r="C1639" s="11">
        <f t="shared" si="25"/>
        <v>4.2099999999999999E-2</v>
      </c>
    </row>
    <row r="1640" spans="1:3" x14ac:dyDescent="0.2">
      <c r="A1640" s="2">
        <v>44858</v>
      </c>
      <c r="B1640">
        <v>4.25</v>
      </c>
      <c r="C1640" s="11">
        <f t="shared" si="25"/>
        <v>4.2500000000000003E-2</v>
      </c>
    </row>
    <row r="1641" spans="1:3" x14ac:dyDescent="0.2">
      <c r="A1641" s="2">
        <v>44859</v>
      </c>
      <c r="B1641">
        <v>4.0999999999999996</v>
      </c>
      <c r="C1641" s="11">
        <f t="shared" si="25"/>
        <v>4.0999999999999995E-2</v>
      </c>
    </row>
    <row r="1642" spans="1:3" x14ac:dyDescent="0.2">
      <c r="A1642" s="2">
        <v>44860</v>
      </c>
      <c r="B1642">
        <v>4.04</v>
      </c>
      <c r="C1642" s="11">
        <f t="shared" si="25"/>
        <v>4.0399999999999998E-2</v>
      </c>
    </row>
    <row r="1643" spans="1:3" x14ac:dyDescent="0.2">
      <c r="A1643" s="2">
        <v>44861</v>
      </c>
      <c r="B1643">
        <v>3.96</v>
      </c>
      <c r="C1643" s="11">
        <f t="shared" si="25"/>
        <v>3.9599999999999996E-2</v>
      </c>
    </row>
    <row r="1644" spans="1:3" x14ac:dyDescent="0.2">
      <c r="A1644" s="2">
        <v>44862</v>
      </c>
      <c r="B1644">
        <v>4.0199999999999996</v>
      </c>
      <c r="C1644" s="11">
        <f t="shared" si="25"/>
        <v>4.0199999999999993E-2</v>
      </c>
    </row>
    <row r="1645" spans="1:3" x14ac:dyDescent="0.2">
      <c r="A1645" s="2">
        <v>44865</v>
      </c>
      <c r="B1645">
        <v>4.0999999999999996</v>
      </c>
      <c r="C1645" s="11">
        <f t="shared" si="25"/>
        <v>4.0999999999999995E-2</v>
      </c>
    </row>
    <row r="1646" spans="1:3" x14ac:dyDescent="0.2">
      <c r="A1646" s="2">
        <v>44866</v>
      </c>
      <c r="B1646">
        <v>4.07</v>
      </c>
      <c r="C1646" s="11">
        <f t="shared" si="25"/>
        <v>4.07E-2</v>
      </c>
    </row>
    <row r="1647" spans="1:3" x14ac:dyDescent="0.2">
      <c r="A1647" s="2">
        <v>44867</v>
      </c>
      <c r="B1647">
        <v>4.0999999999999996</v>
      </c>
      <c r="C1647" s="11">
        <f t="shared" si="25"/>
        <v>4.0999999999999995E-2</v>
      </c>
    </row>
    <row r="1648" spans="1:3" x14ac:dyDescent="0.2">
      <c r="A1648" s="2">
        <v>44868</v>
      </c>
      <c r="B1648">
        <v>4.1399999999999997</v>
      </c>
      <c r="C1648" s="11">
        <f t="shared" si="25"/>
        <v>4.1399999999999999E-2</v>
      </c>
    </row>
    <row r="1649" spans="1:3" x14ac:dyDescent="0.2">
      <c r="A1649" s="2">
        <v>44869</v>
      </c>
      <c r="B1649">
        <v>4.17</v>
      </c>
      <c r="C1649" s="11">
        <f t="shared" si="25"/>
        <v>4.1700000000000001E-2</v>
      </c>
    </row>
    <row r="1650" spans="1:3" x14ac:dyDescent="0.2">
      <c r="A1650" s="2">
        <v>44872</v>
      </c>
      <c r="B1650">
        <v>4.22</v>
      </c>
      <c r="C1650" s="11">
        <f t="shared" si="25"/>
        <v>4.2199999999999994E-2</v>
      </c>
    </row>
    <row r="1651" spans="1:3" x14ac:dyDescent="0.2">
      <c r="A1651" s="2">
        <v>44873</v>
      </c>
      <c r="B1651">
        <v>4.1399999999999997</v>
      </c>
      <c r="C1651" s="11">
        <f t="shared" si="25"/>
        <v>4.1399999999999999E-2</v>
      </c>
    </row>
    <row r="1652" spans="1:3" x14ac:dyDescent="0.2">
      <c r="A1652" s="2">
        <v>44874</v>
      </c>
      <c r="B1652">
        <v>4.12</v>
      </c>
      <c r="C1652" s="11">
        <f t="shared" si="25"/>
        <v>4.1200000000000001E-2</v>
      </c>
    </row>
    <row r="1653" spans="1:3" x14ac:dyDescent="0.2">
      <c r="A1653" s="2">
        <v>44875</v>
      </c>
      <c r="B1653">
        <v>3.82</v>
      </c>
      <c r="C1653" s="11">
        <f t="shared" si="25"/>
        <v>3.8199999999999998E-2</v>
      </c>
    </row>
    <row r="1654" spans="1:3" x14ac:dyDescent="0.2">
      <c r="A1654" s="2">
        <v>44879</v>
      </c>
      <c r="B1654">
        <v>3.88</v>
      </c>
      <c r="C1654" s="11">
        <f t="shared" si="25"/>
        <v>3.8800000000000001E-2</v>
      </c>
    </row>
    <row r="1655" spans="1:3" x14ac:dyDescent="0.2">
      <c r="A1655" s="2">
        <v>44880</v>
      </c>
      <c r="B1655">
        <v>3.8</v>
      </c>
      <c r="C1655" s="11">
        <f t="shared" si="25"/>
        <v>3.7999999999999999E-2</v>
      </c>
    </row>
    <row r="1656" spans="1:3" x14ac:dyDescent="0.2">
      <c r="A1656" s="2">
        <v>44881</v>
      </c>
      <c r="B1656">
        <v>3.67</v>
      </c>
      <c r="C1656" s="11">
        <f t="shared" si="25"/>
        <v>3.6699999999999997E-2</v>
      </c>
    </row>
    <row r="1657" spans="1:3" x14ac:dyDescent="0.2">
      <c r="A1657" s="2">
        <v>44882</v>
      </c>
      <c r="B1657">
        <v>3.77</v>
      </c>
      <c r="C1657" s="11">
        <f t="shared" si="25"/>
        <v>3.7699999999999997E-2</v>
      </c>
    </row>
    <row r="1658" spans="1:3" x14ac:dyDescent="0.2">
      <c r="A1658" s="2">
        <v>44883</v>
      </c>
      <c r="B1658">
        <v>3.82</v>
      </c>
      <c r="C1658" s="11">
        <f t="shared" si="25"/>
        <v>3.8199999999999998E-2</v>
      </c>
    </row>
    <row r="1659" spans="1:3" x14ac:dyDescent="0.2">
      <c r="A1659" s="2">
        <v>44886</v>
      </c>
      <c r="B1659">
        <v>3.83</v>
      </c>
      <c r="C1659" s="11">
        <f t="shared" si="25"/>
        <v>3.8300000000000001E-2</v>
      </c>
    </row>
    <row r="1660" spans="1:3" x14ac:dyDescent="0.2">
      <c r="A1660" s="2">
        <v>44887</v>
      </c>
      <c r="B1660">
        <v>3.76</v>
      </c>
      <c r="C1660" s="11">
        <f t="shared" si="25"/>
        <v>3.7599999999999995E-2</v>
      </c>
    </row>
    <row r="1661" spans="1:3" x14ac:dyDescent="0.2">
      <c r="A1661" s="2">
        <v>44888</v>
      </c>
      <c r="B1661">
        <v>3.71</v>
      </c>
      <c r="C1661" s="11">
        <f t="shared" si="25"/>
        <v>3.7100000000000001E-2</v>
      </c>
    </row>
    <row r="1662" spans="1:3" x14ac:dyDescent="0.2">
      <c r="A1662" s="2">
        <v>44890</v>
      </c>
      <c r="B1662">
        <v>3.68</v>
      </c>
      <c r="C1662" s="11">
        <f t="shared" si="25"/>
        <v>3.6799999999999999E-2</v>
      </c>
    </row>
    <row r="1663" spans="1:3" x14ac:dyDescent="0.2">
      <c r="A1663" s="2">
        <v>44893</v>
      </c>
      <c r="B1663">
        <v>3.69</v>
      </c>
      <c r="C1663" s="11">
        <f t="shared" si="25"/>
        <v>3.6900000000000002E-2</v>
      </c>
    </row>
    <row r="1664" spans="1:3" x14ac:dyDescent="0.2">
      <c r="A1664" s="2">
        <v>44894</v>
      </c>
      <c r="B1664">
        <v>3.75</v>
      </c>
      <c r="C1664" s="11">
        <f t="shared" si="25"/>
        <v>3.7499999999999999E-2</v>
      </c>
    </row>
    <row r="1665" spans="1:3" x14ac:dyDescent="0.2">
      <c r="A1665" s="2">
        <v>44895</v>
      </c>
      <c r="B1665">
        <v>3.68</v>
      </c>
      <c r="C1665" s="11">
        <f t="shared" si="25"/>
        <v>3.6799999999999999E-2</v>
      </c>
    </row>
    <row r="1666" spans="1:3" x14ac:dyDescent="0.2">
      <c r="A1666" s="2">
        <v>44896</v>
      </c>
      <c r="B1666">
        <v>3.53</v>
      </c>
      <c r="C1666" s="11">
        <f t="shared" si="25"/>
        <v>3.5299999999999998E-2</v>
      </c>
    </row>
    <row r="1667" spans="1:3" x14ac:dyDescent="0.2">
      <c r="A1667" s="2">
        <v>44897</v>
      </c>
      <c r="B1667">
        <v>3.51</v>
      </c>
      <c r="C1667" s="11">
        <f t="shared" ref="C1667:C1730" si="26">B1667/100</f>
        <v>3.5099999999999999E-2</v>
      </c>
    </row>
    <row r="1668" spans="1:3" x14ac:dyDescent="0.2">
      <c r="A1668" s="2">
        <v>44900</v>
      </c>
      <c r="B1668">
        <v>3.6</v>
      </c>
      <c r="C1668" s="11">
        <f t="shared" si="26"/>
        <v>3.6000000000000004E-2</v>
      </c>
    </row>
    <row r="1669" spans="1:3" x14ac:dyDescent="0.2">
      <c r="A1669" s="2">
        <v>44901</v>
      </c>
      <c r="B1669">
        <v>3.51</v>
      </c>
      <c r="C1669" s="11">
        <f t="shared" si="26"/>
        <v>3.5099999999999999E-2</v>
      </c>
    </row>
    <row r="1670" spans="1:3" x14ac:dyDescent="0.2">
      <c r="A1670" s="2">
        <v>44902</v>
      </c>
      <c r="B1670">
        <v>3.42</v>
      </c>
      <c r="C1670" s="11">
        <f t="shared" si="26"/>
        <v>3.4200000000000001E-2</v>
      </c>
    </row>
    <row r="1671" spans="1:3" x14ac:dyDescent="0.2">
      <c r="A1671" s="2">
        <v>44903</v>
      </c>
      <c r="B1671">
        <v>3.48</v>
      </c>
      <c r="C1671" s="11">
        <f t="shared" si="26"/>
        <v>3.4799999999999998E-2</v>
      </c>
    </row>
    <row r="1672" spans="1:3" x14ac:dyDescent="0.2">
      <c r="A1672" s="2">
        <v>44904</v>
      </c>
      <c r="B1672">
        <v>3.57</v>
      </c>
      <c r="C1672" s="11">
        <f t="shared" si="26"/>
        <v>3.5699999999999996E-2</v>
      </c>
    </row>
    <row r="1673" spans="1:3" x14ac:dyDescent="0.2">
      <c r="A1673" s="2">
        <v>44907</v>
      </c>
      <c r="B1673">
        <v>3.61</v>
      </c>
      <c r="C1673" s="11">
        <f t="shared" si="26"/>
        <v>3.61E-2</v>
      </c>
    </row>
    <row r="1674" spans="1:3" x14ac:dyDescent="0.2">
      <c r="A1674" s="2">
        <v>44908</v>
      </c>
      <c r="B1674">
        <v>3.51</v>
      </c>
      <c r="C1674" s="11">
        <f t="shared" si="26"/>
        <v>3.5099999999999999E-2</v>
      </c>
    </row>
    <row r="1675" spans="1:3" x14ac:dyDescent="0.2">
      <c r="A1675" s="2">
        <v>44909</v>
      </c>
      <c r="B1675">
        <v>3.49</v>
      </c>
      <c r="C1675" s="11">
        <f t="shared" si="26"/>
        <v>3.49E-2</v>
      </c>
    </row>
    <row r="1676" spans="1:3" x14ac:dyDescent="0.2">
      <c r="A1676" s="2">
        <v>44910</v>
      </c>
      <c r="B1676">
        <v>3.44</v>
      </c>
      <c r="C1676" s="11">
        <f t="shared" si="26"/>
        <v>3.44E-2</v>
      </c>
    </row>
    <row r="1677" spans="1:3" x14ac:dyDescent="0.2">
      <c r="A1677" s="2">
        <v>44911</v>
      </c>
      <c r="B1677">
        <v>3.48</v>
      </c>
      <c r="C1677" s="11">
        <f t="shared" si="26"/>
        <v>3.4799999999999998E-2</v>
      </c>
    </row>
    <row r="1678" spans="1:3" x14ac:dyDescent="0.2">
      <c r="A1678" s="2">
        <v>44914</v>
      </c>
      <c r="B1678">
        <v>3.57</v>
      </c>
      <c r="C1678" s="11">
        <f t="shared" si="26"/>
        <v>3.5699999999999996E-2</v>
      </c>
    </row>
    <row r="1679" spans="1:3" x14ac:dyDescent="0.2">
      <c r="A1679" s="2">
        <v>44915</v>
      </c>
      <c r="B1679">
        <v>3.69</v>
      </c>
      <c r="C1679" s="11">
        <f t="shared" si="26"/>
        <v>3.6900000000000002E-2</v>
      </c>
    </row>
    <row r="1680" spans="1:3" x14ac:dyDescent="0.2">
      <c r="A1680" s="2">
        <v>44916</v>
      </c>
      <c r="B1680">
        <v>3.68</v>
      </c>
      <c r="C1680" s="11">
        <f t="shared" si="26"/>
        <v>3.6799999999999999E-2</v>
      </c>
    </row>
    <row r="1681" spans="1:3" x14ac:dyDescent="0.2">
      <c r="A1681" s="2">
        <v>44917</v>
      </c>
      <c r="B1681">
        <v>3.67</v>
      </c>
      <c r="C1681" s="11">
        <f t="shared" si="26"/>
        <v>3.6699999999999997E-2</v>
      </c>
    </row>
    <row r="1682" spans="1:3" x14ac:dyDescent="0.2">
      <c r="A1682" s="2">
        <v>44918</v>
      </c>
      <c r="B1682">
        <v>3.75</v>
      </c>
      <c r="C1682" s="11">
        <f t="shared" si="26"/>
        <v>3.7499999999999999E-2</v>
      </c>
    </row>
    <row r="1683" spans="1:3" x14ac:dyDescent="0.2">
      <c r="A1683" s="2">
        <v>44922</v>
      </c>
      <c r="B1683">
        <v>3.84</v>
      </c>
      <c r="C1683" s="11">
        <f t="shared" si="26"/>
        <v>3.8399999999999997E-2</v>
      </c>
    </row>
    <row r="1684" spans="1:3" x14ac:dyDescent="0.2">
      <c r="A1684" s="2">
        <v>44923</v>
      </c>
      <c r="B1684">
        <v>3.88</v>
      </c>
      <c r="C1684" s="11">
        <f t="shared" si="26"/>
        <v>3.8800000000000001E-2</v>
      </c>
    </row>
    <row r="1685" spans="1:3" x14ac:dyDescent="0.2">
      <c r="A1685" s="2">
        <v>44924</v>
      </c>
      <c r="B1685">
        <v>3.83</v>
      </c>
      <c r="C1685" s="11">
        <f t="shared" si="26"/>
        <v>3.8300000000000001E-2</v>
      </c>
    </row>
    <row r="1686" spans="1:3" x14ac:dyDescent="0.2">
      <c r="A1686" s="2">
        <v>44925</v>
      </c>
      <c r="B1686">
        <v>3.88</v>
      </c>
      <c r="C1686" s="11">
        <f t="shared" si="26"/>
        <v>3.8800000000000001E-2</v>
      </c>
    </row>
    <row r="1687" spans="1:3" x14ac:dyDescent="0.2">
      <c r="A1687" s="2">
        <v>44929</v>
      </c>
      <c r="B1687">
        <v>3.79</v>
      </c>
      <c r="C1687" s="11">
        <f t="shared" si="26"/>
        <v>3.7900000000000003E-2</v>
      </c>
    </row>
    <row r="1688" spans="1:3" x14ac:dyDescent="0.2">
      <c r="A1688" s="2">
        <v>44930</v>
      </c>
      <c r="B1688">
        <v>3.69</v>
      </c>
      <c r="C1688" s="11">
        <f t="shared" si="26"/>
        <v>3.6900000000000002E-2</v>
      </c>
    </row>
    <row r="1689" spans="1:3" x14ac:dyDescent="0.2">
      <c r="A1689" s="2">
        <v>44931</v>
      </c>
      <c r="B1689">
        <v>3.71</v>
      </c>
      <c r="C1689" s="11">
        <f t="shared" si="26"/>
        <v>3.7100000000000001E-2</v>
      </c>
    </row>
    <row r="1690" spans="1:3" x14ac:dyDescent="0.2">
      <c r="A1690" s="2">
        <v>44932</v>
      </c>
      <c r="B1690">
        <v>3.55</v>
      </c>
      <c r="C1690" s="11">
        <f t="shared" si="26"/>
        <v>3.5499999999999997E-2</v>
      </c>
    </row>
    <row r="1691" spans="1:3" x14ac:dyDescent="0.2">
      <c r="A1691" s="2">
        <v>44935</v>
      </c>
      <c r="B1691">
        <v>3.53</v>
      </c>
      <c r="C1691" s="11">
        <f t="shared" si="26"/>
        <v>3.5299999999999998E-2</v>
      </c>
    </row>
    <row r="1692" spans="1:3" x14ac:dyDescent="0.2">
      <c r="A1692" s="2">
        <v>44936</v>
      </c>
      <c r="B1692">
        <v>3.61</v>
      </c>
      <c r="C1692" s="11">
        <f t="shared" si="26"/>
        <v>3.61E-2</v>
      </c>
    </row>
    <row r="1693" spans="1:3" x14ac:dyDescent="0.2">
      <c r="A1693" s="2">
        <v>44937</v>
      </c>
      <c r="B1693">
        <v>3.54</v>
      </c>
      <c r="C1693" s="11">
        <f t="shared" si="26"/>
        <v>3.5400000000000001E-2</v>
      </c>
    </row>
    <row r="1694" spans="1:3" x14ac:dyDescent="0.2">
      <c r="A1694" s="2">
        <v>44938</v>
      </c>
      <c r="B1694">
        <v>3.43</v>
      </c>
      <c r="C1694" s="11">
        <f t="shared" si="26"/>
        <v>3.4300000000000004E-2</v>
      </c>
    </row>
    <row r="1695" spans="1:3" x14ac:dyDescent="0.2">
      <c r="A1695" s="2">
        <v>44939</v>
      </c>
      <c r="B1695">
        <v>3.49</v>
      </c>
      <c r="C1695" s="11">
        <f t="shared" si="26"/>
        <v>3.49E-2</v>
      </c>
    </row>
    <row r="1696" spans="1:3" x14ac:dyDescent="0.2">
      <c r="A1696" s="2">
        <v>44943</v>
      </c>
      <c r="B1696">
        <v>3.53</v>
      </c>
      <c r="C1696" s="11">
        <f t="shared" si="26"/>
        <v>3.5299999999999998E-2</v>
      </c>
    </row>
    <row r="1697" spans="1:3" x14ac:dyDescent="0.2">
      <c r="A1697" s="2">
        <v>44944</v>
      </c>
      <c r="B1697">
        <v>3.37</v>
      </c>
      <c r="C1697" s="11">
        <f t="shared" si="26"/>
        <v>3.3700000000000001E-2</v>
      </c>
    </row>
    <row r="1698" spans="1:3" x14ac:dyDescent="0.2">
      <c r="A1698" s="2">
        <v>44945</v>
      </c>
      <c r="B1698">
        <v>3.39</v>
      </c>
      <c r="C1698" s="11">
        <f t="shared" si="26"/>
        <v>3.39E-2</v>
      </c>
    </row>
    <row r="1699" spans="1:3" x14ac:dyDescent="0.2">
      <c r="A1699" s="2">
        <v>44946</v>
      </c>
      <c r="B1699">
        <v>3.48</v>
      </c>
      <c r="C1699" s="11">
        <f t="shared" si="26"/>
        <v>3.4799999999999998E-2</v>
      </c>
    </row>
    <row r="1700" spans="1:3" x14ac:dyDescent="0.2">
      <c r="A1700" s="2">
        <v>44949</v>
      </c>
      <c r="B1700">
        <v>3.52</v>
      </c>
      <c r="C1700" s="11">
        <f t="shared" si="26"/>
        <v>3.5200000000000002E-2</v>
      </c>
    </row>
    <row r="1701" spans="1:3" x14ac:dyDescent="0.2">
      <c r="A1701" s="2">
        <v>44950</v>
      </c>
      <c r="B1701">
        <v>3.46</v>
      </c>
      <c r="C1701" s="11">
        <f t="shared" si="26"/>
        <v>3.4599999999999999E-2</v>
      </c>
    </row>
    <row r="1702" spans="1:3" x14ac:dyDescent="0.2">
      <c r="A1702" s="2">
        <v>44951</v>
      </c>
      <c r="B1702">
        <v>3.46</v>
      </c>
      <c r="C1702" s="11">
        <f t="shared" si="26"/>
        <v>3.4599999999999999E-2</v>
      </c>
    </row>
    <row r="1703" spans="1:3" x14ac:dyDescent="0.2">
      <c r="A1703" s="2">
        <v>44952</v>
      </c>
      <c r="B1703">
        <v>3.49</v>
      </c>
      <c r="C1703" s="11">
        <f t="shared" si="26"/>
        <v>3.49E-2</v>
      </c>
    </row>
    <row r="1704" spans="1:3" x14ac:dyDescent="0.2">
      <c r="A1704" s="2">
        <v>44953</v>
      </c>
      <c r="B1704">
        <v>3.52</v>
      </c>
      <c r="C1704" s="11">
        <f t="shared" si="26"/>
        <v>3.5200000000000002E-2</v>
      </c>
    </row>
    <row r="1705" spans="1:3" x14ac:dyDescent="0.2">
      <c r="A1705" s="2">
        <v>44956</v>
      </c>
      <c r="B1705">
        <v>3.55</v>
      </c>
      <c r="C1705" s="11">
        <f t="shared" si="26"/>
        <v>3.5499999999999997E-2</v>
      </c>
    </row>
    <row r="1706" spans="1:3" x14ac:dyDescent="0.2">
      <c r="A1706" s="2">
        <v>44957</v>
      </c>
      <c r="B1706">
        <v>3.52</v>
      </c>
      <c r="C1706" s="11">
        <f t="shared" si="26"/>
        <v>3.5200000000000002E-2</v>
      </c>
    </row>
    <row r="1707" spans="1:3" x14ac:dyDescent="0.2">
      <c r="A1707" s="2">
        <v>44958</v>
      </c>
      <c r="B1707">
        <v>3.39</v>
      </c>
      <c r="C1707" s="11">
        <f t="shared" si="26"/>
        <v>3.39E-2</v>
      </c>
    </row>
    <row r="1708" spans="1:3" x14ac:dyDescent="0.2">
      <c r="A1708" s="2">
        <v>44959</v>
      </c>
      <c r="B1708">
        <v>3.4</v>
      </c>
      <c r="C1708" s="11">
        <f t="shared" si="26"/>
        <v>3.4000000000000002E-2</v>
      </c>
    </row>
    <row r="1709" spans="1:3" x14ac:dyDescent="0.2">
      <c r="A1709" s="2">
        <v>44960</v>
      </c>
      <c r="B1709">
        <v>3.53</v>
      </c>
      <c r="C1709" s="11">
        <f t="shared" si="26"/>
        <v>3.5299999999999998E-2</v>
      </c>
    </row>
    <row r="1710" spans="1:3" x14ac:dyDescent="0.2">
      <c r="A1710" s="2">
        <v>44963</v>
      </c>
      <c r="B1710">
        <v>3.63</v>
      </c>
      <c r="C1710" s="11">
        <f t="shared" si="26"/>
        <v>3.6299999999999999E-2</v>
      </c>
    </row>
    <row r="1711" spans="1:3" x14ac:dyDescent="0.2">
      <c r="A1711" s="2">
        <v>44964</v>
      </c>
      <c r="B1711">
        <v>3.67</v>
      </c>
      <c r="C1711" s="11">
        <f t="shared" si="26"/>
        <v>3.6699999999999997E-2</v>
      </c>
    </row>
    <row r="1712" spans="1:3" x14ac:dyDescent="0.2">
      <c r="A1712" s="2">
        <v>44965</v>
      </c>
      <c r="B1712">
        <v>3.63</v>
      </c>
      <c r="C1712" s="11">
        <f t="shared" si="26"/>
        <v>3.6299999999999999E-2</v>
      </c>
    </row>
    <row r="1713" spans="1:3" x14ac:dyDescent="0.2">
      <c r="A1713" s="2">
        <v>44966</v>
      </c>
      <c r="B1713">
        <v>3.67</v>
      </c>
      <c r="C1713" s="11">
        <f t="shared" si="26"/>
        <v>3.6699999999999997E-2</v>
      </c>
    </row>
    <row r="1714" spans="1:3" x14ac:dyDescent="0.2">
      <c r="A1714" s="2">
        <v>44967</v>
      </c>
      <c r="B1714">
        <v>3.74</v>
      </c>
      <c r="C1714" s="11">
        <f t="shared" si="26"/>
        <v>3.7400000000000003E-2</v>
      </c>
    </row>
    <row r="1715" spans="1:3" x14ac:dyDescent="0.2">
      <c r="A1715" s="2">
        <v>44970</v>
      </c>
      <c r="B1715">
        <v>3.72</v>
      </c>
      <c r="C1715" s="11">
        <f t="shared" si="26"/>
        <v>3.7200000000000004E-2</v>
      </c>
    </row>
    <row r="1716" spans="1:3" x14ac:dyDescent="0.2">
      <c r="A1716" s="2">
        <v>44971</v>
      </c>
      <c r="B1716">
        <v>3.77</v>
      </c>
      <c r="C1716" s="11">
        <f t="shared" si="26"/>
        <v>3.7699999999999997E-2</v>
      </c>
    </row>
    <row r="1717" spans="1:3" x14ac:dyDescent="0.2">
      <c r="A1717" s="2">
        <v>44972</v>
      </c>
      <c r="B1717">
        <v>3.81</v>
      </c>
      <c r="C1717" s="11">
        <f t="shared" si="26"/>
        <v>3.8100000000000002E-2</v>
      </c>
    </row>
    <row r="1718" spans="1:3" x14ac:dyDescent="0.2">
      <c r="A1718" s="2">
        <v>44973</v>
      </c>
      <c r="B1718">
        <v>3.86</v>
      </c>
      <c r="C1718" s="11">
        <f t="shared" si="26"/>
        <v>3.8599999999999995E-2</v>
      </c>
    </row>
    <row r="1719" spans="1:3" x14ac:dyDescent="0.2">
      <c r="A1719" s="2">
        <v>44974</v>
      </c>
      <c r="B1719">
        <v>3.82</v>
      </c>
      <c r="C1719" s="11">
        <f t="shared" si="26"/>
        <v>3.8199999999999998E-2</v>
      </c>
    </row>
    <row r="1720" spans="1:3" x14ac:dyDescent="0.2">
      <c r="A1720" s="2">
        <v>44978</v>
      </c>
      <c r="B1720">
        <v>3.95</v>
      </c>
      <c r="C1720" s="11">
        <f t="shared" si="26"/>
        <v>3.95E-2</v>
      </c>
    </row>
    <row r="1721" spans="1:3" x14ac:dyDescent="0.2">
      <c r="A1721" s="2">
        <v>44979</v>
      </c>
      <c r="B1721">
        <v>3.93</v>
      </c>
      <c r="C1721" s="11">
        <f t="shared" si="26"/>
        <v>3.9300000000000002E-2</v>
      </c>
    </row>
    <row r="1722" spans="1:3" x14ac:dyDescent="0.2">
      <c r="A1722" s="2">
        <v>44980</v>
      </c>
      <c r="B1722">
        <v>3.88</v>
      </c>
      <c r="C1722" s="11">
        <f t="shared" si="26"/>
        <v>3.8800000000000001E-2</v>
      </c>
    </row>
    <row r="1723" spans="1:3" x14ac:dyDescent="0.2">
      <c r="A1723" s="2">
        <v>44981</v>
      </c>
      <c r="B1723">
        <v>3.95</v>
      </c>
      <c r="C1723" s="11">
        <f t="shared" si="26"/>
        <v>3.95E-2</v>
      </c>
    </row>
    <row r="1724" spans="1:3" x14ac:dyDescent="0.2">
      <c r="A1724" s="2">
        <v>44984</v>
      </c>
      <c r="B1724">
        <v>3.92</v>
      </c>
      <c r="C1724" s="11">
        <f t="shared" si="26"/>
        <v>3.9199999999999999E-2</v>
      </c>
    </row>
    <row r="1725" spans="1:3" x14ac:dyDescent="0.2">
      <c r="A1725" s="2">
        <v>44985</v>
      </c>
      <c r="B1725">
        <v>3.92</v>
      </c>
      <c r="C1725" s="11">
        <f t="shared" si="26"/>
        <v>3.9199999999999999E-2</v>
      </c>
    </row>
    <row r="1726" spans="1:3" x14ac:dyDescent="0.2">
      <c r="A1726" s="2">
        <v>44986</v>
      </c>
      <c r="B1726">
        <v>4.01</v>
      </c>
      <c r="C1726" s="11">
        <f t="shared" si="26"/>
        <v>4.0099999999999997E-2</v>
      </c>
    </row>
    <row r="1727" spans="1:3" x14ac:dyDescent="0.2">
      <c r="A1727" s="2">
        <v>44987</v>
      </c>
      <c r="B1727">
        <v>4.08</v>
      </c>
      <c r="C1727" s="11">
        <f t="shared" si="26"/>
        <v>4.0800000000000003E-2</v>
      </c>
    </row>
    <row r="1728" spans="1:3" x14ac:dyDescent="0.2">
      <c r="A1728" s="2">
        <v>44988</v>
      </c>
      <c r="B1728">
        <v>3.97</v>
      </c>
      <c r="C1728" s="11">
        <f t="shared" si="26"/>
        <v>3.9699999999999999E-2</v>
      </c>
    </row>
    <row r="1729" spans="1:3" x14ac:dyDescent="0.2">
      <c r="A1729" s="2">
        <v>44991</v>
      </c>
      <c r="B1729">
        <v>3.98</v>
      </c>
      <c r="C1729" s="11">
        <f t="shared" si="26"/>
        <v>3.9800000000000002E-2</v>
      </c>
    </row>
    <row r="1730" spans="1:3" x14ac:dyDescent="0.2">
      <c r="A1730" s="2">
        <v>44992</v>
      </c>
      <c r="B1730">
        <v>3.97</v>
      </c>
      <c r="C1730" s="11">
        <f t="shared" si="26"/>
        <v>3.9699999999999999E-2</v>
      </c>
    </row>
    <row r="1731" spans="1:3" x14ac:dyDescent="0.2">
      <c r="A1731" s="2">
        <v>44993</v>
      </c>
      <c r="B1731">
        <v>3.98</v>
      </c>
      <c r="C1731" s="11">
        <f t="shared" ref="C1731:C1794" si="27">B1731/100</f>
        <v>3.9800000000000002E-2</v>
      </c>
    </row>
    <row r="1732" spans="1:3" x14ac:dyDescent="0.2">
      <c r="A1732" s="2">
        <v>44994</v>
      </c>
      <c r="B1732">
        <v>3.93</v>
      </c>
      <c r="C1732" s="11">
        <f t="shared" si="27"/>
        <v>3.9300000000000002E-2</v>
      </c>
    </row>
    <row r="1733" spans="1:3" x14ac:dyDescent="0.2">
      <c r="A1733" s="2">
        <v>44995</v>
      </c>
      <c r="B1733">
        <v>3.7</v>
      </c>
      <c r="C1733" s="11">
        <f t="shared" si="27"/>
        <v>3.7000000000000005E-2</v>
      </c>
    </row>
    <row r="1734" spans="1:3" x14ac:dyDescent="0.2">
      <c r="A1734" s="2">
        <v>44998</v>
      </c>
      <c r="B1734">
        <v>3.55</v>
      </c>
      <c r="C1734" s="11">
        <f t="shared" si="27"/>
        <v>3.5499999999999997E-2</v>
      </c>
    </row>
    <row r="1735" spans="1:3" x14ac:dyDescent="0.2">
      <c r="A1735" s="2">
        <v>44999</v>
      </c>
      <c r="B1735">
        <v>3.64</v>
      </c>
      <c r="C1735" s="11">
        <f t="shared" si="27"/>
        <v>3.6400000000000002E-2</v>
      </c>
    </row>
    <row r="1736" spans="1:3" x14ac:dyDescent="0.2">
      <c r="A1736" s="2">
        <v>45000</v>
      </c>
      <c r="B1736">
        <v>3.51</v>
      </c>
      <c r="C1736" s="11">
        <f t="shared" si="27"/>
        <v>3.5099999999999999E-2</v>
      </c>
    </row>
    <row r="1737" spans="1:3" x14ac:dyDescent="0.2">
      <c r="A1737" s="2">
        <v>45001</v>
      </c>
      <c r="B1737">
        <v>3.56</v>
      </c>
      <c r="C1737" s="11">
        <f t="shared" si="27"/>
        <v>3.56E-2</v>
      </c>
    </row>
    <row r="1738" spans="1:3" x14ac:dyDescent="0.2">
      <c r="A1738" s="2">
        <v>45002</v>
      </c>
      <c r="B1738">
        <v>3.39</v>
      </c>
      <c r="C1738" s="11">
        <f t="shared" si="27"/>
        <v>3.39E-2</v>
      </c>
    </row>
    <row r="1739" spans="1:3" x14ac:dyDescent="0.2">
      <c r="A1739" s="2">
        <v>45005</v>
      </c>
      <c r="B1739">
        <v>3.47</v>
      </c>
      <c r="C1739" s="11">
        <f t="shared" si="27"/>
        <v>3.4700000000000002E-2</v>
      </c>
    </row>
    <row r="1740" spans="1:3" x14ac:dyDescent="0.2">
      <c r="A1740" s="2">
        <v>45006</v>
      </c>
      <c r="B1740">
        <v>3.59</v>
      </c>
      <c r="C1740" s="11">
        <f t="shared" si="27"/>
        <v>3.5900000000000001E-2</v>
      </c>
    </row>
    <row r="1741" spans="1:3" x14ac:dyDescent="0.2">
      <c r="A1741" s="2">
        <v>45007</v>
      </c>
      <c r="B1741">
        <v>3.48</v>
      </c>
      <c r="C1741" s="11">
        <f t="shared" si="27"/>
        <v>3.4799999999999998E-2</v>
      </c>
    </row>
    <row r="1742" spans="1:3" x14ac:dyDescent="0.2">
      <c r="A1742" s="2">
        <v>45008</v>
      </c>
      <c r="B1742">
        <v>3.38</v>
      </c>
      <c r="C1742" s="11">
        <f t="shared" si="27"/>
        <v>3.3799999999999997E-2</v>
      </c>
    </row>
    <row r="1743" spans="1:3" x14ac:dyDescent="0.2">
      <c r="A1743" s="2">
        <v>45009</v>
      </c>
      <c r="B1743">
        <v>3.38</v>
      </c>
      <c r="C1743" s="11">
        <f t="shared" si="27"/>
        <v>3.3799999999999997E-2</v>
      </c>
    </row>
    <row r="1744" spans="1:3" x14ac:dyDescent="0.2">
      <c r="A1744" s="2">
        <v>45012</v>
      </c>
      <c r="B1744">
        <v>3.53</v>
      </c>
      <c r="C1744" s="11">
        <f t="shared" si="27"/>
        <v>3.5299999999999998E-2</v>
      </c>
    </row>
    <row r="1745" spans="1:3" x14ac:dyDescent="0.2">
      <c r="A1745" s="2">
        <v>45013</v>
      </c>
      <c r="B1745">
        <v>3.55</v>
      </c>
      <c r="C1745" s="11">
        <f t="shared" si="27"/>
        <v>3.5499999999999997E-2</v>
      </c>
    </row>
    <row r="1746" spans="1:3" x14ac:dyDescent="0.2">
      <c r="A1746" s="2">
        <v>45014</v>
      </c>
      <c r="B1746">
        <v>3.57</v>
      </c>
      <c r="C1746" s="11">
        <f t="shared" si="27"/>
        <v>3.5699999999999996E-2</v>
      </c>
    </row>
    <row r="1747" spans="1:3" x14ac:dyDescent="0.2">
      <c r="A1747" s="2">
        <v>45015</v>
      </c>
      <c r="B1747">
        <v>3.55</v>
      </c>
      <c r="C1747" s="11">
        <f t="shared" si="27"/>
        <v>3.5499999999999997E-2</v>
      </c>
    </row>
    <row r="1748" spans="1:3" x14ac:dyDescent="0.2">
      <c r="A1748" s="2">
        <v>45016</v>
      </c>
      <c r="B1748">
        <v>3.48</v>
      </c>
      <c r="C1748" s="11">
        <f t="shared" si="27"/>
        <v>3.4799999999999998E-2</v>
      </c>
    </row>
    <row r="1749" spans="1:3" x14ac:dyDescent="0.2">
      <c r="A1749" s="2">
        <v>45019</v>
      </c>
      <c r="B1749">
        <v>3.43</v>
      </c>
      <c r="C1749" s="11">
        <f t="shared" si="27"/>
        <v>3.4300000000000004E-2</v>
      </c>
    </row>
    <row r="1750" spans="1:3" x14ac:dyDescent="0.2">
      <c r="A1750" s="2">
        <v>45020</v>
      </c>
      <c r="B1750">
        <v>3.35</v>
      </c>
      <c r="C1750" s="11">
        <f t="shared" si="27"/>
        <v>3.3500000000000002E-2</v>
      </c>
    </row>
    <row r="1751" spans="1:3" x14ac:dyDescent="0.2">
      <c r="A1751" s="2">
        <v>45021</v>
      </c>
      <c r="B1751">
        <v>3.3</v>
      </c>
      <c r="C1751" s="11">
        <f t="shared" si="27"/>
        <v>3.3000000000000002E-2</v>
      </c>
    </row>
    <row r="1752" spans="1:3" x14ac:dyDescent="0.2">
      <c r="A1752" s="2">
        <v>45022</v>
      </c>
      <c r="B1752">
        <v>3.3</v>
      </c>
      <c r="C1752" s="11">
        <f t="shared" si="27"/>
        <v>3.3000000000000002E-2</v>
      </c>
    </row>
    <row r="1753" spans="1:3" x14ac:dyDescent="0.2">
      <c r="A1753" s="2">
        <v>45023</v>
      </c>
      <c r="B1753">
        <v>3.39</v>
      </c>
      <c r="C1753" s="11">
        <f t="shared" si="27"/>
        <v>3.39E-2</v>
      </c>
    </row>
    <row r="1754" spans="1:3" x14ac:dyDescent="0.2">
      <c r="A1754" s="2">
        <v>45026</v>
      </c>
      <c r="B1754">
        <v>3.41</v>
      </c>
      <c r="C1754" s="11">
        <f t="shared" si="27"/>
        <v>3.4099999999999998E-2</v>
      </c>
    </row>
    <row r="1755" spans="1:3" x14ac:dyDescent="0.2">
      <c r="A1755" s="2">
        <v>45027</v>
      </c>
      <c r="B1755">
        <v>3.43</v>
      </c>
      <c r="C1755" s="11">
        <f t="shared" si="27"/>
        <v>3.4300000000000004E-2</v>
      </c>
    </row>
    <row r="1756" spans="1:3" x14ac:dyDescent="0.2">
      <c r="A1756" s="2">
        <v>45028</v>
      </c>
      <c r="B1756">
        <v>3.41</v>
      </c>
      <c r="C1756" s="11">
        <f t="shared" si="27"/>
        <v>3.4099999999999998E-2</v>
      </c>
    </row>
    <row r="1757" spans="1:3" x14ac:dyDescent="0.2">
      <c r="A1757" s="2">
        <v>45029</v>
      </c>
      <c r="B1757">
        <v>3.45</v>
      </c>
      <c r="C1757" s="11">
        <f t="shared" si="27"/>
        <v>3.4500000000000003E-2</v>
      </c>
    </row>
    <row r="1758" spans="1:3" x14ac:dyDescent="0.2">
      <c r="A1758" s="2">
        <v>45030</v>
      </c>
      <c r="B1758">
        <v>3.52</v>
      </c>
      <c r="C1758" s="11">
        <f t="shared" si="27"/>
        <v>3.5200000000000002E-2</v>
      </c>
    </row>
    <row r="1759" spans="1:3" x14ac:dyDescent="0.2">
      <c r="A1759" s="2">
        <v>45033</v>
      </c>
      <c r="B1759">
        <v>3.6</v>
      </c>
      <c r="C1759" s="11">
        <f t="shared" si="27"/>
        <v>3.6000000000000004E-2</v>
      </c>
    </row>
    <row r="1760" spans="1:3" x14ac:dyDescent="0.2">
      <c r="A1760" s="2">
        <v>45034</v>
      </c>
      <c r="B1760">
        <v>3.58</v>
      </c>
      <c r="C1760" s="11">
        <f t="shared" si="27"/>
        <v>3.5799999999999998E-2</v>
      </c>
    </row>
    <row r="1761" spans="1:3" x14ac:dyDescent="0.2">
      <c r="A1761" s="2">
        <v>45035</v>
      </c>
      <c r="B1761">
        <v>3.6</v>
      </c>
      <c r="C1761" s="11">
        <f t="shared" si="27"/>
        <v>3.6000000000000004E-2</v>
      </c>
    </row>
    <row r="1762" spans="1:3" x14ac:dyDescent="0.2">
      <c r="A1762" s="2">
        <v>45036</v>
      </c>
      <c r="B1762">
        <v>3.54</v>
      </c>
      <c r="C1762" s="11">
        <f t="shared" si="27"/>
        <v>3.5400000000000001E-2</v>
      </c>
    </row>
    <row r="1763" spans="1:3" x14ac:dyDescent="0.2">
      <c r="A1763" s="2">
        <v>45037</v>
      </c>
      <c r="B1763">
        <v>3.57</v>
      </c>
      <c r="C1763" s="11">
        <f t="shared" si="27"/>
        <v>3.5699999999999996E-2</v>
      </c>
    </row>
    <row r="1764" spans="1:3" x14ac:dyDescent="0.2">
      <c r="A1764" s="2">
        <v>45040</v>
      </c>
      <c r="B1764">
        <v>3.52</v>
      </c>
      <c r="C1764" s="11">
        <f t="shared" si="27"/>
        <v>3.5200000000000002E-2</v>
      </c>
    </row>
    <row r="1765" spans="1:3" x14ac:dyDescent="0.2">
      <c r="A1765" s="2">
        <v>45041</v>
      </c>
      <c r="B1765">
        <v>3.4</v>
      </c>
      <c r="C1765" s="11">
        <f t="shared" si="27"/>
        <v>3.4000000000000002E-2</v>
      </c>
    </row>
    <row r="1766" spans="1:3" x14ac:dyDescent="0.2">
      <c r="A1766" s="2">
        <v>45042</v>
      </c>
      <c r="B1766">
        <v>3.43</v>
      </c>
      <c r="C1766" s="11">
        <f t="shared" si="27"/>
        <v>3.4300000000000004E-2</v>
      </c>
    </row>
    <row r="1767" spans="1:3" x14ac:dyDescent="0.2">
      <c r="A1767" s="2">
        <v>45043</v>
      </c>
      <c r="B1767">
        <v>3.53</v>
      </c>
      <c r="C1767" s="11">
        <f t="shared" si="27"/>
        <v>3.5299999999999998E-2</v>
      </c>
    </row>
    <row r="1768" spans="1:3" x14ac:dyDescent="0.2">
      <c r="A1768" s="2">
        <v>45044</v>
      </c>
      <c r="B1768">
        <v>3.44</v>
      </c>
      <c r="C1768" s="11">
        <f t="shared" si="27"/>
        <v>3.44E-2</v>
      </c>
    </row>
    <row r="1769" spans="1:3" x14ac:dyDescent="0.2">
      <c r="A1769" s="2">
        <v>45047</v>
      </c>
      <c r="B1769">
        <v>3.59</v>
      </c>
      <c r="C1769" s="11">
        <f t="shared" si="27"/>
        <v>3.5900000000000001E-2</v>
      </c>
    </row>
    <row r="1770" spans="1:3" x14ac:dyDescent="0.2">
      <c r="A1770" s="2">
        <v>45048</v>
      </c>
      <c r="B1770">
        <v>3.44</v>
      </c>
      <c r="C1770" s="11">
        <f t="shared" si="27"/>
        <v>3.44E-2</v>
      </c>
    </row>
    <row r="1771" spans="1:3" x14ac:dyDescent="0.2">
      <c r="A1771" s="2">
        <v>45049</v>
      </c>
      <c r="B1771">
        <v>3.38</v>
      </c>
      <c r="C1771" s="11">
        <f t="shared" si="27"/>
        <v>3.3799999999999997E-2</v>
      </c>
    </row>
    <row r="1772" spans="1:3" x14ac:dyDescent="0.2">
      <c r="A1772" s="2">
        <v>45050</v>
      </c>
      <c r="B1772">
        <v>3.37</v>
      </c>
      <c r="C1772" s="11">
        <f t="shared" si="27"/>
        <v>3.3700000000000001E-2</v>
      </c>
    </row>
    <row r="1773" spans="1:3" x14ac:dyDescent="0.2">
      <c r="A1773" s="2">
        <v>45051</v>
      </c>
      <c r="B1773">
        <v>3.44</v>
      </c>
      <c r="C1773" s="11">
        <f t="shared" si="27"/>
        <v>3.44E-2</v>
      </c>
    </row>
    <row r="1774" spans="1:3" x14ac:dyDescent="0.2">
      <c r="A1774" s="2">
        <v>45054</v>
      </c>
      <c r="B1774">
        <v>3.52</v>
      </c>
      <c r="C1774" s="11">
        <f t="shared" si="27"/>
        <v>3.5200000000000002E-2</v>
      </c>
    </row>
    <row r="1775" spans="1:3" x14ac:dyDescent="0.2">
      <c r="A1775" s="2">
        <v>45055</v>
      </c>
      <c r="B1775">
        <v>3.53</v>
      </c>
      <c r="C1775" s="11">
        <f t="shared" si="27"/>
        <v>3.5299999999999998E-2</v>
      </c>
    </row>
    <row r="1776" spans="1:3" x14ac:dyDescent="0.2">
      <c r="A1776" s="2">
        <v>45056</v>
      </c>
      <c r="B1776">
        <v>3.43</v>
      </c>
      <c r="C1776" s="11">
        <f t="shared" si="27"/>
        <v>3.4300000000000004E-2</v>
      </c>
    </row>
    <row r="1777" spans="1:3" x14ac:dyDescent="0.2">
      <c r="A1777" s="2">
        <v>45057</v>
      </c>
      <c r="B1777">
        <v>3.39</v>
      </c>
      <c r="C1777" s="11">
        <f t="shared" si="27"/>
        <v>3.39E-2</v>
      </c>
    </row>
    <row r="1778" spans="1:3" x14ac:dyDescent="0.2">
      <c r="A1778" s="2">
        <v>45058</v>
      </c>
      <c r="B1778">
        <v>3.46</v>
      </c>
      <c r="C1778" s="11">
        <f t="shared" si="27"/>
        <v>3.4599999999999999E-2</v>
      </c>
    </row>
    <row r="1779" spans="1:3" x14ac:dyDescent="0.2">
      <c r="A1779" s="2">
        <v>45061</v>
      </c>
      <c r="B1779">
        <v>3.5</v>
      </c>
      <c r="C1779" s="11">
        <f t="shared" si="27"/>
        <v>3.5000000000000003E-2</v>
      </c>
    </row>
    <row r="1780" spans="1:3" x14ac:dyDescent="0.2">
      <c r="A1780" s="2">
        <v>45062</v>
      </c>
      <c r="B1780">
        <v>3.54</v>
      </c>
      <c r="C1780" s="11">
        <f t="shared" si="27"/>
        <v>3.5400000000000001E-2</v>
      </c>
    </row>
    <row r="1781" spans="1:3" x14ac:dyDescent="0.2">
      <c r="A1781" s="2">
        <v>45063</v>
      </c>
      <c r="B1781">
        <v>3.57</v>
      </c>
      <c r="C1781" s="11">
        <f t="shared" si="27"/>
        <v>3.5699999999999996E-2</v>
      </c>
    </row>
    <row r="1782" spans="1:3" x14ac:dyDescent="0.2">
      <c r="A1782" s="2">
        <v>45064</v>
      </c>
      <c r="B1782">
        <v>3.65</v>
      </c>
      <c r="C1782" s="11">
        <f t="shared" si="27"/>
        <v>3.6499999999999998E-2</v>
      </c>
    </row>
    <row r="1783" spans="1:3" x14ac:dyDescent="0.2">
      <c r="A1783" s="2">
        <v>45065</v>
      </c>
      <c r="B1783">
        <v>3.7</v>
      </c>
      <c r="C1783" s="11">
        <f t="shared" si="27"/>
        <v>3.7000000000000005E-2</v>
      </c>
    </row>
    <row r="1784" spans="1:3" x14ac:dyDescent="0.2">
      <c r="A1784" s="2">
        <v>45068</v>
      </c>
      <c r="B1784">
        <v>3.72</v>
      </c>
      <c r="C1784" s="11">
        <f t="shared" si="27"/>
        <v>3.7200000000000004E-2</v>
      </c>
    </row>
    <row r="1785" spans="1:3" x14ac:dyDescent="0.2">
      <c r="A1785" s="2">
        <v>45069</v>
      </c>
      <c r="B1785">
        <v>3.7</v>
      </c>
      <c r="C1785" s="11">
        <f t="shared" si="27"/>
        <v>3.7000000000000005E-2</v>
      </c>
    </row>
    <row r="1786" spans="1:3" x14ac:dyDescent="0.2">
      <c r="A1786" s="2">
        <v>45070</v>
      </c>
      <c r="B1786">
        <v>3.73</v>
      </c>
      <c r="C1786" s="11">
        <f t="shared" si="27"/>
        <v>3.73E-2</v>
      </c>
    </row>
    <row r="1787" spans="1:3" x14ac:dyDescent="0.2">
      <c r="A1787" s="2">
        <v>45071</v>
      </c>
      <c r="B1787">
        <v>3.83</v>
      </c>
      <c r="C1787" s="11">
        <f t="shared" si="27"/>
        <v>3.8300000000000001E-2</v>
      </c>
    </row>
    <row r="1788" spans="1:3" x14ac:dyDescent="0.2">
      <c r="A1788" s="2">
        <v>45072</v>
      </c>
      <c r="B1788">
        <v>3.8</v>
      </c>
      <c r="C1788" s="11">
        <f t="shared" si="27"/>
        <v>3.7999999999999999E-2</v>
      </c>
    </row>
    <row r="1789" spans="1:3" x14ac:dyDescent="0.2">
      <c r="A1789" s="2">
        <v>45076</v>
      </c>
      <c r="B1789">
        <v>3.69</v>
      </c>
      <c r="C1789" s="11">
        <f t="shared" si="27"/>
        <v>3.6900000000000002E-2</v>
      </c>
    </row>
    <row r="1790" spans="1:3" x14ac:dyDescent="0.2">
      <c r="A1790" s="2">
        <v>45077</v>
      </c>
      <c r="B1790">
        <v>3.64</v>
      </c>
      <c r="C1790" s="11">
        <f t="shared" si="27"/>
        <v>3.6400000000000002E-2</v>
      </c>
    </row>
    <row r="1791" spans="1:3" x14ac:dyDescent="0.2">
      <c r="A1791" s="2">
        <v>45078</v>
      </c>
      <c r="B1791">
        <v>3.61</v>
      </c>
      <c r="C1791" s="11">
        <f t="shared" si="27"/>
        <v>3.61E-2</v>
      </c>
    </row>
    <row r="1792" spans="1:3" x14ac:dyDescent="0.2">
      <c r="A1792" s="2">
        <v>45079</v>
      </c>
      <c r="B1792">
        <v>3.69</v>
      </c>
      <c r="C1792" s="11">
        <f t="shared" si="27"/>
        <v>3.6900000000000002E-2</v>
      </c>
    </row>
    <row r="1793" spans="1:3" x14ac:dyDescent="0.2">
      <c r="A1793" s="2">
        <v>45082</v>
      </c>
      <c r="B1793">
        <v>3.69</v>
      </c>
      <c r="C1793" s="11">
        <f t="shared" si="27"/>
        <v>3.6900000000000002E-2</v>
      </c>
    </row>
    <row r="1794" spans="1:3" x14ac:dyDescent="0.2">
      <c r="A1794" s="2">
        <v>45083</v>
      </c>
      <c r="B1794">
        <v>3.7</v>
      </c>
      <c r="C1794" s="11">
        <f t="shared" si="27"/>
        <v>3.7000000000000005E-2</v>
      </c>
    </row>
    <row r="1795" spans="1:3" x14ac:dyDescent="0.2">
      <c r="A1795" s="2">
        <v>45084</v>
      </c>
      <c r="B1795">
        <v>3.79</v>
      </c>
      <c r="C1795" s="11">
        <f t="shared" ref="C1795:C1858" si="28">B1795/100</f>
        <v>3.7900000000000003E-2</v>
      </c>
    </row>
    <row r="1796" spans="1:3" x14ac:dyDescent="0.2">
      <c r="A1796" s="2">
        <v>45085</v>
      </c>
      <c r="B1796">
        <v>3.73</v>
      </c>
      <c r="C1796" s="11">
        <f t="shared" si="28"/>
        <v>3.73E-2</v>
      </c>
    </row>
    <row r="1797" spans="1:3" x14ac:dyDescent="0.2">
      <c r="A1797" s="2">
        <v>45086</v>
      </c>
      <c r="B1797">
        <v>3.75</v>
      </c>
      <c r="C1797" s="11">
        <f t="shared" si="28"/>
        <v>3.7499999999999999E-2</v>
      </c>
    </row>
    <row r="1798" spans="1:3" x14ac:dyDescent="0.2">
      <c r="A1798" s="2">
        <v>45089</v>
      </c>
      <c r="B1798">
        <v>3.73</v>
      </c>
      <c r="C1798" s="11">
        <f t="shared" si="28"/>
        <v>3.73E-2</v>
      </c>
    </row>
    <row r="1799" spans="1:3" x14ac:dyDescent="0.2">
      <c r="A1799" s="2">
        <v>45090</v>
      </c>
      <c r="B1799">
        <v>3.84</v>
      </c>
      <c r="C1799" s="11">
        <f t="shared" si="28"/>
        <v>3.8399999999999997E-2</v>
      </c>
    </row>
    <row r="1800" spans="1:3" x14ac:dyDescent="0.2">
      <c r="A1800" s="2">
        <v>45091</v>
      </c>
      <c r="B1800">
        <v>3.83</v>
      </c>
      <c r="C1800" s="11">
        <f t="shared" si="28"/>
        <v>3.8300000000000001E-2</v>
      </c>
    </row>
    <row r="1801" spans="1:3" x14ac:dyDescent="0.2">
      <c r="A1801" s="2">
        <v>45092</v>
      </c>
      <c r="B1801">
        <v>3.72</v>
      </c>
      <c r="C1801" s="11">
        <f t="shared" si="28"/>
        <v>3.7200000000000004E-2</v>
      </c>
    </row>
    <row r="1802" spans="1:3" x14ac:dyDescent="0.2">
      <c r="A1802" s="2">
        <v>45093</v>
      </c>
      <c r="B1802">
        <v>3.77</v>
      </c>
      <c r="C1802" s="11">
        <f t="shared" si="28"/>
        <v>3.7699999999999997E-2</v>
      </c>
    </row>
    <row r="1803" spans="1:3" x14ac:dyDescent="0.2">
      <c r="A1803" s="2">
        <v>45097</v>
      </c>
      <c r="B1803">
        <v>3.74</v>
      </c>
      <c r="C1803" s="11">
        <f t="shared" si="28"/>
        <v>3.7400000000000003E-2</v>
      </c>
    </row>
    <row r="1804" spans="1:3" x14ac:dyDescent="0.2">
      <c r="A1804" s="2">
        <v>45098</v>
      </c>
      <c r="B1804">
        <v>3.72</v>
      </c>
      <c r="C1804" s="11">
        <f t="shared" si="28"/>
        <v>3.7200000000000004E-2</v>
      </c>
    </row>
    <row r="1805" spans="1:3" x14ac:dyDescent="0.2">
      <c r="A1805" s="2">
        <v>45099</v>
      </c>
      <c r="B1805">
        <v>3.8</v>
      </c>
      <c r="C1805" s="11">
        <f t="shared" si="28"/>
        <v>3.7999999999999999E-2</v>
      </c>
    </row>
    <row r="1806" spans="1:3" x14ac:dyDescent="0.2">
      <c r="A1806" s="2">
        <v>45100</v>
      </c>
      <c r="B1806">
        <v>3.74</v>
      </c>
      <c r="C1806" s="11">
        <f t="shared" si="28"/>
        <v>3.7400000000000003E-2</v>
      </c>
    </row>
    <row r="1807" spans="1:3" x14ac:dyDescent="0.2">
      <c r="A1807" s="2">
        <v>45103</v>
      </c>
      <c r="B1807">
        <v>3.72</v>
      </c>
      <c r="C1807" s="11">
        <f t="shared" si="28"/>
        <v>3.7200000000000004E-2</v>
      </c>
    </row>
    <row r="1808" spans="1:3" x14ac:dyDescent="0.2">
      <c r="A1808" s="2">
        <v>45104</v>
      </c>
      <c r="B1808">
        <v>3.77</v>
      </c>
      <c r="C1808" s="11">
        <f t="shared" si="28"/>
        <v>3.7699999999999997E-2</v>
      </c>
    </row>
    <row r="1809" spans="1:3" x14ac:dyDescent="0.2">
      <c r="A1809" s="2">
        <v>45105</v>
      </c>
      <c r="B1809">
        <v>3.71</v>
      </c>
      <c r="C1809" s="11">
        <f t="shared" si="28"/>
        <v>3.7100000000000001E-2</v>
      </c>
    </row>
    <row r="1810" spans="1:3" x14ac:dyDescent="0.2">
      <c r="A1810" s="2">
        <v>45106</v>
      </c>
      <c r="B1810">
        <v>3.85</v>
      </c>
      <c r="C1810" s="11">
        <f t="shared" si="28"/>
        <v>3.85E-2</v>
      </c>
    </row>
    <row r="1811" spans="1:3" x14ac:dyDescent="0.2">
      <c r="A1811" s="2">
        <v>45107</v>
      </c>
      <c r="B1811">
        <v>3.81</v>
      </c>
      <c r="C1811" s="11">
        <f t="shared" si="28"/>
        <v>3.8100000000000002E-2</v>
      </c>
    </row>
    <row r="1812" spans="1:3" x14ac:dyDescent="0.2">
      <c r="A1812" s="2">
        <v>45110</v>
      </c>
      <c r="B1812">
        <v>3.86</v>
      </c>
      <c r="C1812" s="11">
        <f t="shared" si="28"/>
        <v>3.8599999999999995E-2</v>
      </c>
    </row>
    <row r="1813" spans="1:3" x14ac:dyDescent="0.2">
      <c r="A1813" s="2">
        <v>45112</v>
      </c>
      <c r="B1813">
        <v>3.95</v>
      </c>
      <c r="C1813" s="11">
        <f t="shared" si="28"/>
        <v>3.95E-2</v>
      </c>
    </row>
    <row r="1814" spans="1:3" x14ac:dyDescent="0.2">
      <c r="A1814" s="2">
        <v>45113</v>
      </c>
      <c r="B1814">
        <v>4.05</v>
      </c>
      <c r="C1814" s="11">
        <f t="shared" si="28"/>
        <v>4.0500000000000001E-2</v>
      </c>
    </row>
    <row r="1815" spans="1:3" x14ac:dyDescent="0.2">
      <c r="A1815" s="2">
        <v>45114</v>
      </c>
      <c r="B1815">
        <v>4.0599999999999996</v>
      </c>
      <c r="C1815" s="11">
        <f t="shared" si="28"/>
        <v>4.0599999999999997E-2</v>
      </c>
    </row>
    <row r="1816" spans="1:3" x14ac:dyDescent="0.2">
      <c r="A1816" s="2">
        <v>45117</v>
      </c>
      <c r="B1816">
        <v>4.01</v>
      </c>
      <c r="C1816" s="11">
        <f t="shared" si="28"/>
        <v>4.0099999999999997E-2</v>
      </c>
    </row>
    <row r="1817" spans="1:3" x14ac:dyDescent="0.2">
      <c r="A1817" s="2">
        <v>45118</v>
      </c>
      <c r="B1817">
        <v>3.99</v>
      </c>
      <c r="C1817" s="11">
        <f t="shared" si="28"/>
        <v>3.9900000000000005E-2</v>
      </c>
    </row>
    <row r="1818" spans="1:3" x14ac:dyDescent="0.2">
      <c r="A1818" s="2">
        <v>45119</v>
      </c>
      <c r="B1818">
        <v>3.86</v>
      </c>
      <c r="C1818" s="11">
        <f t="shared" si="28"/>
        <v>3.8599999999999995E-2</v>
      </c>
    </row>
    <row r="1819" spans="1:3" x14ac:dyDescent="0.2">
      <c r="A1819" s="2">
        <v>45120</v>
      </c>
      <c r="B1819">
        <v>3.76</v>
      </c>
      <c r="C1819" s="11">
        <f t="shared" si="28"/>
        <v>3.7599999999999995E-2</v>
      </c>
    </row>
    <row r="1820" spans="1:3" x14ac:dyDescent="0.2">
      <c r="A1820" s="2">
        <v>45121</v>
      </c>
      <c r="B1820">
        <v>3.83</v>
      </c>
      <c r="C1820" s="11">
        <f t="shared" si="28"/>
        <v>3.8300000000000001E-2</v>
      </c>
    </row>
    <row r="1821" spans="1:3" x14ac:dyDescent="0.2">
      <c r="A1821" s="2">
        <v>45124</v>
      </c>
      <c r="B1821">
        <v>3.81</v>
      </c>
      <c r="C1821" s="11">
        <f t="shared" si="28"/>
        <v>3.8100000000000002E-2</v>
      </c>
    </row>
    <row r="1822" spans="1:3" x14ac:dyDescent="0.2">
      <c r="A1822" s="2">
        <v>45125</v>
      </c>
      <c r="B1822">
        <v>3.8</v>
      </c>
      <c r="C1822" s="11">
        <f t="shared" si="28"/>
        <v>3.7999999999999999E-2</v>
      </c>
    </row>
    <row r="1823" spans="1:3" x14ac:dyDescent="0.2">
      <c r="A1823" s="2">
        <v>45126</v>
      </c>
      <c r="B1823">
        <v>3.75</v>
      </c>
      <c r="C1823" s="11">
        <f t="shared" si="28"/>
        <v>3.7499999999999999E-2</v>
      </c>
    </row>
    <row r="1824" spans="1:3" x14ac:dyDescent="0.2">
      <c r="A1824" s="2">
        <v>45127</v>
      </c>
      <c r="B1824">
        <v>3.85</v>
      </c>
      <c r="C1824" s="11">
        <f t="shared" si="28"/>
        <v>3.85E-2</v>
      </c>
    </row>
    <row r="1825" spans="1:3" x14ac:dyDescent="0.2">
      <c r="A1825" s="2">
        <v>45128</v>
      </c>
      <c r="B1825">
        <v>3.84</v>
      </c>
      <c r="C1825" s="11">
        <f t="shared" si="28"/>
        <v>3.8399999999999997E-2</v>
      </c>
    </row>
    <row r="1826" spans="1:3" x14ac:dyDescent="0.2">
      <c r="A1826" s="2">
        <v>45131</v>
      </c>
      <c r="B1826">
        <v>3.86</v>
      </c>
      <c r="C1826" s="11">
        <f t="shared" si="28"/>
        <v>3.8599999999999995E-2</v>
      </c>
    </row>
    <row r="1827" spans="1:3" x14ac:dyDescent="0.2">
      <c r="A1827" s="2">
        <v>45132</v>
      </c>
      <c r="B1827">
        <v>3.91</v>
      </c>
      <c r="C1827" s="11">
        <f t="shared" si="28"/>
        <v>3.9100000000000003E-2</v>
      </c>
    </row>
    <row r="1828" spans="1:3" x14ac:dyDescent="0.2">
      <c r="A1828" s="2">
        <v>45133</v>
      </c>
      <c r="B1828">
        <v>3.86</v>
      </c>
      <c r="C1828" s="11">
        <f t="shared" si="28"/>
        <v>3.8599999999999995E-2</v>
      </c>
    </row>
    <row r="1829" spans="1:3" x14ac:dyDescent="0.2">
      <c r="A1829" s="2">
        <v>45134</v>
      </c>
      <c r="B1829">
        <v>4.01</v>
      </c>
      <c r="C1829" s="11">
        <f t="shared" si="28"/>
        <v>4.0099999999999997E-2</v>
      </c>
    </row>
    <row r="1830" spans="1:3" x14ac:dyDescent="0.2">
      <c r="A1830" s="2">
        <v>45135</v>
      </c>
      <c r="B1830">
        <v>3.96</v>
      </c>
      <c r="C1830" s="11">
        <f t="shared" si="28"/>
        <v>3.9599999999999996E-2</v>
      </c>
    </row>
    <row r="1831" spans="1:3" x14ac:dyDescent="0.2">
      <c r="A1831" s="2">
        <v>45138</v>
      </c>
      <c r="B1831">
        <v>3.97</v>
      </c>
      <c r="C1831" s="11">
        <f t="shared" si="28"/>
        <v>3.9699999999999999E-2</v>
      </c>
    </row>
    <row r="1832" spans="1:3" x14ac:dyDescent="0.2">
      <c r="A1832" s="2">
        <v>45139</v>
      </c>
      <c r="B1832">
        <v>4.05</v>
      </c>
      <c r="C1832" s="11">
        <f t="shared" si="28"/>
        <v>4.0500000000000001E-2</v>
      </c>
    </row>
    <row r="1833" spans="1:3" x14ac:dyDescent="0.2">
      <c r="A1833" s="2">
        <v>45140</v>
      </c>
      <c r="B1833">
        <v>4.08</v>
      </c>
      <c r="C1833" s="11">
        <f t="shared" si="28"/>
        <v>4.0800000000000003E-2</v>
      </c>
    </row>
    <row r="1834" spans="1:3" x14ac:dyDescent="0.2">
      <c r="A1834" s="2">
        <v>45141</v>
      </c>
      <c r="B1834">
        <v>4.2</v>
      </c>
      <c r="C1834" s="11">
        <f t="shared" si="28"/>
        <v>4.2000000000000003E-2</v>
      </c>
    </row>
    <row r="1835" spans="1:3" x14ac:dyDescent="0.2">
      <c r="A1835" s="2">
        <v>45142</v>
      </c>
      <c r="B1835">
        <v>4.05</v>
      </c>
      <c r="C1835" s="11">
        <f t="shared" si="28"/>
        <v>4.0500000000000001E-2</v>
      </c>
    </row>
    <row r="1836" spans="1:3" x14ac:dyDescent="0.2">
      <c r="A1836" s="2">
        <v>45145</v>
      </c>
      <c r="B1836">
        <v>4.09</v>
      </c>
      <c r="C1836" s="11">
        <f t="shared" si="28"/>
        <v>4.0899999999999999E-2</v>
      </c>
    </row>
    <row r="1837" spans="1:3" x14ac:dyDescent="0.2">
      <c r="A1837" s="2">
        <v>45146</v>
      </c>
      <c r="B1837">
        <v>4.0199999999999996</v>
      </c>
      <c r="C1837" s="11">
        <f t="shared" si="28"/>
        <v>4.0199999999999993E-2</v>
      </c>
    </row>
    <row r="1838" spans="1:3" x14ac:dyDescent="0.2">
      <c r="A1838" s="2">
        <v>45147</v>
      </c>
      <c r="B1838">
        <v>4</v>
      </c>
      <c r="C1838" s="11">
        <f t="shared" si="28"/>
        <v>0.04</v>
      </c>
    </row>
    <row r="1839" spans="1:3" x14ac:dyDescent="0.2">
      <c r="A1839" s="2">
        <v>45148</v>
      </c>
      <c r="B1839">
        <v>4.09</v>
      </c>
      <c r="C1839" s="11">
        <f t="shared" si="28"/>
        <v>4.0899999999999999E-2</v>
      </c>
    </row>
    <row r="1840" spans="1:3" x14ac:dyDescent="0.2">
      <c r="A1840" s="2">
        <v>45149</v>
      </c>
      <c r="B1840">
        <v>4.16</v>
      </c>
      <c r="C1840" s="11">
        <f t="shared" si="28"/>
        <v>4.1599999999999998E-2</v>
      </c>
    </row>
    <row r="1841" spans="1:3" x14ac:dyDescent="0.2">
      <c r="A1841" s="2">
        <v>45152</v>
      </c>
      <c r="B1841">
        <v>4.1900000000000004</v>
      </c>
      <c r="C1841" s="11">
        <f t="shared" si="28"/>
        <v>4.1900000000000007E-2</v>
      </c>
    </row>
    <row r="1842" spans="1:3" x14ac:dyDescent="0.2">
      <c r="A1842" s="2">
        <v>45153</v>
      </c>
      <c r="B1842">
        <v>4.21</v>
      </c>
      <c r="C1842" s="11">
        <f t="shared" si="28"/>
        <v>4.2099999999999999E-2</v>
      </c>
    </row>
    <row r="1843" spans="1:3" x14ac:dyDescent="0.2">
      <c r="A1843" s="2">
        <v>45154</v>
      </c>
      <c r="B1843">
        <v>4.28</v>
      </c>
      <c r="C1843" s="11">
        <f t="shared" si="28"/>
        <v>4.2800000000000005E-2</v>
      </c>
    </row>
    <row r="1844" spans="1:3" x14ac:dyDescent="0.2">
      <c r="A1844" s="2">
        <v>45155</v>
      </c>
      <c r="B1844">
        <v>4.3</v>
      </c>
      <c r="C1844" s="11">
        <f t="shared" si="28"/>
        <v>4.2999999999999997E-2</v>
      </c>
    </row>
    <row r="1845" spans="1:3" x14ac:dyDescent="0.2">
      <c r="A1845" s="2">
        <v>45156</v>
      </c>
      <c r="B1845">
        <v>4.26</v>
      </c>
      <c r="C1845" s="11">
        <f t="shared" si="28"/>
        <v>4.2599999999999999E-2</v>
      </c>
    </row>
    <row r="1846" spans="1:3" x14ac:dyDescent="0.2">
      <c r="A1846" s="2">
        <v>45159</v>
      </c>
      <c r="B1846">
        <v>4.34</v>
      </c>
      <c r="C1846" s="11">
        <f t="shared" si="28"/>
        <v>4.3400000000000001E-2</v>
      </c>
    </row>
    <row r="1847" spans="1:3" x14ac:dyDescent="0.2">
      <c r="A1847" s="2">
        <v>45160</v>
      </c>
      <c r="B1847">
        <v>4.34</v>
      </c>
      <c r="C1847" s="11">
        <f t="shared" si="28"/>
        <v>4.3400000000000001E-2</v>
      </c>
    </row>
    <row r="1848" spans="1:3" x14ac:dyDescent="0.2">
      <c r="A1848" s="2">
        <v>45161</v>
      </c>
      <c r="B1848">
        <v>4.1900000000000004</v>
      </c>
      <c r="C1848" s="11">
        <f t="shared" si="28"/>
        <v>4.1900000000000007E-2</v>
      </c>
    </row>
    <row r="1849" spans="1:3" x14ac:dyDescent="0.2">
      <c r="A1849" s="2">
        <v>45162</v>
      </c>
      <c r="B1849">
        <v>4.2300000000000004</v>
      </c>
      <c r="C1849" s="11">
        <f t="shared" si="28"/>
        <v>4.2300000000000004E-2</v>
      </c>
    </row>
    <row r="1850" spans="1:3" x14ac:dyDescent="0.2">
      <c r="A1850" s="2">
        <v>45163</v>
      </c>
      <c r="B1850">
        <v>4.25</v>
      </c>
      <c r="C1850" s="11">
        <f t="shared" si="28"/>
        <v>4.2500000000000003E-2</v>
      </c>
    </row>
    <row r="1851" spans="1:3" x14ac:dyDescent="0.2">
      <c r="A1851" s="2">
        <v>45166</v>
      </c>
      <c r="B1851">
        <v>4.2</v>
      </c>
      <c r="C1851" s="11">
        <f t="shared" si="28"/>
        <v>4.2000000000000003E-2</v>
      </c>
    </row>
    <row r="1852" spans="1:3" x14ac:dyDescent="0.2">
      <c r="A1852" s="2">
        <v>45167</v>
      </c>
      <c r="B1852">
        <v>4.12</v>
      </c>
      <c r="C1852" s="11">
        <f t="shared" si="28"/>
        <v>4.1200000000000001E-2</v>
      </c>
    </row>
    <row r="1853" spans="1:3" x14ac:dyDescent="0.2">
      <c r="A1853" s="2">
        <v>45168</v>
      </c>
      <c r="B1853">
        <v>4.12</v>
      </c>
      <c r="C1853" s="11">
        <f t="shared" si="28"/>
        <v>4.1200000000000001E-2</v>
      </c>
    </row>
    <row r="1854" spans="1:3" x14ac:dyDescent="0.2">
      <c r="A1854" s="2">
        <v>45169</v>
      </c>
      <c r="B1854">
        <v>4.09</v>
      </c>
      <c r="C1854" s="11">
        <f t="shared" si="28"/>
        <v>4.0899999999999999E-2</v>
      </c>
    </row>
    <row r="1855" spans="1:3" x14ac:dyDescent="0.2">
      <c r="A1855" s="2">
        <v>45170</v>
      </c>
      <c r="B1855">
        <v>4.18</v>
      </c>
      <c r="C1855" s="11">
        <f t="shared" si="28"/>
        <v>4.1799999999999997E-2</v>
      </c>
    </row>
    <row r="1856" spans="1:3" x14ac:dyDescent="0.2">
      <c r="A1856" s="2">
        <v>45174</v>
      </c>
      <c r="B1856">
        <v>4.2699999999999996</v>
      </c>
      <c r="C1856" s="11">
        <f t="shared" si="28"/>
        <v>4.2699999999999995E-2</v>
      </c>
    </row>
    <row r="1857" spans="1:3" x14ac:dyDescent="0.2">
      <c r="A1857" s="2">
        <v>45175</v>
      </c>
      <c r="B1857">
        <v>4.3</v>
      </c>
      <c r="C1857" s="11">
        <f t="shared" si="28"/>
        <v>4.2999999999999997E-2</v>
      </c>
    </row>
    <row r="1858" spans="1:3" x14ac:dyDescent="0.2">
      <c r="A1858" s="2">
        <v>45176</v>
      </c>
      <c r="B1858">
        <v>4.2699999999999996</v>
      </c>
      <c r="C1858" s="11">
        <f t="shared" si="28"/>
        <v>4.2699999999999995E-2</v>
      </c>
    </row>
    <row r="1859" spans="1:3" x14ac:dyDescent="0.2">
      <c r="A1859" s="2">
        <v>45177</v>
      </c>
      <c r="B1859">
        <v>4.26</v>
      </c>
      <c r="C1859" s="11">
        <f t="shared" ref="C1859:C1922" si="29">B1859/100</f>
        <v>4.2599999999999999E-2</v>
      </c>
    </row>
    <row r="1860" spans="1:3" x14ac:dyDescent="0.2">
      <c r="A1860" s="2">
        <v>45180</v>
      </c>
      <c r="B1860">
        <v>4.29</v>
      </c>
      <c r="C1860" s="11">
        <f t="shared" si="29"/>
        <v>4.2900000000000001E-2</v>
      </c>
    </row>
    <row r="1861" spans="1:3" x14ac:dyDescent="0.2">
      <c r="A1861" s="2">
        <v>45181</v>
      </c>
      <c r="B1861">
        <v>4.2699999999999996</v>
      </c>
      <c r="C1861" s="11">
        <f t="shared" si="29"/>
        <v>4.2699999999999995E-2</v>
      </c>
    </row>
    <row r="1862" spans="1:3" x14ac:dyDescent="0.2">
      <c r="A1862" s="2">
        <v>45182</v>
      </c>
      <c r="B1862">
        <v>4.25</v>
      </c>
      <c r="C1862" s="11">
        <f t="shared" si="29"/>
        <v>4.2500000000000003E-2</v>
      </c>
    </row>
    <row r="1863" spans="1:3" x14ac:dyDescent="0.2">
      <c r="A1863" s="2">
        <v>45183</v>
      </c>
      <c r="B1863">
        <v>4.29</v>
      </c>
      <c r="C1863" s="11">
        <f t="shared" si="29"/>
        <v>4.2900000000000001E-2</v>
      </c>
    </row>
    <row r="1864" spans="1:3" x14ac:dyDescent="0.2">
      <c r="A1864" s="2">
        <v>45184</v>
      </c>
      <c r="B1864">
        <v>4.33</v>
      </c>
      <c r="C1864" s="11">
        <f t="shared" si="29"/>
        <v>4.3299999999999998E-2</v>
      </c>
    </row>
    <row r="1865" spans="1:3" x14ac:dyDescent="0.2">
      <c r="A1865" s="2">
        <v>45187</v>
      </c>
      <c r="B1865">
        <v>4.32</v>
      </c>
      <c r="C1865" s="11">
        <f t="shared" si="29"/>
        <v>4.3200000000000002E-2</v>
      </c>
    </row>
    <row r="1866" spans="1:3" x14ac:dyDescent="0.2">
      <c r="A1866" s="2">
        <v>45188</v>
      </c>
      <c r="B1866">
        <v>4.37</v>
      </c>
      <c r="C1866" s="11">
        <f t="shared" si="29"/>
        <v>4.3700000000000003E-2</v>
      </c>
    </row>
    <row r="1867" spans="1:3" x14ac:dyDescent="0.2">
      <c r="A1867" s="2">
        <v>45189</v>
      </c>
      <c r="B1867">
        <v>4.3499999999999996</v>
      </c>
      <c r="C1867" s="11">
        <f t="shared" si="29"/>
        <v>4.3499999999999997E-2</v>
      </c>
    </row>
    <row r="1868" spans="1:3" x14ac:dyDescent="0.2">
      <c r="A1868" s="2">
        <v>45190</v>
      </c>
      <c r="B1868">
        <v>4.49</v>
      </c>
      <c r="C1868" s="11">
        <f t="shared" si="29"/>
        <v>4.4900000000000002E-2</v>
      </c>
    </row>
    <row r="1869" spans="1:3" x14ac:dyDescent="0.2">
      <c r="A1869" s="2">
        <v>45191</v>
      </c>
      <c r="B1869">
        <v>4.4400000000000004</v>
      </c>
      <c r="C1869" s="11">
        <f t="shared" si="29"/>
        <v>4.4400000000000002E-2</v>
      </c>
    </row>
    <row r="1870" spans="1:3" x14ac:dyDescent="0.2">
      <c r="A1870" s="2">
        <v>45194</v>
      </c>
      <c r="B1870">
        <v>4.55</v>
      </c>
      <c r="C1870" s="11">
        <f t="shared" si="29"/>
        <v>4.5499999999999999E-2</v>
      </c>
    </row>
    <row r="1871" spans="1:3" x14ac:dyDescent="0.2">
      <c r="A1871" s="2">
        <v>45195</v>
      </c>
      <c r="B1871">
        <v>4.5599999999999996</v>
      </c>
      <c r="C1871" s="11">
        <f t="shared" si="29"/>
        <v>4.5599999999999995E-2</v>
      </c>
    </row>
    <row r="1872" spans="1:3" x14ac:dyDescent="0.2">
      <c r="A1872" s="2">
        <v>45196</v>
      </c>
      <c r="B1872">
        <v>4.6100000000000003</v>
      </c>
      <c r="C1872" s="11">
        <f t="shared" si="29"/>
        <v>4.6100000000000002E-2</v>
      </c>
    </row>
    <row r="1873" spans="1:3" x14ac:dyDescent="0.2">
      <c r="A1873" s="2">
        <v>45197</v>
      </c>
      <c r="B1873">
        <v>4.59</v>
      </c>
      <c r="C1873" s="11">
        <f t="shared" si="29"/>
        <v>4.5899999999999996E-2</v>
      </c>
    </row>
    <row r="1874" spans="1:3" x14ac:dyDescent="0.2">
      <c r="A1874" s="2">
        <v>45198</v>
      </c>
      <c r="B1874">
        <v>4.59</v>
      </c>
      <c r="C1874" s="11">
        <f t="shared" si="29"/>
        <v>4.5899999999999996E-2</v>
      </c>
    </row>
    <row r="1875" spans="1:3" x14ac:dyDescent="0.2">
      <c r="A1875" s="2">
        <v>45201</v>
      </c>
      <c r="B1875">
        <v>4.6900000000000004</v>
      </c>
      <c r="C1875" s="11">
        <f t="shared" si="29"/>
        <v>4.6900000000000004E-2</v>
      </c>
    </row>
    <row r="1876" spans="1:3" x14ac:dyDescent="0.2">
      <c r="A1876" s="2">
        <v>45202</v>
      </c>
      <c r="B1876">
        <v>4.8099999999999996</v>
      </c>
      <c r="C1876" s="11">
        <f t="shared" si="29"/>
        <v>4.8099999999999997E-2</v>
      </c>
    </row>
    <row r="1877" spans="1:3" x14ac:dyDescent="0.2">
      <c r="A1877" s="2">
        <v>45203</v>
      </c>
      <c r="B1877">
        <v>4.7300000000000004</v>
      </c>
      <c r="C1877" s="11">
        <f t="shared" si="29"/>
        <v>4.7300000000000002E-2</v>
      </c>
    </row>
    <row r="1878" spans="1:3" x14ac:dyDescent="0.2">
      <c r="A1878" s="2">
        <v>45204</v>
      </c>
      <c r="B1878">
        <v>4.72</v>
      </c>
      <c r="C1878" s="11">
        <f t="shared" si="29"/>
        <v>4.7199999999999999E-2</v>
      </c>
    </row>
    <row r="1879" spans="1:3" x14ac:dyDescent="0.2">
      <c r="A1879" s="2">
        <v>45205</v>
      </c>
      <c r="B1879">
        <v>4.78</v>
      </c>
      <c r="C1879" s="11">
        <f t="shared" si="29"/>
        <v>4.7800000000000002E-2</v>
      </c>
    </row>
    <row r="1880" spans="1:3" x14ac:dyDescent="0.2">
      <c r="A1880" s="2">
        <v>45209</v>
      </c>
      <c r="B1880">
        <v>4.66</v>
      </c>
      <c r="C1880" s="11">
        <f t="shared" si="29"/>
        <v>4.6600000000000003E-2</v>
      </c>
    </row>
    <row r="1881" spans="1:3" x14ac:dyDescent="0.2">
      <c r="A1881" s="2">
        <v>45210</v>
      </c>
      <c r="B1881">
        <v>4.58</v>
      </c>
      <c r="C1881" s="11">
        <f t="shared" si="29"/>
        <v>4.58E-2</v>
      </c>
    </row>
    <row r="1882" spans="1:3" x14ac:dyDescent="0.2">
      <c r="A1882" s="2">
        <v>45211</v>
      </c>
      <c r="B1882">
        <v>4.7</v>
      </c>
      <c r="C1882" s="11">
        <f t="shared" si="29"/>
        <v>4.7E-2</v>
      </c>
    </row>
    <row r="1883" spans="1:3" x14ac:dyDescent="0.2">
      <c r="A1883" s="2">
        <v>45212</v>
      </c>
      <c r="B1883">
        <v>4.63</v>
      </c>
      <c r="C1883" s="11">
        <f t="shared" si="29"/>
        <v>4.6300000000000001E-2</v>
      </c>
    </row>
    <row r="1884" spans="1:3" x14ac:dyDescent="0.2">
      <c r="A1884" s="2">
        <v>45215</v>
      </c>
      <c r="B1884">
        <v>4.71</v>
      </c>
      <c r="C1884" s="11">
        <f t="shared" si="29"/>
        <v>4.7100000000000003E-2</v>
      </c>
    </row>
    <row r="1885" spans="1:3" x14ac:dyDescent="0.2">
      <c r="A1885" s="2">
        <v>45216</v>
      </c>
      <c r="B1885">
        <v>4.83</v>
      </c>
      <c r="C1885" s="11">
        <f t="shared" si="29"/>
        <v>4.8300000000000003E-2</v>
      </c>
    </row>
    <row r="1886" spans="1:3" x14ac:dyDescent="0.2">
      <c r="A1886" s="2">
        <v>45217</v>
      </c>
      <c r="B1886">
        <v>4.91</v>
      </c>
      <c r="C1886" s="11">
        <f t="shared" si="29"/>
        <v>4.9100000000000005E-2</v>
      </c>
    </row>
    <row r="1887" spans="1:3" x14ac:dyDescent="0.2">
      <c r="A1887" s="2">
        <v>45218</v>
      </c>
      <c r="B1887">
        <v>4.9800000000000004</v>
      </c>
      <c r="C1887" s="11">
        <f t="shared" si="29"/>
        <v>4.9800000000000004E-2</v>
      </c>
    </row>
    <row r="1888" spans="1:3" x14ac:dyDescent="0.2">
      <c r="A1888" s="2">
        <v>45219</v>
      </c>
      <c r="B1888">
        <v>4.93</v>
      </c>
      <c r="C1888" s="11">
        <f t="shared" si="29"/>
        <v>4.9299999999999997E-2</v>
      </c>
    </row>
    <row r="1889" spans="1:3" x14ac:dyDescent="0.2">
      <c r="A1889" s="2">
        <v>45222</v>
      </c>
      <c r="B1889">
        <v>4.8600000000000003</v>
      </c>
      <c r="C1889" s="11">
        <f t="shared" si="29"/>
        <v>4.8600000000000004E-2</v>
      </c>
    </row>
    <row r="1890" spans="1:3" x14ac:dyDescent="0.2">
      <c r="A1890" s="2">
        <v>45223</v>
      </c>
      <c r="B1890">
        <v>4.83</v>
      </c>
      <c r="C1890" s="11">
        <f t="shared" si="29"/>
        <v>4.8300000000000003E-2</v>
      </c>
    </row>
    <row r="1891" spans="1:3" x14ac:dyDescent="0.2">
      <c r="A1891" s="2">
        <v>45224</v>
      </c>
      <c r="B1891">
        <v>4.95</v>
      </c>
      <c r="C1891" s="11">
        <f t="shared" si="29"/>
        <v>4.9500000000000002E-2</v>
      </c>
    </row>
    <row r="1892" spans="1:3" x14ac:dyDescent="0.2">
      <c r="A1892" s="2">
        <v>45225</v>
      </c>
      <c r="B1892">
        <v>4.8600000000000003</v>
      </c>
      <c r="C1892" s="11">
        <f t="shared" si="29"/>
        <v>4.8600000000000004E-2</v>
      </c>
    </row>
    <row r="1893" spans="1:3" x14ac:dyDescent="0.2">
      <c r="A1893" s="2">
        <v>45226</v>
      </c>
      <c r="B1893">
        <v>4.84</v>
      </c>
      <c r="C1893" s="11">
        <f t="shared" si="29"/>
        <v>4.8399999999999999E-2</v>
      </c>
    </row>
    <row r="1894" spans="1:3" x14ac:dyDescent="0.2">
      <c r="A1894" s="2">
        <v>45229</v>
      </c>
      <c r="B1894">
        <v>4.88</v>
      </c>
      <c r="C1894" s="11">
        <f t="shared" si="29"/>
        <v>4.8799999999999996E-2</v>
      </c>
    </row>
    <row r="1895" spans="1:3" x14ac:dyDescent="0.2">
      <c r="A1895" s="2">
        <v>45230</v>
      </c>
      <c r="B1895">
        <v>4.88</v>
      </c>
      <c r="C1895" s="11">
        <f t="shared" si="29"/>
        <v>4.8799999999999996E-2</v>
      </c>
    </row>
    <row r="1896" spans="1:3" x14ac:dyDescent="0.2">
      <c r="A1896" s="2">
        <v>45231</v>
      </c>
      <c r="B1896">
        <v>4.7699999999999996</v>
      </c>
      <c r="C1896" s="11">
        <f t="shared" si="29"/>
        <v>4.7699999999999992E-2</v>
      </c>
    </row>
    <row r="1897" spans="1:3" x14ac:dyDescent="0.2">
      <c r="A1897" s="2">
        <v>45232</v>
      </c>
      <c r="B1897">
        <v>4.67</v>
      </c>
      <c r="C1897" s="11">
        <f t="shared" si="29"/>
        <v>4.6699999999999998E-2</v>
      </c>
    </row>
    <row r="1898" spans="1:3" x14ac:dyDescent="0.2">
      <c r="A1898" s="2">
        <v>45233</v>
      </c>
      <c r="B1898">
        <v>4.57</v>
      </c>
      <c r="C1898" s="11">
        <f t="shared" si="29"/>
        <v>4.5700000000000005E-2</v>
      </c>
    </row>
    <row r="1899" spans="1:3" x14ac:dyDescent="0.2">
      <c r="A1899" s="2">
        <v>45236</v>
      </c>
      <c r="B1899">
        <v>4.67</v>
      </c>
      <c r="C1899" s="11">
        <f t="shared" si="29"/>
        <v>4.6699999999999998E-2</v>
      </c>
    </row>
    <row r="1900" spans="1:3" x14ac:dyDescent="0.2">
      <c r="A1900" s="2">
        <v>45237</v>
      </c>
      <c r="B1900">
        <v>4.58</v>
      </c>
      <c r="C1900" s="11">
        <f t="shared" si="29"/>
        <v>4.58E-2</v>
      </c>
    </row>
    <row r="1901" spans="1:3" x14ac:dyDescent="0.2">
      <c r="A1901" s="2">
        <v>45238</v>
      </c>
      <c r="B1901">
        <v>4.49</v>
      </c>
      <c r="C1901" s="11">
        <f t="shared" si="29"/>
        <v>4.4900000000000002E-2</v>
      </c>
    </row>
    <row r="1902" spans="1:3" x14ac:dyDescent="0.2">
      <c r="A1902" s="2">
        <v>45239</v>
      </c>
      <c r="B1902">
        <v>4.62</v>
      </c>
      <c r="C1902" s="11">
        <f t="shared" si="29"/>
        <v>4.6199999999999998E-2</v>
      </c>
    </row>
    <row r="1903" spans="1:3" x14ac:dyDescent="0.2">
      <c r="A1903" s="2">
        <v>45240</v>
      </c>
      <c r="B1903">
        <v>4.6100000000000003</v>
      </c>
      <c r="C1903" s="11">
        <f t="shared" si="29"/>
        <v>4.6100000000000002E-2</v>
      </c>
    </row>
    <row r="1904" spans="1:3" x14ac:dyDescent="0.2">
      <c r="A1904" s="2">
        <v>45243</v>
      </c>
      <c r="B1904">
        <v>4.63</v>
      </c>
      <c r="C1904" s="11">
        <f t="shared" si="29"/>
        <v>4.6300000000000001E-2</v>
      </c>
    </row>
    <row r="1905" spans="1:3" x14ac:dyDescent="0.2">
      <c r="A1905" s="2">
        <v>45244</v>
      </c>
      <c r="B1905">
        <v>4.4400000000000004</v>
      </c>
      <c r="C1905" s="11">
        <f t="shared" si="29"/>
        <v>4.4400000000000002E-2</v>
      </c>
    </row>
    <row r="1906" spans="1:3" x14ac:dyDescent="0.2">
      <c r="A1906" s="2">
        <v>45245</v>
      </c>
      <c r="B1906">
        <v>4.53</v>
      </c>
      <c r="C1906" s="11">
        <f t="shared" si="29"/>
        <v>4.53E-2</v>
      </c>
    </row>
    <row r="1907" spans="1:3" x14ac:dyDescent="0.2">
      <c r="A1907" s="2">
        <v>45246</v>
      </c>
      <c r="B1907">
        <v>4.45</v>
      </c>
      <c r="C1907" s="11">
        <f t="shared" si="29"/>
        <v>4.4500000000000005E-2</v>
      </c>
    </row>
    <row r="1908" spans="1:3" x14ac:dyDescent="0.2">
      <c r="A1908" s="2">
        <v>45247</v>
      </c>
      <c r="B1908">
        <v>4.4400000000000004</v>
      </c>
      <c r="C1908" s="11">
        <f t="shared" si="29"/>
        <v>4.4400000000000002E-2</v>
      </c>
    </row>
    <row r="1909" spans="1:3" x14ac:dyDescent="0.2">
      <c r="A1909" s="2">
        <v>45250</v>
      </c>
      <c r="B1909">
        <v>4.42</v>
      </c>
      <c r="C1909" s="11">
        <f t="shared" si="29"/>
        <v>4.4199999999999996E-2</v>
      </c>
    </row>
    <row r="1910" spans="1:3" x14ac:dyDescent="0.2">
      <c r="A1910" s="2">
        <v>45251</v>
      </c>
      <c r="B1910">
        <v>4.41</v>
      </c>
      <c r="C1910" s="11">
        <f t="shared" si="29"/>
        <v>4.41E-2</v>
      </c>
    </row>
    <row r="1911" spans="1:3" x14ac:dyDescent="0.2">
      <c r="A1911" s="2">
        <v>45252</v>
      </c>
      <c r="B1911">
        <v>4.42</v>
      </c>
      <c r="C1911" s="11">
        <f t="shared" si="29"/>
        <v>4.4199999999999996E-2</v>
      </c>
    </row>
    <row r="1912" spans="1:3" x14ac:dyDescent="0.2">
      <c r="A1912" s="2">
        <v>45254</v>
      </c>
      <c r="B1912">
        <v>4.47</v>
      </c>
      <c r="C1912" s="11">
        <f t="shared" si="29"/>
        <v>4.4699999999999997E-2</v>
      </c>
    </row>
    <row r="1913" spans="1:3" x14ac:dyDescent="0.2">
      <c r="A1913" s="2">
        <v>45257</v>
      </c>
      <c r="B1913">
        <v>4.3899999999999997</v>
      </c>
      <c r="C1913" s="11">
        <f t="shared" si="29"/>
        <v>4.3899999999999995E-2</v>
      </c>
    </row>
    <row r="1914" spans="1:3" x14ac:dyDescent="0.2">
      <c r="A1914" s="2">
        <v>45258</v>
      </c>
      <c r="B1914">
        <v>4.34</v>
      </c>
      <c r="C1914" s="11">
        <f t="shared" si="29"/>
        <v>4.3400000000000001E-2</v>
      </c>
    </row>
    <row r="1915" spans="1:3" x14ac:dyDescent="0.2">
      <c r="A1915" s="2">
        <v>45259</v>
      </c>
      <c r="B1915">
        <v>4.2699999999999996</v>
      </c>
      <c r="C1915" s="11">
        <f t="shared" si="29"/>
        <v>4.2699999999999995E-2</v>
      </c>
    </row>
    <row r="1916" spans="1:3" x14ac:dyDescent="0.2">
      <c r="A1916" s="2">
        <v>45260</v>
      </c>
      <c r="B1916">
        <v>4.37</v>
      </c>
      <c r="C1916" s="11">
        <f t="shared" si="29"/>
        <v>4.3700000000000003E-2</v>
      </c>
    </row>
    <row r="1917" spans="1:3" x14ac:dyDescent="0.2">
      <c r="A1917" s="2">
        <v>45261</v>
      </c>
      <c r="B1917">
        <v>4.22</v>
      </c>
      <c r="C1917" s="11">
        <f t="shared" si="29"/>
        <v>4.2199999999999994E-2</v>
      </c>
    </row>
    <row r="1918" spans="1:3" x14ac:dyDescent="0.2">
      <c r="A1918" s="2">
        <v>45264</v>
      </c>
      <c r="B1918">
        <v>4.28</v>
      </c>
      <c r="C1918" s="11">
        <f t="shared" si="29"/>
        <v>4.2800000000000005E-2</v>
      </c>
    </row>
    <row r="1919" spans="1:3" x14ac:dyDescent="0.2">
      <c r="A1919" s="2">
        <v>45265</v>
      </c>
      <c r="B1919">
        <v>4.18</v>
      </c>
      <c r="C1919" s="11">
        <f t="shared" si="29"/>
        <v>4.1799999999999997E-2</v>
      </c>
    </row>
    <row r="1920" spans="1:3" x14ac:dyDescent="0.2">
      <c r="A1920" s="2">
        <v>45266</v>
      </c>
      <c r="B1920">
        <v>4.12</v>
      </c>
      <c r="C1920" s="11">
        <f t="shared" si="29"/>
        <v>4.1200000000000001E-2</v>
      </c>
    </row>
    <row r="1921" spans="1:3" x14ac:dyDescent="0.2">
      <c r="A1921" s="2">
        <v>45267</v>
      </c>
      <c r="B1921">
        <v>4.1399999999999997</v>
      </c>
      <c r="C1921" s="11">
        <f t="shared" si="29"/>
        <v>4.1399999999999999E-2</v>
      </c>
    </row>
    <row r="1922" spans="1:3" x14ac:dyDescent="0.2">
      <c r="A1922" s="2">
        <v>45268</v>
      </c>
      <c r="B1922">
        <v>4.2300000000000004</v>
      </c>
      <c r="C1922" s="11">
        <f t="shared" si="29"/>
        <v>4.2300000000000004E-2</v>
      </c>
    </row>
    <row r="1923" spans="1:3" x14ac:dyDescent="0.2">
      <c r="A1923" s="2">
        <v>45271</v>
      </c>
      <c r="B1923">
        <v>4.2300000000000004</v>
      </c>
      <c r="C1923" s="11">
        <f t="shared" ref="C1923:C1986" si="30">B1923/100</f>
        <v>4.2300000000000004E-2</v>
      </c>
    </row>
    <row r="1924" spans="1:3" x14ac:dyDescent="0.2">
      <c r="A1924" s="2">
        <v>45272</v>
      </c>
      <c r="B1924">
        <v>4.2</v>
      </c>
      <c r="C1924" s="11">
        <f t="shared" si="30"/>
        <v>4.2000000000000003E-2</v>
      </c>
    </row>
    <row r="1925" spans="1:3" x14ac:dyDescent="0.2">
      <c r="A1925" s="2">
        <v>45273</v>
      </c>
      <c r="B1925">
        <v>4.04</v>
      </c>
      <c r="C1925" s="11">
        <f t="shared" si="30"/>
        <v>4.0399999999999998E-2</v>
      </c>
    </row>
    <row r="1926" spans="1:3" x14ac:dyDescent="0.2">
      <c r="A1926" s="2">
        <v>45274</v>
      </c>
      <c r="B1926">
        <v>3.92</v>
      </c>
      <c r="C1926" s="11">
        <f t="shared" si="30"/>
        <v>3.9199999999999999E-2</v>
      </c>
    </row>
    <row r="1927" spans="1:3" x14ac:dyDescent="0.2">
      <c r="A1927" s="2">
        <v>45275</v>
      </c>
      <c r="B1927">
        <v>3.91</v>
      </c>
      <c r="C1927" s="11">
        <f t="shared" si="30"/>
        <v>3.9100000000000003E-2</v>
      </c>
    </row>
    <row r="1928" spans="1:3" x14ac:dyDescent="0.2">
      <c r="A1928" s="2">
        <v>45278</v>
      </c>
      <c r="B1928">
        <v>3.95</v>
      </c>
      <c r="C1928" s="11">
        <f t="shared" si="30"/>
        <v>3.95E-2</v>
      </c>
    </row>
    <row r="1929" spans="1:3" x14ac:dyDescent="0.2">
      <c r="A1929" s="2">
        <v>45279</v>
      </c>
      <c r="B1929">
        <v>3.93</v>
      </c>
      <c r="C1929" s="11">
        <f t="shared" si="30"/>
        <v>3.9300000000000002E-2</v>
      </c>
    </row>
    <row r="1930" spans="1:3" x14ac:dyDescent="0.2">
      <c r="A1930" s="2">
        <v>45280</v>
      </c>
      <c r="B1930">
        <v>3.86</v>
      </c>
      <c r="C1930" s="11">
        <f t="shared" si="30"/>
        <v>3.8599999999999995E-2</v>
      </c>
    </row>
    <row r="1931" spans="1:3" x14ac:dyDescent="0.2">
      <c r="A1931" s="2">
        <v>45281</v>
      </c>
      <c r="B1931">
        <v>3.89</v>
      </c>
      <c r="C1931" s="11">
        <f t="shared" si="30"/>
        <v>3.8900000000000004E-2</v>
      </c>
    </row>
    <row r="1932" spans="1:3" x14ac:dyDescent="0.2">
      <c r="A1932" s="2">
        <v>45282</v>
      </c>
      <c r="B1932">
        <v>3.9</v>
      </c>
      <c r="C1932" s="11">
        <f t="shared" si="30"/>
        <v>3.9E-2</v>
      </c>
    </row>
    <row r="1933" spans="1:3" x14ac:dyDescent="0.2">
      <c r="A1933" s="2">
        <v>45286</v>
      </c>
      <c r="B1933">
        <v>3.89</v>
      </c>
      <c r="C1933" s="11">
        <f t="shared" si="30"/>
        <v>3.8900000000000004E-2</v>
      </c>
    </row>
    <row r="1934" spans="1:3" x14ac:dyDescent="0.2">
      <c r="A1934" s="2">
        <v>45287</v>
      </c>
      <c r="B1934">
        <v>3.79</v>
      </c>
      <c r="C1934" s="11">
        <f t="shared" si="30"/>
        <v>3.7900000000000003E-2</v>
      </c>
    </row>
    <row r="1935" spans="1:3" x14ac:dyDescent="0.2">
      <c r="A1935" s="2">
        <v>45288</v>
      </c>
      <c r="B1935">
        <v>3.84</v>
      </c>
      <c r="C1935" s="11">
        <f t="shared" si="30"/>
        <v>3.8399999999999997E-2</v>
      </c>
    </row>
    <row r="1936" spans="1:3" x14ac:dyDescent="0.2">
      <c r="A1936" s="2">
        <v>45289</v>
      </c>
      <c r="B1936">
        <v>3.88</v>
      </c>
      <c r="C1936" s="11">
        <f t="shared" si="30"/>
        <v>3.8800000000000001E-2</v>
      </c>
    </row>
    <row r="1937" spans="1:3" x14ac:dyDescent="0.2">
      <c r="A1937" s="2">
        <v>45293</v>
      </c>
      <c r="B1937">
        <v>3.95</v>
      </c>
      <c r="C1937" s="11">
        <f t="shared" si="30"/>
        <v>3.95E-2</v>
      </c>
    </row>
    <row r="1938" spans="1:3" x14ac:dyDescent="0.2">
      <c r="A1938" s="2">
        <v>45294</v>
      </c>
      <c r="B1938">
        <v>3.91</v>
      </c>
      <c r="C1938" s="11">
        <f t="shared" si="30"/>
        <v>3.9100000000000003E-2</v>
      </c>
    </row>
    <row r="1939" spans="1:3" x14ac:dyDescent="0.2">
      <c r="A1939" s="2">
        <v>45295</v>
      </c>
      <c r="B1939">
        <v>3.99</v>
      </c>
      <c r="C1939" s="11">
        <f t="shared" si="30"/>
        <v>3.9900000000000005E-2</v>
      </c>
    </row>
    <row r="1940" spans="1:3" x14ac:dyDescent="0.2">
      <c r="A1940" s="2">
        <v>45296</v>
      </c>
      <c r="B1940">
        <v>4.05</v>
      </c>
      <c r="C1940" s="11">
        <f t="shared" si="30"/>
        <v>4.0500000000000001E-2</v>
      </c>
    </row>
    <row r="1941" spans="1:3" x14ac:dyDescent="0.2">
      <c r="A1941" s="2">
        <v>45299</v>
      </c>
      <c r="B1941">
        <v>4.01</v>
      </c>
      <c r="C1941" s="11">
        <f t="shared" si="30"/>
        <v>4.0099999999999997E-2</v>
      </c>
    </row>
    <row r="1942" spans="1:3" x14ac:dyDescent="0.2">
      <c r="A1942" s="2">
        <v>45300</v>
      </c>
      <c r="B1942">
        <v>4.0199999999999996</v>
      </c>
      <c r="C1942" s="11">
        <f t="shared" si="30"/>
        <v>4.0199999999999993E-2</v>
      </c>
    </row>
    <row r="1943" spans="1:3" x14ac:dyDescent="0.2">
      <c r="A1943" s="2">
        <v>45301</v>
      </c>
      <c r="B1943">
        <v>4.04</v>
      </c>
      <c r="C1943" s="11">
        <f t="shared" si="30"/>
        <v>4.0399999999999998E-2</v>
      </c>
    </row>
    <row r="1944" spans="1:3" x14ac:dyDescent="0.2">
      <c r="A1944" s="2">
        <v>45302</v>
      </c>
      <c r="B1944">
        <v>3.98</v>
      </c>
      <c r="C1944" s="11">
        <f t="shared" si="30"/>
        <v>3.9800000000000002E-2</v>
      </c>
    </row>
    <row r="1945" spans="1:3" x14ac:dyDescent="0.2">
      <c r="A1945" s="2">
        <v>45303</v>
      </c>
      <c r="B1945">
        <v>3.96</v>
      </c>
      <c r="C1945" s="11">
        <f t="shared" si="30"/>
        <v>3.9599999999999996E-2</v>
      </c>
    </row>
    <row r="1946" spans="1:3" x14ac:dyDescent="0.2">
      <c r="A1946" s="2">
        <v>45307</v>
      </c>
      <c r="B1946">
        <v>4.07</v>
      </c>
      <c r="C1946" s="11">
        <f t="shared" si="30"/>
        <v>4.07E-2</v>
      </c>
    </row>
    <row r="1947" spans="1:3" x14ac:dyDescent="0.2">
      <c r="A1947" s="2">
        <v>45308</v>
      </c>
      <c r="B1947">
        <v>4.0999999999999996</v>
      </c>
      <c r="C1947" s="11">
        <f t="shared" si="30"/>
        <v>4.0999999999999995E-2</v>
      </c>
    </row>
    <row r="1948" spans="1:3" x14ac:dyDescent="0.2">
      <c r="A1948" s="2">
        <v>45309</v>
      </c>
      <c r="B1948">
        <v>4.1399999999999997</v>
      </c>
      <c r="C1948" s="11">
        <f t="shared" si="30"/>
        <v>4.1399999999999999E-2</v>
      </c>
    </row>
    <row r="1949" spans="1:3" x14ac:dyDescent="0.2">
      <c r="A1949" s="2">
        <v>45310</v>
      </c>
      <c r="B1949">
        <v>4.1500000000000004</v>
      </c>
      <c r="C1949" s="11">
        <f t="shared" si="30"/>
        <v>4.1500000000000002E-2</v>
      </c>
    </row>
    <row r="1950" spans="1:3" x14ac:dyDescent="0.2">
      <c r="A1950" s="2">
        <v>45313</v>
      </c>
      <c r="B1950">
        <v>4.1100000000000003</v>
      </c>
      <c r="C1950" s="11">
        <f t="shared" si="30"/>
        <v>4.1100000000000005E-2</v>
      </c>
    </row>
    <row r="1951" spans="1:3" x14ac:dyDescent="0.2">
      <c r="A1951" s="2">
        <v>45314</v>
      </c>
      <c r="B1951">
        <v>4.1399999999999997</v>
      </c>
      <c r="C1951" s="11">
        <f t="shared" si="30"/>
        <v>4.1399999999999999E-2</v>
      </c>
    </row>
    <row r="1952" spans="1:3" x14ac:dyDescent="0.2">
      <c r="A1952" s="2">
        <v>45315</v>
      </c>
      <c r="B1952">
        <v>4.18</v>
      </c>
      <c r="C1952" s="11">
        <f t="shared" si="30"/>
        <v>4.1799999999999997E-2</v>
      </c>
    </row>
    <row r="1953" spans="1:3" x14ac:dyDescent="0.2">
      <c r="A1953" s="2">
        <v>45316</v>
      </c>
      <c r="B1953">
        <v>4.1399999999999997</v>
      </c>
      <c r="C1953" s="11">
        <f t="shared" si="30"/>
        <v>4.1399999999999999E-2</v>
      </c>
    </row>
    <row r="1954" spans="1:3" x14ac:dyDescent="0.2">
      <c r="A1954" s="2">
        <v>45317</v>
      </c>
      <c r="B1954">
        <v>4.1500000000000004</v>
      </c>
      <c r="C1954" s="11">
        <f t="shared" si="30"/>
        <v>4.1500000000000002E-2</v>
      </c>
    </row>
    <row r="1955" spans="1:3" x14ac:dyDescent="0.2">
      <c r="A1955" s="2">
        <v>45320</v>
      </c>
      <c r="B1955">
        <v>4.08</v>
      </c>
      <c r="C1955" s="11">
        <f t="shared" si="30"/>
        <v>4.0800000000000003E-2</v>
      </c>
    </row>
    <row r="1956" spans="1:3" x14ac:dyDescent="0.2">
      <c r="A1956" s="2">
        <v>45321</v>
      </c>
      <c r="B1956">
        <v>4.0599999999999996</v>
      </c>
      <c r="C1956" s="11">
        <f t="shared" si="30"/>
        <v>4.0599999999999997E-2</v>
      </c>
    </row>
    <row r="1957" spans="1:3" x14ac:dyDescent="0.2">
      <c r="A1957" s="2">
        <v>45322</v>
      </c>
      <c r="B1957">
        <v>3.99</v>
      </c>
      <c r="C1957" s="11">
        <f t="shared" si="30"/>
        <v>3.9900000000000005E-2</v>
      </c>
    </row>
    <row r="1958" spans="1:3" x14ac:dyDescent="0.2">
      <c r="A1958" s="2">
        <v>45323</v>
      </c>
      <c r="B1958">
        <v>3.87</v>
      </c>
      <c r="C1958" s="11">
        <f t="shared" si="30"/>
        <v>3.8699999999999998E-2</v>
      </c>
    </row>
    <row r="1959" spans="1:3" x14ac:dyDescent="0.2">
      <c r="A1959" s="2">
        <v>45324</v>
      </c>
      <c r="B1959">
        <v>4.03</v>
      </c>
      <c r="C1959" s="11">
        <f t="shared" si="30"/>
        <v>4.0300000000000002E-2</v>
      </c>
    </row>
    <row r="1960" spans="1:3" x14ac:dyDescent="0.2">
      <c r="A1960" s="2">
        <v>45327</v>
      </c>
      <c r="B1960">
        <v>4.17</v>
      </c>
      <c r="C1960" s="11">
        <f t="shared" si="30"/>
        <v>4.1700000000000001E-2</v>
      </c>
    </row>
    <row r="1961" spans="1:3" x14ac:dyDescent="0.2">
      <c r="A1961" s="2">
        <v>45328</v>
      </c>
      <c r="B1961">
        <v>4.09</v>
      </c>
      <c r="C1961" s="11">
        <f t="shared" si="30"/>
        <v>4.0899999999999999E-2</v>
      </c>
    </row>
    <row r="1962" spans="1:3" x14ac:dyDescent="0.2">
      <c r="A1962" s="2">
        <v>45329</v>
      </c>
      <c r="B1962">
        <v>4.09</v>
      </c>
      <c r="C1962" s="11">
        <f t="shared" si="30"/>
        <v>4.0899999999999999E-2</v>
      </c>
    </row>
    <row r="1963" spans="1:3" x14ac:dyDescent="0.2">
      <c r="A1963" s="2">
        <v>45330</v>
      </c>
      <c r="B1963">
        <v>4.1500000000000004</v>
      </c>
      <c r="C1963" s="11">
        <f t="shared" si="30"/>
        <v>4.1500000000000002E-2</v>
      </c>
    </row>
    <row r="1964" spans="1:3" x14ac:dyDescent="0.2">
      <c r="A1964" s="2">
        <v>45331</v>
      </c>
      <c r="B1964">
        <v>4.17</v>
      </c>
      <c r="C1964" s="11">
        <f t="shared" si="30"/>
        <v>4.1700000000000001E-2</v>
      </c>
    </row>
    <row r="1965" spans="1:3" x14ac:dyDescent="0.2">
      <c r="A1965" s="2">
        <v>45334</v>
      </c>
      <c r="B1965">
        <v>4.17</v>
      </c>
      <c r="C1965" s="11">
        <f t="shared" si="30"/>
        <v>4.1700000000000001E-2</v>
      </c>
    </row>
    <row r="1966" spans="1:3" x14ac:dyDescent="0.2">
      <c r="A1966" s="2">
        <v>45335</v>
      </c>
      <c r="B1966">
        <v>4.3099999999999996</v>
      </c>
      <c r="C1966" s="11">
        <f t="shared" si="30"/>
        <v>4.3099999999999999E-2</v>
      </c>
    </row>
    <row r="1967" spans="1:3" x14ac:dyDescent="0.2">
      <c r="A1967" s="2">
        <v>45336</v>
      </c>
      <c r="B1967">
        <v>4.2699999999999996</v>
      </c>
      <c r="C1967" s="11">
        <f t="shared" si="30"/>
        <v>4.2699999999999995E-2</v>
      </c>
    </row>
    <row r="1968" spans="1:3" x14ac:dyDescent="0.2">
      <c r="A1968" s="2">
        <v>45337</v>
      </c>
      <c r="B1968">
        <v>4.24</v>
      </c>
      <c r="C1968" s="11">
        <f t="shared" si="30"/>
        <v>4.24E-2</v>
      </c>
    </row>
    <row r="1969" spans="1:3" x14ac:dyDescent="0.2">
      <c r="A1969" s="2">
        <v>45338</v>
      </c>
      <c r="B1969">
        <v>4.3</v>
      </c>
      <c r="C1969" s="11">
        <f t="shared" si="30"/>
        <v>4.2999999999999997E-2</v>
      </c>
    </row>
    <row r="1970" spans="1:3" x14ac:dyDescent="0.2">
      <c r="A1970" s="2">
        <v>45342</v>
      </c>
      <c r="B1970">
        <v>4.2699999999999996</v>
      </c>
      <c r="C1970" s="11">
        <f t="shared" si="30"/>
        <v>4.2699999999999995E-2</v>
      </c>
    </row>
    <row r="1971" spans="1:3" x14ac:dyDescent="0.2">
      <c r="A1971" s="2">
        <v>45343</v>
      </c>
      <c r="B1971">
        <v>4.32</v>
      </c>
      <c r="C1971" s="11">
        <f t="shared" si="30"/>
        <v>4.3200000000000002E-2</v>
      </c>
    </row>
    <row r="1972" spans="1:3" x14ac:dyDescent="0.2">
      <c r="A1972" s="2">
        <v>45344</v>
      </c>
      <c r="B1972">
        <v>4.33</v>
      </c>
      <c r="C1972" s="11">
        <f t="shared" si="30"/>
        <v>4.3299999999999998E-2</v>
      </c>
    </row>
    <row r="1973" spans="1:3" x14ac:dyDescent="0.2">
      <c r="A1973" s="2">
        <v>45345</v>
      </c>
      <c r="B1973">
        <v>4.26</v>
      </c>
      <c r="C1973" s="11">
        <f t="shared" si="30"/>
        <v>4.2599999999999999E-2</v>
      </c>
    </row>
    <row r="1974" spans="1:3" x14ac:dyDescent="0.2">
      <c r="A1974" s="2">
        <v>45348</v>
      </c>
      <c r="B1974">
        <v>4.28</v>
      </c>
      <c r="C1974" s="11">
        <f t="shared" si="30"/>
        <v>4.2800000000000005E-2</v>
      </c>
    </row>
    <row r="1975" spans="1:3" x14ac:dyDescent="0.2">
      <c r="A1975" s="2">
        <v>45349</v>
      </c>
      <c r="B1975">
        <v>4.3099999999999996</v>
      </c>
      <c r="C1975" s="11">
        <f t="shared" si="30"/>
        <v>4.3099999999999999E-2</v>
      </c>
    </row>
    <row r="1976" spans="1:3" x14ac:dyDescent="0.2">
      <c r="A1976" s="2">
        <v>45350</v>
      </c>
      <c r="B1976">
        <v>4.2699999999999996</v>
      </c>
      <c r="C1976" s="11">
        <f t="shared" si="30"/>
        <v>4.2699999999999995E-2</v>
      </c>
    </row>
    <row r="1977" spans="1:3" x14ac:dyDescent="0.2">
      <c r="A1977" s="2">
        <v>45351</v>
      </c>
      <c r="B1977">
        <v>4.25</v>
      </c>
      <c r="C1977" s="11">
        <f t="shared" si="30"/>
        <v>4.2500000000000003E-2</v>
      </c>
    </row>
    <row r="1978" spans="1:3" x14ac:dyDescent="0.2">
      <c r="A1978" s="2">
        <v>45352</v>
      </c>
      <c r="B1978">
        <v>4.1900000000000004</v>
      </c>
      <c r="C1978" s="11">
        <f t="shared" si="30"/>
        <v>4.1900000000000007E-2</v>
      </c>
    </row>
    <row r="1979" spans="1:3" x14ac:dyDescent="0.2">
      <c r="A1979" s="2">
        <v>45355</v>
      </c>
      <c r="B1979">
        <v>4.22</v>
      </c>
      <c r="C1979" s="11">
        <f t="shared" si="30"/>
        <v>4.2199999999999994E-2</v>
      </c>
    </row>
    <row r="1980" spans="1:3" x14ac:dyDescent="0.2">
      <c r="A1980" s="2">
        <v>45356</v>
      </c>
      <c r="B1980">
        <v>4.13</v>
      </c>
      <c r="C1980" s="11">
        <f t="shared" si="30"/>
        <v>4.1299999999999996E-2</v>
      </c>
    </row>
    <row r="1981" spans="1:3" x14ac:dyDescent="0.2">
      <c r="A1981" s="2">
        <v>45357</v>
      </c>
      <c r="B1981">
        <v>4.1100000000000003</v>
      </c>
      <c r="C1981" s="11">
        <f t="shared" si="30"/>
        <v>4.1100000000000005E-2</v>
      </c>
    </row>
    <row r="1982" spans="1:3" x14ac:dyDescent="0.2">
      <c r="A1982" s="2">
        <v>45358</v>
      </c>
      <c r="B1982">
        <v>4.09</v>
      </c>
      <c r="C1982" s="11">
        <f t="shared" si="30"/>
        <v>4.0899999999999999E-2</v>
      </c>
    </row>
    <row r="1983" spans="1:3" x14ac:dyDescent="0.2">
      <c r="A1983" s="2">
        <v>45359</v>
      </c>
      <c r="B1983">
        <v>4.09</v>
      </c>
      <c r="C1983" s="11">
        <f t="shared" si="30"/>
        <v>4.0899999999999999E-2</v>
      </c>
    </row>
    <row r="1984" spans="1:3" x14ac:dyDescent="0.2">
      <c r="A1984" s="2">
        <v>45362</v>
      </c>
      <c r="B1984">
        <v>4.0999999999999996</v>
      </c>
      <c r="C1984" s="11">
        <f t="shared" si="30"/>
        <v>4.0999999999999995E-2</v>
      </c>
    </row>
    <row r="1985" spans="1:3" x14ac:dyDescent="0.2">
      <c r="A1985" s="2">
        <v>45363</v>
      </c>
      <c r="B1985">
        <v>4.16</v>
      </c>
      <c r="C1985" s="11">
        <f t="shared" si="30"/>
        <v>4.1599999999999998E-2</v>
      </c>
    </row>
    <row r="1986" spans="1:3" x14ac:dyDescent="0.2">
      <c r="A1986" s="2">
        <v>45364</v>
      </c>
      <c r="B1986">
        <v>4.1900000000000004</v>
      </c>
      <c r="C1986" s="11">
        <f t="shared" si="30"/>
        <v>4.1900000000000007E-2</v>
      </c>
    </row>
    <row r="1987" spans="1:3" x14ac:dyDescent="0.2">
      <c r="A1987" s="2">
        <v>45365</v>
      </c>
      <c r="B1987">
        <v>4.29</v>
      </c>
      <c r="C1987" s="11">
        <f t="shared" ref="C1987:C2050" si="31">B1987/100</f>
        <v>4.2900000000000001E-2</v>
      </c>
    </row>
    <row r="1988" spans="1:3" x14ac:dyDescent="0.2">
      <c r="A1988" s="2">
        <v>45366</v>
      </c>
      <c r="B1988">
        <v>4.3099999999999996</v>
      </c>
      <c r="C1988" s="11">
        <f t="shared" si="31"/>
        <v>4.3099999999999999E-2</v>
      </c>
    </row>
    <row r="1989" spans="1:3" x14ac:dyDescent="0.2">
      <c r="A1989" s="2">
        <v>45369</v>
      </c>
      <c r="B1989">
        <v>4.34</v>
      </c>
      <c r="C1989" s="11">
        <f t="shared" si="31"/>
        <v>4.3400000000000001E-2</v>
      </c>
    </row>
    <row r="1990" spans="1:3" x14ac:dyDescent="0.2">
      <c r="A1990" s="2">
        <v>45370</v>
      </c>
      <c r="B1990">
        <v>4.3</v>
      </c>
      <c r="C1990" s="11">
        <f t="shared" si="31"/>
        <v>4.2999999999999997E-2</v>
      </c>
    </row>
    <row r="1991" spans="1:3" x14ac:dyDescent="0.2">
      <c r="A1991" s="2">
        <v>45371</v>
      </c>
      <c r="B1991">
        <v>4.2699999999999996</v>
      </c>
      <c r="C1991" s="11">
        <f t="shared" si="31"/>
        <v>4.2699999999999995E-2</v>
      </c>
    </row>
    <row r="1992" spans="1:3" x14ac:dyDescent="0.2">
      <c r="A1992" s="2">
        <v>45372</v>
      </c>
      <c r="B1992">
        <v>4.2699999999999996</v>
      </c>
      <c r="C1992" s="11">
        <f t="shared" si="31"/>
        <v>4.2699999999999995E-2</v>
      </c>
    </row>
    <row r="1993" spans="1:3" x14ac:dyDescent="0.2">
      <c r="A1993" s="2">
        <v>45373</v>
      </c>
      <c r="B1993">
        <v>4.22</v>
      </c>
      <c r="C1993" s="11">
        <f t="shared" si="31"/>
        <v>4.2199999999999994E-2</v>
      </c>
    </row>
    <row r="1994" spans="1:3" x14ac:dyDescent="0.2">
      <c r="A1994" s="2">
        <v>45376</v>
      </c>
      <c r="B1994">
        <v>4.25</v>
      </c>
      <c r="C1994" s="11">
        <f t="shared" si="31"/>
        <v>4.2500000000000003E-2</v>
      </c>
    </row>
    <row r="1995" spans="1:3" x14ac:dyDescent="0.2">
      <c r="A1995" s="2">
        <v>45377</v>
      </c>
      <c r="B1995">
        <v>4.24</v>
      </c>
      <c r="C1995" s="11">
        <f t="shared" si="31"/>
        <v>4.24E-2</v>
      </c>
    </row>
    <row r="1996" spans="1:3" x14ac:dyDescent="0.2">
      <c r="A1996" s="2">
        <v>45378</v>
      </c>
      <c r="B1996">
        <v>4.2</v>
      </c>
      <c r="C1996" s="11">
        <f t="shared" si="31"/>
        <v>4.2000000000000003E-2</v>
      </c>
    </row>
    <row r="1997" spans="1:3" x14ac:dyDescent="0.2">
      <c r="A1997" s="2">
        <v>45379</v>
      </c>
      <c r="B1997">
        <v>4.2</v>
      </c>
      <c r="C1997" s="11">
        <f t="shared" si="31"/>
        <v>4.2000000000000003E-2</v>
      </c>
    </row>
    <row r="1998" spans="1:3" x14ac:dyDescent="0.2">
      <c r="A1998" s="2">
        <v>45383</v>
      </c>
      <c r="B1998">
        <v>4.33</v>
      </c>
      <c r="C1998" s="11">
        <f t="shared" si="31"/>
        <v>4.3299999999999998E-2</v>
      </c>
    </row>
    <row r="1999" spans="1:3" x14ac:dyDescent="0.2">
      <c r="A1999" s="2">
        <v>45384</v>
      </c>
      <c r="B1999">
        <v>4.3600000000000003</v>
      </c>
      <c r="C1999" s="11">
        <f t="shared" si="31"/>
        <v>4.36E-2</v>
      </c>
    </row>
    <row r="2000" spans="1:3" x14ac:dyDescent="0.2">
      <c r="A2000" s="2">
        <v>45385</v>
      </c>
      <c r="B2000">
        <v>4.3600000000000003</v>
      </c>
      <c r="C2000" s="11">
        <f t="shared" si="31"/>
        <v>4.36E-2</v>
      </c>
    </row>
    <row r="2001" spans="1:3" x14ac:dyDescent="0.2">
      <c r="A2001" s="2">
        <v>45386</v>
      </c>
      <c r="B2001">
        <v>4.3099999999999996</v>
      </c>
      <c r="C2001" s="11">
        <f t="shared" si="31"/>
        <v>4.3099999999999999E-2</v>
      </c>
    </row>
    <row r="2002" spans="1:3" x14ac:dyDescent="0.2">
      <c r="A2002" s="2">
        <v>45387</v>
      </c>
      <c r="B2002">
        <v>4.3899999999999997</v>
      </c>
      <c r="C2002" s="11">
        <f t="shared" si="31"/>
        <v>4.3899999999999995E-2</v>
      </c>
    </row>
    <row r="2003" spans="1:3" x14ac:dyDescent="0.2">
      <c r="A2003" s="2">
        <v>45390</v>
      </c>
      <c r="B2003">
        <v>4.42</v>
      </c>
      <c r="C2003" s="11">
        <f t="shared" si="31"/>
        <v>4.4199999999999996E-2</v>
      </c>
    </row>
    <row r="2004" spans="1:3" x14ac:dyDescent="0.2">
      <c r="A2004" s="2">
        <v>45391</v>
      </c>
      <c r="B2004">
        <v>4.3600000000000003</v>
      </c>
      <c r="C2004" s="11">
        <f t="shared" si="31"/>
        <v>4.36E-2</v>
      </c>
    </row>
    <row r="2005" spans="1:3" x14ac:dyDescent="0.2">
      <c r="A2005" s="2">
        <v>45392</v>
      </c>
      <c r="B2005">
        <v>4.55</v>
      </c>
      <c r="C2005" s="11">
        <f t="shared" si="31"/>
        <v>4.5499999999999999E-2</v>
      </c>
    </row>
    <row r="2006" spans="1:3" x14ac:dyDescent="0.2">
      <c r="A2006" s="2">
        <v>45393</v>
      </c>
      <c r="B2006">
        <v>4.5599999999999996</v>
      </c>
      <c r="C2006" s="11">
        <f t="shared" si="31"/>
        <v>4.5599999999999995E-2</v>
      </c>
    </row>
    <row r="2007" spans="1:3" x14ac:dyDescent="0.2">
      <c r="A2007" s="2">
        <v>45394</v>
      </c>
      <c r="B2007">
        <v>4.5</v>
      </c>
      <c r="C2007" s="11">
        <f t="shared" si="31"/>
        <v>4.4999999999999998E-2</v>
      </c>
    </row>
    <row r="2008" spans="1:3" x14ac:dyDescent="0.2">
      <c r="A2008" s="2">
        <v>45397</v>
      </c>
      <c r="B2008">
        <v>4.63</v>
      </c>
      <c r="C2008" s="11">
        <f t="shared" si="31"/>
        <v>4.6300000000000001E-2</v>
      </c>
    </row>
    <row r="2009" spans="1:3" x14ac:dyDescent="0.2">
      <c r="A2009" s="2">
        <v>45398</v>
      </c>
      <c r="B2009">
        <v>4.67</v>
      </c>
      <c r="C2009" s="11">
        <f t="shared" si="31"/>
        <v>4.6699999999999998E-2</v>
      </c>
    </row>
    <row r="2010" spans="1:3" x14ac:dyDescent="0.2">
      <c r="A2010" s="2">
        <v>45399</v>
      </c>
      <c r="B2010">
        <v>4.59</v>
      </c>
      <c r="C2010" s="11">
        <f t="shared" si="31"/>
        <v>4.5899999999999996E-2</v>
      </c>
    </row>
    <row r="2011" spans="1:3" x14ac:dyDescent="0.2">
      <c r="A2011" s="2">
        <v>45400</v>
      </c>
      <c r="B2011">
        <v>4.6399999999999997</v>
      </c>
      <c r="C2011" s="11">
        <f t="shared" si="31"/>
        <v>4.6399999999999997E-2</v>
      </c>
    </row>
    <row r="2012" spans="1:3" x14ac:dyDescent="0.2">
      <c r="A2012" s="2">
        <v>45401</v>
      </c>
      <c r="B2012">
        <v>4.62</v>
      </c>
      <c r="C2012" s="11">
        <f t="shared" si="31"/>
        <v>4.6199999999999998E-2</v>
      </c>
    </row>
    <row r="2013" spans="1:3" x14ac:dyDescent="0.2">
      <c r="A2013" s="2">
        <v>45404</v>
      </c>
      <c r="B2013">
        <v>4.62</v>
      </c>
      <c r="C2013" s="11">
        <f t="shared" si="31"/>
        <v>4.6199999999999998E-2</v>
      </c>
    </row>
    <row r="2014" spans="1:3" x14ac:dyDescent="0.2">
      <c r="A2014" s="2">
        <v>45405</v>
      </c>
      <c r="B2014">
        <v>4.6100000000000003</v>
      </c>
      <c r="C2014" s="11">
        <f t="shared" si="31"/>
        <v>4.6100000000000002E-2</v>
      </c>
    </row>
    <row r="2015" spans="1:3" x14ac:dyDescent="0.2">
      <c r="A2015" s="2">
        <v>45406</v>
      </c>
      <c r="B2015">
        <v>4.6500000000000004</v>
      </c>
      <c r="C2015" s="11">
        <f t="shared" si="31"/>
        <v>4.6500000000000007E-2</v>
      </c>
    </row>
    <row r="2016" spans="1:3" x14ac:dyDescent="0.2">
      <c r="A2016" s="2">
        <v>45407</v>
      </c>
      <c r="B2016">
        <v>4.7</v>
      </c>
      <c r="C2016" s="11">
        <f t="shared" si="31"/>
        <v>4.7E-2</v>
      </c>
    </row>
    <row r="2017" spans="1:3" x14ac:dyDescent="0.2">
      <c r="A2017" s="2">
        <v>45408</v>
      </c>
      <c r="B2017">
        <v>4.67</v>
      </c>
      <c r="C2017" s="11">
        <f t="shared" si="31"/>
        <v>4.6699999999999998E-2</v>
      </c>
    </row>
    <row r="2018" spans="1:3" x14ac:dyDescent="0.2">
      <c r="A2018" s="2">
        <v>45411</v>
      </c>
      <c r="B2018">
        <v>4.63</v>
      </c>
      <c r="C2018" s="11">
        <f t="shared" si="31"/>
        <v>4.6300000000000001E-2</v>
      </c>
    </row>
    <row r="2019" spans="1:3" x14ac:dyDescent="0.2">
      <c r="A2019" s="2">
        <v>45412</v>
      </c>
      <c r="B2019">
        <v>4.6900000000000004</v>
      </c>
      <c r="C2019" s="11">
        <f t="shared" si="31"/>
        <v>4.6900000000000004E-2</v>
      </c>
    </row>
    <row r="2020" spans="1:3" x14ac:dyDescent="0.2">
      <c r="A2020" s="2">
        <v>45413</v>
      </c>
      <c r="B2020">
        <v>4.63</v>
      </c>
      <c r="C2020" s="11">
        <f t="shared" si="31"/>
        <v>4.6300000000000001E-2</v>
      </c>
    </row>
    <row r="2021" spans="1:3" x14ac:dyDescent="0.2">
      <c r="A2021" s="2">
        <v>45414</v>
      </c>
      <c r="B2021">
        <v>4.58</v>
      </c>
      <c r="C2021" s="11">
        <f t="shared" si="31"/>
        <v>4.58E-2</v>
      </c>
    </row>
    <row r="2022" spans="1:3" x14ac:dyDescent="0.2">
      <c r="A2022" s="2">
        <v>45415</v>
      </c>
      <c r="B2022">
        <v>4.5</v>
      </c>
      <c r="C2022" s="11">
        <f t="shared" si="31"/>
        <v>4.4999999999999998E-2</v>
      </c>
    </row>
    <row r="2023" spans="1:3" x14ac:dyDescent="0.2">
      <c r="A2023" s="2">
        <v>45418</v>
      </c>
      <c r="B2023">
        <v>4.49</v>
      </c>
      <c r="C2023" s="11">
        <f t="shared" si="31"/>
        <v>4.4900000000000002E-2</v>
      </c>
    </row>
    <row r="2024" spans="1:3" x14ac:dyDescent="0.2">
      <c r="A2024" s="2">
        <v>45419</v>
      </c>
      <c r="B2024">
        <v>4.47</v>
      </c>
      <c r="C2024" s="11">
        <f t="shared" si="31"/>
        <v>4.4699999999999997E-2</v>
      </c>
    </row>
    <row r="2025" spans="1:3" x14ac:dyDescent="0.2">
      <c r="A2025" s="2">
        <v>45420</v>
      </c>
      <c r="B2025">
        <v>4.4800000000000004</v>
      </c>
      <c r="C2025" s="11">
        <f t="shared" si="31"/>
        <v>4.4800000000000006E-2</v>
      </c>
    </row>
    <row r="2026" spans="1:3" x14ac:dyDescent="0.2">
      <c r="A2026" s="2">
        <v>45421</v>
      </c>
      <c r="B2026">
        <v>4.45</v>
      </c>
      <c r="C2026" s="11">
        <f t="shared" si="31"/>
        <v>4.4500000000000005E-2</v>
      </c>
    </row>
    <row r="2027" spans="1:3" x14ac:dyDescent="0.2">
      <c r="A2027" s="2">
        <v>45422</v>
      </c>
      <c r="B2027">
        <v>4.5</v>
      </c>
      <c r="C2027" s="11">
        <f t="shared" si="31"/>
        <v>4.4999999999999998E-2</v>
      </c>
    </row>
    <row r="2028" spans="1:3" x14ac:dyDescent="0.2">
      <c r="A2028" s="2">
        <v>45425</v>
      </c>
      <c r="B2028">
        <v>4.4800000000000004</v>
      </c>
      <c r="C2028" s="11">
        <f t="shared" si="31"/>
        <v>4.4800000000000006E-2</v>
      </c>
    </row>
    <row r="2029" spans="1:3" x14ac:dyDescent="0.2">
      <c r="A2029" s="2">
        <v>45426</v>
      </c>
      <c r="B2029">
        <v>4.45</v>
      </c>
      <c r="C2029" s="11">
        <f t="shared" si="31"/>
        <v>4.4500000000000005E-2</v>
      </c>
    </row>
    <row r="2030" spans="1:3" x14ac:dyDescent="0.2">
      <c r="A2030" s="2">
        <v>45427</v>
      </c>
      <c r="B2030">
        <v>4.3600000000000003</v>
      </c>
      <c r="C2030" s="11">
        <f t="shared" si="31"/>
        <v>4.36E-2</v>
      </c>
    </row>
    <row r="2031" spans="1:3" x14ac:dyDescent="0.2">
      <c r="A2031" s="2">
        <v>45428</v>
      </c>
      <c r="B2031">
        <v>4.38</v>
      </c>
      <c r="C2031" s="11">
        <f t="shared" si="31"/>
        <v>4.3799999999999999E-2</v>
      </c>
    </row>
    <row r="2032" spans="1:3" x14ac:dyDescent="0.2">
      <c r="A2032" s="2">
        <v>45429</v>
      </c>
      <c r="B2032">
        <v>4.42</v>
      </c>
      <c r="C2032" s="11">
        <f t="shared" si="31"/>
        <v>4.4199999999999996E-2</v>
      </c>
    </row>
    <row r="2033" spans="1:3" x14ac:dyDescent="0.2">
      <c r="A2033" s="2">
        <v>45432</v>
      </c>
      <c r="B2033">
        <v>4.4400000000000004</v>
      </c>
      <c r="C2033" s="11">
        <f t="shared" si="31"/>
        <v>4.4400000000000002E-2</v>
      </c>
    </row>
    <row r="2034" spans="1:3" x14ac:dyDescent="0.2">
      <c r="A2034" s="2">
        <v>45433</v>
      </c>
      <c r="B2034">
        <v>4.41</v>
      </c>
      <c r="C2034" s="11">
        <f t="shared" si="31"/>
        <v>4.41E-2</v>
      </c>
    </row>
    <row r="2035" spans="1:3" x14ac:dyDescent="0.2">
      <c r="A2035" s="2">
        <v>45434</v>
      </c>
      <c r="B2035">
        <v>4.43</v>
      </c>
      <c r="C2035" s="11">
        <f t="shared" si="31"/>
        <v>4.4299999999999999E-2</v>
      </c>
    </row>
    <row r="2036" spans="1:3" x14ac:dyDescent="0.2">
      <c r="A2036" s="2">
        <v>45435</v>
      </c>
      <c r="B2036">
        <v>4.47</v>
      </c>
      <c r="C2036" s="11">
        <f t="shared" si="31"/>
        <v>4.4699999999999997E-2</v>
      </c>
    </row>
    <row r="2037" spans="1:3" x14ac:dyDescent="0.2">
      <c r="A2037" s="2">
        <v>45436</v>
      </c>
      <c r="B2037">
        <v>4.46</v>
      </c>
      <c r="C2037" s="11">
        <f t="shared" si="31"/>
        <v>4.4600000000000001E-2</v>
      </c>
    </row>
    <row r="2038" spans="1:3" x14ac:dyDescent="0.2">
      <c r="A2038" s="2">
        <v>45440</v>
      </c>
      <c r="B2038">
        <v>4.54</v>
      </c>
      <c r="C2038" s="11">
        <f t="shared" si="31"/>
        <v>4.5400000000000003E-2</v>
      </c>
    </row>
    <row r="2039" spans="1:3" x14ac:dyDescent="0.2">
      <c r="A2039" s="2">
        <v>45441</v>
      </c>
      <c r="B2039">
        <v>4.6100000000000003</v>
      </c>
      <c r="C2039" s="11">
        <f t="shared" si="31"/>
        <v>4.6100000000000002E-2</v>
      </c>
    </row>
    <row r="2040" spans="1:3" x14ac:dyDescent="0.2">
      <c r="A2040" s="2">
        <v>45442</v>
      </c>
      <c r="B2040">
        <v>4.55</v>
      </c>
      <c r="C2040" s="11">
        <f t="shared" si="31"/>
        <v>4.5499999999999999E-2</v>
      </c>
    </row>
    <row r="2041" spans="1:3" x14ac:dyDescent="0.2">
      <c r="A2041" s="2">
        <v>45443</v>
      </c>
      <c r="B2041">
        <v>4.51</v>
      </c>
      <c r="C2041" s="11">
        <f t="shared" si="31"/>
        <v>4.5100000000000001E-2</v>
      </c>
    </row>
    <row r="2042" spans="1:3" x14ac:dyDescent="0.2">
      <c r="A2042" s="2">
        <v>45446</v>
      </c>
      <c r="B2042">
        <v>4.41</v>
      </c>
      <c r="C2042" s="11">
        <f t="shared" si="31"/>
        <v>4.41E-2</v>
      </c>
    </row>
    <row r="2043" spans="1:3" x14ac:dyDescent="0.2">
      <c r="A2043" s="2">
        <v>45447</v>
      </c>
      <c r="B2043">
        <v>4.33</v>
      </c>
      <c r="C2043" s="11">
        <f t="shared" si="31"/>
        <v>4.3299999999999998E-2</v>
      </c>
    </row>
    <row r="2044" spans="1:3" x14ac:dyDescent="0.2">
      <c r="A2044" s="2">
        <v>45448</v>
      </c>
      <c r="B2044">
        <v>4.29</v>
      </c>
      <c r="C2044" s="11">
        <f t="shared" si="31"/>
        <v>4.2900000000000001E-2</v>
      </c>
    </row>
    <row r="2045" spans="1:3" x14ac:dyDescent="0.2">
      <c r="A2045" s="2">
        <v>45449</v>
      </c>
      <c r="B2045">
        <v>4.28</v>
      </c>
      <c r="C2045" s="11">
        <f t="shared" si="31"/>
        <v>4.2800000000000005E-2</v>
      </c>
    </row>
    <row r="2046" spans="1:3" x14ac:dyDescent="0.2">
      <c r="A2046" s="2">
        <v>45450</v>
      </c>
      <c r="B2046">
        <v>4.43</v>
      </c>
      <c r="C2046" s="11">
        <f t="shared" si="31"/>
        <v>4.4299999999999999E-2</v>
      </c>
    </row>
    <row r="2047" spans="1:3" x14ac:dyDescent="0.2">
      <c r="A2047" s="2">
        <v>45453</v>
      </c>
      <c r="B2047">
        <v>4.47</v>
      </c>
      <c r="C2047" s="11">
        <f t="shared" si="31"/>
        <v>4.4699999999999997E-2</v>
      </c>
    </row>
    <row r="2048" spans="1:3" x14ac:dyDescent="0.2">
      <c r="A2048" s="2">
        <v>45454</v>
      </c>
      <c r="B2048">
        <v>4.3899999999999997</v>
      </c>
      <c r="C2048" s="11">
        <f t="shared" si="31"/>
        <v>4.3899999999999995E-2</v>
      </c>
    </row>
    <row r="2049" spans="1:3" x14ac:dyDescent="0.2">
      <c r="A2049" s="2">
        <v>45455</v>
      </c>
      <c r="B2049">
        <v>4.3099999999999996</v>
      </c>
      <c r="C2049" s="11">
        <f t="shared" si="31"/>
        <v>4.3099999999999999E-2</v>
      </c>
    </row>
    <row r="2050" spans="1:3" x14ac:dyDescent="0.2">
      <c r="A2050" s="2">
        <v>45456</v>
      </c>
      <c r="B2050">
        <v>4.24</v>
      </c>
      <c r="C2050" s="11">
        <f t="shared" si="31"/>
        <v>4.24E-2</v>
      </c>
    </row>
    <row r="2051" spans="1:3" x14ac:dyDescent="0.2">
      <c r="A2051" s="2">
        <v>45457</v>
      </c>
      <c r="B2051">
        <v>4.2</v>
      </c>
      <c r="C2051" s="11">
        <f t="shared" ref="C2051:C2114" si="32">B2051/100</f>
        <v>4.2000000000000003E-2</v>
      </c>
    </row>
    <row r="2052" spans="1:3" x14ac:dyDescent="0.2">
      <c r="A2052" s="2">
        <v>45460</v>
      </c>
      <c r="B2052">
        <v>4.28</v>
      </c>
      <c r="C2052" s="11">
        <f t="shared" si="32"/>
        <v>4.2800000000000005E-2</v>
      </c>
    </row>
    <row r="2053" spans="1:3" x14ac:dyDescent="0.2">
      <c r="A2053" s="2">
        <v>45461</v>
      </c>
      <c r="B2053">
        <v>4.22</v>
      </c>
      <c r="C2053" s="11">
        <f t="shared" si="32"/>
        <v>4.2199999999999994E-2</v>
      </c>
    </row>
    <row r="2054" spans="1:3" x14ac:dyDescent="0.2">
      <c r="A2054" s="2">
        <v>45463</v>
      </c>
      <c r="B2054">
        <v>4.25</v>
      </c>
      <c r="C2054" s="11">
        <f t="shared" si="32"/>
        <v>4.2500000000000003E-2</v>
      </c>
    </row>
    <row r="2055" spans="1:3" x14ac:dyDescent="0.2">
      <c r="A2055" s="2">
        <v>45464</v>
      </c>
      <c r="B2055">
        <v>4.25</v>
      </c>
      <c r="C2055" s="11">
        <f t="shared" si="32"/>
        <v>4.2500000000000003E-2</v>
      </c>
    </row>
    <row r="2056" spans="1:3" x14ac:dyDescent="0.2">
      <c r="A2056" s="2">
        <v>45467</v>
      </c>
      <c r="B2056">
        <v>4.25</v>
      </c>
      <c r="C2056" s="11">
        <f t="shared" si="32"/>
        <v>4.2500000000000003E-2</v>
      </c>
    </row>
    <row r="2057" spans="1:3" x14ac:dyDescent="0.2">
      <c r="A2057" s="2">
        <v>45468</v>
      </c>
      <c r="B2057">
        <v>4.2300000000000004</v>
      </c>
      <c r="C2057" s="11">
        <f t="shared" si="32"/>
        <v>4.2300000000000004E-2</v>
      </c>
    </row>
    <row r="2058" spans="1:3" x14ac:dyDescent="0.2">
      <c r="A2058" s="2">
        <v>45469</v>
      </c>
      <c r="B2058">
        <v>4.32</v>
      </c>
      <c r="C2058" s="11">
        <f t="shared" si="32"/>
        <v>4.3200000000000002E-2</v>
      </c>
    </row>
    <row r="2059" spans="1:3" x14ac:dyDescent="0.2">
      <c r="A2059" s="2">
        <v>45470</v>
      </c>
      <c r="B2059">
        <v>4.29</v>
      </c>
      <c r="C2059" s="11">
        <f t="shared" si="32"/>
        <v>4.2900000000000001E-2</v>
      </c>
    </row>
    <row r="2060" spans="1:3" x14ac:dyDescent="0.2">
      <c r="A2060" s="2">
        <v>45471</v>
      </c>
      <c r="B2060">
        <v>4.3600000000000003</v>
      </c>
      <c r="C2060" s="11">
        <f t="shared" si="32"/>
        <v>4.36E-2</v>
      </c>
    </row>
    <row r="2061" spans="1:3" x14ac:dyDescent="0.2">
      <c r="A2061" s="2">
        <v>45474</v>
      </c>
      <c r="B2061">
        <v>4.4800000000000004</v>
      </c>
      <c r="C2061" s="11">
        <f t="shared" si="32"/>
        <v>4.4800000000000006E-2</v>
      </c>
    </row>
    <row r="2062" spans="1:3" x14ac:dyDescent="0.2">
      <c r="A2062" s="2">
        <v>45475</v>
      </c>
      <c r="B2062">
        <v>4.43</v>
      </c>
      <c r="C2062" s="11">
        <f t="shared" si="32"/>
        <v>4.4299999999999999E-2</v>
      </c>
    </row>
    <row r="2063" spans="1:3" x14ac:dyDescent="0.2">
      <c r="A2063" s="2">
        <v>45476</v>
      </c>
      <c r="B2063">
        <v>4.3600000000000003</v>
      </c>
      <c r="C2063" s="11">
        <f t="shared" si="32"/>
        <v>4.36E-2</v>
      </c>
    </row>
    <row r="2064" spans="1:3" x14ac:dyDescent="0.2">
      <c r="A2064" s="2">
        <v>45478</v>
      </c>
      <c r="B2064">
        <v>4.28</v>
      </c>
      <c r="C2064" s="11">
        <f t="shared" si="32"/>
        <v>4.2800000000000005E-2</v>
      </c>
    </row>
    <row r="2065" spans="1:3" x14ac:dyDescent="0.2">
      <c r="A2065" s="2">
        <v>45481</v>
      </c>
      <c r="B2065">
        <v>4.28</v>
      </c>
      <c r="C2065" s="11">
        <f t="shared" si="32"/>
        <v>4.2800000000000005E-2</v>
      </c>
    </row>
    <row r="2066" spans="1:3" x14ac:dyDescent="0.2">
      <c r="A2066" s="2">
        <v>45482</v>
      </c>
      <c r="B2066">
        <v>4.3</v>
      </c>
      <c r="C2066" s="11">
        <f t="shared" si="32"/>
        <v>4.2999999999999997E-2</v>
      </c>
    </row>
    <row r="2067" spans="1:3" x14ac:dyDescent="0.2">
      <c r="A2067" s="2">
        <v>45483</v>
      </c>
      <c r="B2067">
        <v>4.28</v>
      </c>
      <c r="C2067" s="11">
        <f t="shared" si="32"/>
        <v>4.2800000000000005E-2</v>
      </c>
    </row>
    <row r="2068" spans="1:3" x14ac:dyDescent="0.2">
      <c r="A2068" s="2">
        <v>45484</v>
      </c>
      <c r="B2068">
        <v>4.2</v>
      </c>
      <c r="C2068" s="11">
        <f t="shared" si="32"/>
        <v>4.2000000000000003E-2</v>
      </c>
    </row>
    <row r="2069" spans="1:3" x14ac:dyDescent="0.2">
      <c r="A2069" s="2">
        <v>45485</v>
      </c>
      <c r="B2069">
        <v>4.18</v>
      </c>
      <c r="C2069" s="11">
        <f t="shared" si="32"/>
        <v>4.1799999999999997E-2</v>
      </c>
    </row>
    <row r="2070" spans="1:3" x14ac:dyDescent="0.2">
      <c r="A2070" s="2">
        <v>45488</v>
      </c>
      <c r="B2070">
        <v>4.2300000000000004</v>
      </c>
      <c r="C2070" s="11">
        <f t="shared" si="32"/>
        <v>4.2300000000000004E-2</v>
      </c>
    </row>
    <row r="2071" spans="1:3" x14ac:dyDescent="0.2">
      <c r="A2071" s="2">
        <v>45489</v>
      </c>
      <c r="B2071">
        <v>4.17</v>
      </c>
      <c r="C2071" s="11">
        <f t="shared" si="32"/>
        <v>4.1700000000000001E-2</v>
      </c>
    </row>
    <row r="2072" spans="1:3" x14ac:dyDescent="0.2">
      <c r="A2072" s="2">
        <v>45490</v>
      </c>
      <c r="B2072">
        <v>4.16</v>
      </c>
      <c r="C2072" s="11">
        <f t="shared" si="32"/>
        <v>4.1599999999999998E-2</v>
      </c>
    </row>
    <row r="2073" spans="1:3" x14ac:dyDescent="0.2">
      <c r="A2073" s="2">
        <v>45491</v>
      </c>
      <c r="B2073">
        <v>4.2</v>
      </c>
      <c r="C2073" s="11">
        <f t="shared" si="32"/>
        <v>4.2000000000000003E-2</v>
      </c>
    </row>
    <row r="2074" spans="1:3" x14ac:dyDescent="0.2">
      <c r="A2074" s="2">
        <v>45492</v>
      </c>
      <c r="B2074">
        <v>4.25</v>
      </c>
      <c r="C2074" s="11">
        <f t="shared" si="32"/>
        <v>4.2500000000000003E-2</v>
      </c>
    </row>
    <row r="2075" spans="1:3" x14ac:dyDescent="0.2">
      <c r="A2075" s="2">
        <v>45495</v>
      </c>
      <c r="B2075">
        <v>4.26</v>
      </c>
      <c r="C2075" s="11">
        <f t="shared" si="32"/>
        <v>4.2599999999999999E-2</v>
      </c>
    </row>
    <row r="2076" spans="1:3" x14ac:dyDescent="0.2">
      <c r="A2076" s="2">
        <v>45496</v>
      </c>
      <c r="B2076">
        <v>4.25</v>
      </c>
      <c r="C2076" s="11">
        <f t="shared" si="32"/>
        <v>4.2500000000000003E-2</v>
      </c>
    </row>
    <row r="2077" spans="1:3" x14ac:dyDescent="0.2">
      <c r="A2077" s="2">
        <v>45497</v>
      </c>
      <c r="B2077">
        <v>4.28</v>
      </c>
      <c r="C2077" s="11">
        <f t="shared" si="32"/>
        <v>4.2800000000000005E-2</v>
      </c>
    </row>
    <row r="2078" spans="1:3" x14ac:dyDescent="0.2">
      <c r="A2078" s="2">
        <v>45498</v>
      </c>
      <c r="B2078">
        <v>4.2699999999999996</v>
      </c>
      <c r="C2078" s="11">
        <f t="shared" si="32"/>
        <v>4.2699999999999995E-2</v>
      </c>
    </row>
    <row r="2079" spans="1:3" x14ac:dyDescent="0.2">
      <c r="A2079" s="2">
        <v>45499</v>
      </c>
      <c r="B2079">
        <v>4.2</v>
      </c>
      <c r="C2079" s="11">
        <f t="shared" si="32"/>
        <v>4.2000000000000003E-2</v>
      </c>
    </row>
    <row r="2080" spans="1:3" x14ac:dyDescent="0.2">
      <c r="A2080" s="2">
        <v>45502</v>
      </c>
      <c r="B2080">
        <v>4.17</v>
      </c>
      <c r="C2080" s="11">
        <f t="shared" si="32"/>
        <v>4.1700000000000001E-2</v>
      </c>
    </row>
    <row r="2081" spans="1:3" x14ac:dyDescent="0.2">
      <c r="A2081" s="2">
        <v>45503</v>
      </c>
      <c r="B2081">
        <v>4.1500000000000004</v>
      </c>
      <c r="C2081" s="11">
        <f t="shared" si="32"/>
        <v>4.1500000000000002E-2</v>
      </c>
    </row>
    <row r="2082" spans="1:3" x14ac:dyDescent="0.2">
      <c r="A2082" s="2">
        <v>45504</v>
      </c>
      <c r="B2082">
        <v>4.09</v>
      </c>
      <c r="C2082" s="11">
        <f t="shared" si="32"/>
        <v>4.0899999999999999E-2</v>
      </c>
    </row>
    <row r="2083" spans="1:3" x14ac:dyDescent="0.2">
      <c r="A2083" s="2">
        <v>45505</v>
      </c>
      <c r="B2083">
        <v>3.99</v>
      </c>
      <c r="C2083" s="11">
        <f t="shared" si="32"/>
        <v>3.9900000000000005E-2</v>
      </c>
    </row>
    <row r="2084" spans="1:3" x14ac:dyDescent="0.2">
      <c r="A2084" s="2">
        <v>45506</v>
      </c>
      <c r="B2084">
        <v>3.8</v>
      </c>
      <c r="C2084" s="11">
        <f t="shared" si="32"/>
        <v>3.7999999999999999E-2</v>
      </c>
    </row>
    <row r="2085" spans="1:3" x14ac:dyDescent="0.2">
      <c r="A2085" s="2">
        <v>45509</v>
      </c>
      <c r="B2085">
        <v>3.78</v>
      </c>
      <c r="C2085" s="11">
        <f t="shared" si="32"/>
        <v>3.78E-2</v>
      </c>
    </row>
    <row r="2086" spans="1:3" x14ac:dyDescent="0.2">
      <c r="A2086" s="2">
        <v>45510</v>
      </c>
      <c r="B2086">
        <v>3.9</v>
      </c>
      <c r="C2086" s="11">
        <f t="shared" si="32"/>
        <v>3.9E-2</v>
      </c>
    </row>
    <row r="2087" spans="1:3" x14ac:dyDescent="0.2">
      <c r="A2087" s="2">
        <v>45511</v>
      </c>
      <c r="B2087">
        <v>3.96</v>
      </c>
      <c r="C2087" s="11">
        <f t="shared" si="32"/>
        <v>3.9599999999999996E-2</v>
      </c>
    </row>
    <row r="2088" spans="1:3" x14ac:dyDescent="0.2">
      <c r="A2088" s="2">
        <v>45512</v>
      </c>
      <c r="B2088">
        <v>3.99</v>
      </c>
      <c r="C2088" s="11">
        <f t="shared" si="32"/>
        <v>3.9900000000000005E-2</v>
      </c>
    </row>
    <row r="2089" spans="1:3" x14ac:dyDescent="0.2">
      <c r="A2089" s="2">
        <v>45513</v>
      </c>
      <c r="B2089">
        <v>3.94</v>
      </c>
      <c r="C2089" s="11">
        <f t="shared" si="32"/>
        <v>3.9399999999999998E-2</v>
      </c>
    </row>
    <row r="2090" spans="1:3" x14ac:dyDescent="0.2">
      <c r="A2090" s="2">
        <v>45516</v>
      </c>
      <c r="B2090">
        <v>3.9</v>
      </c>
      <c r="C2090" s="11">
        <f t="shared" si="32"/>
        <v>3.9E-2</v>
      </c>
    </row>
    <row r="2091" spans="1:3" x14ac:dyDescent="0.2">
      <c r="A2091" s="2">
        <v>45517</v>
      </c>
      <c r="B2091">
        <v>3.85</v>
      </c>
      <c r="C2091" s="11">
        <f t="shared" si="32"/>
        <v>3.85E-2</v>
      </c>
    </row>
    <row r="2092" spans="1:3" x14ac:dyDescent="0.2">
      <c r="A2092" s="2">
        <v>45518</v>
      </c>
      <c r="B2092">
        <v>3.83</v>
      </c>
      <c r="C2092" s="11">
        <f t="shared" si="32"/>
        <v>3.8300000000000001E-2</v>
      </c>
    </row>
    <row r="2093" spans="1:3" x14ac:dyDescent="0.2">
      <c r="A2093" s="2">
        <v>45519</v>
      </c>
      <c r="B2093">
        <v>3.92</v>
      </c>
      <c r="C2093" s="11">
        <f t="shared" si="32"/>
        <v>3.9199999999999999E-2</v>
      </c>
    </row>
    <row r="2094" spans="1:3" x14ac:dyDescent="0.2">
      <c r="A2094" s="2">
        <v>45520</v>
      </c>
      <c r="B2094">
        <v>3.89</v>
      </c>
      <c r="C2094" s="11">
        <f t="shared" si="32"/>
        <v>3.8900000000000004E-2</v>
      </c>
    </row>
    <row r="2095" spans="1:3" x14ac:dyDescent="0.2">
      <c r="A2095" s="2">
        <v>45523</v>
      </c>
      <c r="B2095">
        <v>3.86</v>
      </c>
      <c r="C2095" s="11">
        <f t="shared" si="32"/>
        <v>3.8599999999999995E-2</v>
      </c>
    </row>
    <row r="2096" spans="1:3" x14ac:dyDescent="0.2">
      <c r="A2096" s="2">
        <v>45524</v>
      </c>
      <c r="B2096">
        <v>3.82</v>
      </c>
      <c r="C2096" s="11">
        <f t="shared" si="32"/>
        <v>3.8199999999999998E-2</v>
      </c>
    </row>
    <row r="2097" spans="1:3" x14ac:dyDescent="0.2">
      <c r="A2097" s="2">
        <v>45525</v>
      </c>
      <c r="B2097">
        <v>3.79</v>
      </c>
      <c r="C2097" s="11">
        <f t="shared" si="32"/>
        <v>3.7900000000000003E-2</v>
      </c>
    </row>
    <row r="2098" spans="1:3" x14ac:dyDescent="0.2">
      <c r="A2098" s="2">
        <v>45526</v>
      </c>
      <c r="B2098">
        <v>3.86</v>
      </c>
      <c r="C2098" s="11">
        <f t="shared" si="32"/>
        <v>3.8599999999999995E-2</v>
      </c>
    </row>
    <row r="2099" spans="1:3" x14ac:dyDescent="0.2">
      <c r="A2099" s="2">
        <v>45527</v>
      </c>
      <c r="B2099">
        <v>3.81</v>
      </c>
      <c r="C2099" s="11">
        <f t="shared" si="32"/>
        <v>3.8100000000000002E-2</v>
      </c>
    </row>
    <row r="2100" spans="1:3" x14ac:dyDescent="0.2">
      <c r="A2100" s="2">
        <v>45530</v>
      </c>
      <c r="B2100">
        <v>3.82</v>
      </c>
      <c r="C2100" s="11">
        <f t="shared" si="32"/>
        <v>3.8199999999999998E-2</v>
      </c>
    </row>
    <row r="2101" spans="1:3" x14ac:dyDescent="0.2">
      <c r="A2101" s="2">
        <v>45531</v>
      </c>
      <c r="B2101">
        <v>3.83</v>
      </c>
      <c r="C2101" s="11">
        <f t="shared" si="32"/>
        <v>3.8300000000000001E-2</v>
      </c>
    </row>
    <row r="2102" spans="1:3" x14ac:dyDescent="0.2">
      <c r="A2102" s="2">
        <v>45532</v>
      </c>
      <c r="B2102">
        <v>3.84</v>
      </c>
      <c r="C2102" s="11">
        <f t="shared" si="32"/>
        <v>3.8399999999999997E-2</v>
      </c>
    </row>
    <row r="2103" spans="1:3" x14ac:dyDescent="0.2">
      <c r="A2103" s="2">
        <v>45533</v>
      </c>
      <c r="B2103">
        <v>3.87</v>
      </c>
      <c r="C2103" s="11">
        <f t="shared" si="32"/>
        <v>3.8699999999999998E-2</v>
      </c>
    </row>
    <row r="2104" spans="1:3" x14ac:dyDescent="0.2">
      <c r="A2104" s="2">
        <v>45534</v>
      </c>
      <c r="B2104">
        <v>3.91</v>
      </c>
      <c r="C2104" s="11">
        <f t="shared" si="32"/>
        <v>3.9100000000000003E-2</v>
      </c>
    </row>
    <row r="2105" spans="1:3" x14ac:dyDescent="0.2">
      <c r="A2105" s="2">
        <v>45538</v>
      </c>
      <c r="B2105">
        <v>3.84</v>
      </c>
      <c r="C2105" s="11">
        <f t="shared" si="32"/>
        <v>3.8399999999999997E-2</v>
      </c>
    </row>
    <row r="2106" spans="1:3" x14ac:dyDescent="0.2">
      <c r="A2106" s="2">
        <v>45539</v>
      </c>
      <c r="B2106">
        <v>3.77</v>
      </c>
      <c r="C2106" s="11">
        <f t="shared" si="32"/>
        <v>3.7699999999999997E-2</v>
      </c>
    </row>
    <row r="2107" spans="1:3" x14ac:dyDescent="0.2">
      <c r="A2107" s="2">
        <v>45540</v>
      </c>
      <c r="B2107">
        <v>3.73</v>
      </c>
      <c r="C2107" s="11">
        <f t="shared" si="32"/>
        <v>3.73E-2</v>
      </c>
    </row>
    <row r="2108" spans="1:3" x14ac:dyDescent="0.2">
      <c r="A2108" s="2">
        <v>45541</v>
      </c>
      <c r="B2108">
        <v>3.72</v>
      </c>
      <c r="C2108" s="11">
        <f t="shared" si="32"/>
        <v>3.7200000000000004E-2</v>
      </c>
    </row>
    <row r="2109" spans="1:3" x14ac:dyDescent="0.2">
      <c r="A2109" s="2">
        <v>45544</v>
      </c>
      <c r="B2109">
        <v>3.7</v>
      </c>
      <c r="C2109" s="11">
        <f t="shared" si="32"/>
        <v>3.7000000000000005E-2</v>
      </c>
    </row>
    <row r="2110" spans="1:3" x14ac:dyDescent="0.2">
      <c r="A2110" s="2">
        <v>45545</v>
      </c>
      <c r="B2110">
        <v>3.65</v>
      </c>
      <c r="C2110" s="11">
        <f t="shared" si="32"/>
        <v>3.6499999999999998E-2</v>
      </c>
    </row>
    <row r="2111" spans="1:3" x14ac:dyDescent="0.2">
      <c r="A2111" s="2">
        <v>45546</v>
      </c>
      <c r="B2111">
        <v>3.65</v>
      </c>
      <c r="C2111" s="11">
        <f t="shared" si="32"/>
        <v>3.6499999999999998E-2</v>
      </c>
    </row>
    <row r="2112" spans="1:3" x14ac:dyDescent="0.2">
      <c r="A2112" s="2">
        <v>45547</v>
      </c>
      <c r="B2112">
        <v>3.68</v>
      </c>
      <c r="C2112" s="11">
        <f t="shared" si="32"/>
        <v>3.6799999999999999E-2</v>
      </c>
    </row>
    <row r="2113" spans="1:3" x14ac:dyDescent="0.2">
      <c r="A2113" s="2">
        <v>45548</v>
      </c>
      <c r="B2113">
        <v>3.66</v>
      </c>
      <c r="C2113" s="11">
        <f t="shared" si="32"/>
        <v>3.6600000000000001E-2</v>
      </c>
    </row>
    <row r="2114" spans="1:3" x14ac:dyDescent="0.2">
      <c r="A2114" s="2">
        <v>45551</v>
      </c>
      <c r="B2114">
        <v>3.63</v>
      </c>
      <c r="C2114" s="11">
        <f t="shared" si="32"/>
        <v>3.6299999999999999E-2</v>
      </c>
    </row>
    <row r="2115" spans="1:3" x14ac:dyDescent="0.2">
      <c r="A2115" s="2">
        <v>45552</v>
      </c>
      <c r="B2115">
        <v>3.65</v>
      </c>
      <c r="C2115" s="11">
        <f t="shared" ref="C2115:C2178" si="33">B2115/100</f>
        <v>3.6499999999999998E-2</v>
      </c>
    </row>
    <row r="2116" spans="1:3" x14ac:dyDescent="0.2">
      <c r="A2116" s="2">
        <v>45553</v>
      </c>
      <c r="B2116">
        <v>3.7</v>
      </c>
      <c r="C2116" s="11">
        <f t="shared" si="33"/>
        <v>3.7000000000000005E-2</v>
      </c>
    </row>
    <row r="2117" spans="1:3" x14ac:dyDescent="0.2">
      <c r="A2117" s="2">
        <v>45554</v>
      </c>
      <c r="B2117">
        <v>3.73</v>
      </c>
      <c r="C2117" s="11">
        <f t="shared" si="33"/>
        <v>3.73E-2</v>
      </c>
    </row>
    <row r="2118" spans="1:3" x14ac:dyDescent="0.2">
      <c r="A2118" s="2">
        <v>45555</v>
      </c>
      <c r="B2118">
        <v>3.73</v>
      </c>
      <c r="C2118" s="11">
        <f t="shared" si="33"/>
        <v>3.73E-2</v>
      </c>
    </row>
    <row r="2119" spans="1:3" x14ac:dyDescent="0.2">
      <c r="A2119" s="2">
        <v>45558</v>
      </c>
      <c r="B2119">
        <v>3.75</v>
      </c>
      <c r="C2119" s="11">
        <f t="shared" si="33"/>
        <v>3.7499999999999999E-2</v>
      </c>
    </row>
    <row r="2120" spans="1:3" x14ac:dyDescent="0.2">
      <c r="A2120" s="2">
        <v>45559</v>
      </c>
      <c r="B2120">
        <v>3.74</v>
      </c>
      <c r="C2120" s="11">
        <f t="shared" si="33"/>
        <v>3.7400000000000003E-2</v>
      </c>
    </row>
    <row r="2121" spans="1:3" x14ac:dyDescent="0.2">
      <c r="A2121" s="2">
        <v>45560</v>
      </c>
      <c r="B2121">
        <v>3.79</v>
      </c>
      <c r="C2121" s="11">
        <f t="shared" si="33"/>
        <v>3.7900000000000003E-2</v>
      </c>
    </row>
    <row r="2122" spans="1:3" x14ac:dyDescent="0.2">
      <c r="A2122" s="2">
        <v>45561</v>
      </c>
      <c r="B2122">
        <v>3.79</v>
      </c>
      <c r="C2122" s="11">
        <f t="shared" si="33"/>
        <v>3.7900000000000003E-2</v>
      </c>
    </row>
    <row r="2123" spans="1:3" x14ac:dyDescent="0.2">
      <c r="A2123" s="2">
        <v>45562</v>
      </c>
      <c r="B2123">
        <v>3.75</v>
      </c>
      <c r="C2123" s="11">
        <f t="shared" si="33"/>
        <v>3.7499999999999999E-2</v>
      </c>
    </row>
    <row r="2124" spans="1:3" x14ac:dyDescent="0.2">
      <c r="A2124" s="2">
        <v>45565</v>
      </c>
      <c r="B2124">
        <v>3.81</v>
      </c>
      <c r="C2124" s="11">
        <f t="shared" si="33"/>
        <v>3.8100000000000002E-2</v>
      </c>
    </row>
    <row r="2125" spans="1:3" x14ac:dyDescent="0.2">
      <c r="A2125" s="2">
        <v>45566</v>
      </c>
      <c r="B2125">
        <v>3.74</v>
      </c>
      <c r="C2125" s="11">
        <f t="shared" si="33"/>
        <v>3.7400000000000003E-2</v>
      </c>
    </row>
    <row r="2126" spans="1:3" x14ac:dyDescent="0.2">
      <c r="A2126" s="2">
        <v>45567</v>
      </c>
      <c r="B2126">
        <v>3.79</v>
      </c>
      <c r="C2126" s="11">
        <f t="shared" si="33"/>
        <v>3.7900000000000003E-2</v>
      </c>
    </row>
    <row r="2127" spans="1:3" x14ac:dyDescent="0.2">
      <c r="A2127" s="2">
        <v>45568</v>
      </c>
      <c r="B2127">
        <v>3.85</v>
      </c>
      <c r="C2127" s="11">
        <f t="shared" si="33"/>
        <v>3.85E-2</v>
      </c>
    </row>
    <row r="2128" spans="1:3" x14ac:dyDescent="0.2">
      <c r="A2128" s="2">
        <v>45569</v>
      </c>
      <c r="B2128">
        <v>3.98</v>
      </c>
      <c r="C2128" s="11">
        <f t="shared" si="33"/>
        <v>3.9800000000000002E-2</v>
      </c>
    </row>
    <row r="2129" spans="1:3" x14ac:dyDescent="0.2">
      <c r="A2129" s="2">
        <v>45572</v>
      </c>
      <c r="B2129">
        <v>4.03</v>
      </c>
      <c r="C2129" s="11">
        <f t="shared" si="33"/>
        <v>4.0300000000000002E-2</v>
      </c>
    </row>
    <row r="2130" spans="1:3" x14ac:dyDescent="0.2">
      <c r="A2130" s="2">
        <v>45573</v>
      </c>
      <c r="B2130">
        <v>4.04</v>
      </c>
      <c r="C2130" s="11">
        <f t="shared" si="33"/>
        <v>4.0399999999999998E-2</v>
      </c>
    </row>
    <row r="2131" spans="1:3" x14ac:dyDescent="0.2">
      <c r="A2131" s="2">
        <v>45574</v>
      </c>
      <c r="B2131">
        <v>4.0599999999999996</v>
      </c>
      <c r="C2131" s="11">
        <f t="shared" si="33"/>
        <v>4.0599999999999997E-2</v>
      </c>
    </row>
    <row r="2132" spans="1:3" x14ac:dyDescent="0.2">
      <c r="A2132" s="2">
        <v>45575</v>
      </c>
      <c r="B2132">
        <v>4.09</v>
      </c>
      <c r="C2132" s="11">
        <f t="shared" si="33"/>
        <v>4.0899999999999999E-2</v>
      </c>
    </row>
    <row r="2133" spans="1:3" x14ac:dyDescent="0.2">
      <c r="A2133" s="2">
        <v>45576</v>
      </c>
      <c r="B2133">
        <v>4.08</v>
      </c>
      <c r="C2133" s="11">
        <f t="shared" si="33"/>
        <v>4.0800000000000003E-2</v>
      </c>
    </row>
    <row r="2134" spans="1:3" x14ac:dyDescent="0.2">
      <c r="A2134" s="2">
        <v>45580</v>
      </c>
      <c r="B2134">
        <v>4.03</v>
      </c>
      <c r="C2134" s="11">
        <f t="shared" si="33"/>
        <v>4.0300000000000002E-2</v>
      </c>
    </row>
    <row r="2135" spans="1:3" x14ac:dyDescent="0.2">
      <c r="A2135" s="2">
        <v>45581</v>
      </c>
      <c r="B2135">
        <v>4.0199999999999996</v>
      </c>
      <c r="C2135" s="11">
        <f t="shared" si="33"/>
        <v>4.0199999999999993E-2</v>
      </c>
    </row>
    <row r="2136" spans="1:3" x14ac:dyDescent="0.2">
      <c r="A2136" s="2">
        <v>45582</v>
      </c>
      <c r="B2136">
        <v>4.09</v>
      </c>
      <c r="C2136" s="11">
        <f t="shared" si="33"/>
        <v>4.0899999999999999E-2</v>
      </c>
    </row>
    <row r="2137" spans="1:3" x14ac:dyDescent="0.2">
      <c r="A2137" s="2">
        <v>45583</v>
      </c>
      <c r="B2137">
        <v>4.08</v>
      </c>
      <c r="C2137" s="11">
        <f t="shared" si="33"/>
        <v>4.0800000000000003E-2</v>
      </c>
    </row>
    <row r="2138" spans="1:3" x14ac:dyDescent="0.2">
      <c r="A2138" s="2">
        <v>45586</v>
      </c>
      <c r="B2138">
        <v>4.1900000000000004</v>
      </c>
      <c r="C2138" s="11">
        <f t="shared" si="33"/>
        <v>4.1900000000000007E-2</v>
      </c>
    </row>
    <row r="2139" spans="1:3" x14ac:dyDescent="0.2">
      <c r="A2139" s="2">
        <v>45587</v>
      </c>
      <c r="B2139">
        <v>4.2</v>
      </c>
      <c r="C2139" s="11">
        <f t="shared" si="33"/>
        <v>4.2000000000000003E-2</v>
      </c>
    </row>
    <row r="2140" spans="1:3" x14ac:dyDescent="0.2">
      <c r="A2140" s="2">
        <v>45588</v>
      </c>
      <c r="B2140">
        <v>4.24</v>
      </c>
      <c r="C2140" s="11">
        <f t="shared" si="33"/>
        <v>4.24E-2</v>
      </c>
    </row>
    <row r="2141" spans="1:3" x14ac:dyDescent="0.2">
      <c r="A2141" s="2">
        <v>45589</v>
      </c>
      <c r="B2141">
        <v>4.21</v>
      </c>
      <c r="C2141" s="11">
        <f t="shared" si="33"/>
        <v>4.2099999999999999E-2</v>
      </c>
    </row>
    <row r="2142" spans="1:3" x14ac:dyDescent="0.2">
      <c r="A2142" s="2">
        <v>45590</v>
      </c>
      <c r="B2142">
        <v>4.25</v>
      </c>
      <c r="C2142" s="11">
        <f t="shared" si="33"/>
        <v>4.2500000000000003E-2</v>
      </c>
    </row>
    <row r="2143" spans="1:3" x14ac:dyDescent="0.2">
      <c r="A2143" s="2">
        <v>45593</v>
      </c>
      <c r="B2143">
        <v>4.28</v>
      </c>
      <c r="C2143" s="11">
        <f t="shared" si="33"/>
        <v>4.2800000000000005E-2</v>
      </c>
    </row>
    <row r="2144" spans="1:3" x14ac:dyDescent="0.2">
      <c r="A2144" s="2">
        <v>45594</v>
      </c>
      <c r="B2144">
        <v>4.28</v>
      </c>
      <c r="C2144" s="11">
        <f t="shared" si="33"/>
        <v>4.2800000000000005E-2</v>
      </c>
    </row>
    <row r="2145" spans="1:3" x14ac:dyDescent="0.2">
      <c r="A2145" s="2">
        <v>45595</v>
      </c>
      <c r="B2145">
        <v>4.29</v>
      </c>
      <c r="C2145" s="11">
        <f t="shared" si="33"/>
        <v>4.2900000000000001E-2</v>
      </c>
    </row>
    <row r="2146" spans="1:3" x14ac:dyDescent="0.2">
      <c r="A2146" s="2">
        <v>45596</v>
      </c>
      <c r="B2146">
        <v>4.28</v>
      </c>
      <c r="C2146" s="11">
        <f t="shared" si="33"/>
        <v>4.2800000000000005E-2</v>
      </c>
    </row>
    <row r="2147" spans="1:3" x14ac:dyDescent="0.2">
      <c r="A2147" s="2">
        <v>45597</v>
      </c>
      <c r="B2147">
        <v>4.37</v>
      </c>
      <c r="C2147" s="11">
        <f t="shared" si="33"/>
        <v>4.3700000000000003E-2</v>
      </c>
    </row>
    <row r="2148" spans="1:3" x14ac:dyDescent="0.2">
      <c r="A2148" s="2">
        <v>45600</v>
      </c>
      <c r="B2148">
        <v>4.3099999999999996</v>
      </c>
      <c r="C2148" s="11">
        <f t="shared" si="33"/>
        <v>4.3099999999999999E-2</v>
      </c>
    </row>
    <row r="2149" spans="1:3" x14ac:dyDescent="0.2">
      <c r="A2149" s="2">
        <v>45601</v>
      </c>
      <c r="B2149">
        <v>4.26</v>
      </c>
      <c r="C2149" s="11">
        <f t="shared" si="33"/>
        <v>4.2599999999999999E-2</v>
      </c>
    </row>
    <row r="2150" spans="1:3" x14ac:dyDescent="0.2">
      <c r="A2150" s="2">
        <v>45602</v>
      </c>
      <c r="B2150">
        <v>4.42</v>
      </c>
      <c r="C2150" s="11">
        <f t="shared" si="33"/>
        <v>4.4199999999999996E-2</v>
      </c>
    </row>
    <row r="2151" spans="1:3" x14ac:dyDescent="0.2">
      <c r="A2151" s="2">
        <v>45603</v>
      </c>
      <c r="B2151">
        <v>4.3099999999999996</v>
      </c>
      <c r="C2151" s="11">
        <f t="shared" si="33"/>
        <v>4.3099999999999999E-2</v>
      </c>
    </row>
    <row r="2152" spans="1:3" x14ac:dyDescent="0.2">
      <c r="A2152" s="2">
        <v>45604</v>
      </c>
      <c r="B2152">
        <v>4.3</v>
      </c>
      <c r="C2152" s="11">
        <f t="shared" si="33"/>
        <v>4.2999999999999997E-2</v>
      </c>
    </row>
    <row r="2153" spans="1:3" x14ac:dyDescent="0.2">
      <c r="A2153" s="2">
        <v>45608</v>
      </c>
      <c r="B2153">
        <v>4.43</v>
      </c>
      <c r="C2153" s="11">
        <f t="shared" si="33"/>
        <v>4.4299999999999999E-2</v>
      </c>
    </row>
    <row r="2154" spans="1:3" x14ac:dyDescent="0.2">
      <c r="A2154" s="2">
        <v>45609</v>
      </c>
      <c r="B2154">
        <v>4.4400000000000004</v>
      </c>
      <c r="C2154" s="11">
        <f t="shared" si="33"/>
        <v>4.4400000000000002E-2</v>
      </c>
    </row>
    <row r="2155" spans="1:3" x14ac:dyDescent="0.2">
      <c r="A2155" s="2">
        <v>45610</v>
      </c>
      <c r="B2155">
        <v>4.43</v>
      </c>
      <c r="C2155" s="11">
        <f t="shared" si="33"/>
        <v>4.4299999999999999E-2</v>
      </c>
    </row>
    <row r="2156" spans="1:3" x14ac:dyDescent="0.2">
      <c r="A2156" s="2">
        <v>45611</v>
      </c>
      <c r="B2156">
        <v>4.43</v>
      </c>
      <c r="C2156" s="11">
        <f t="shared" si="33"/>
        <v>4.4299999999999999E-2</v>
      </c>
    </row>
    <row r="2157" spans="1:3" x14ac:dyDescent="0.2">
      <c r="A2157" s="2">
        <v>45614</v>
      </c>
      <c r="B2157">
        <v>4.42</v>
      </c>
      <c r="C2157" s="11">
        <f t="shared" si="33"/>
        <v>4.4199999999999996E-2</v>
      </c>
    </row>
    <row r="2158" spans="1:3" x14ac:dyDescent="0.2">
      <c r="A2158" s="2">
        <v>45615</v>
      </c>
      <c r="B2158">
        <v>4.3899999999999997</v>
      </c>
      <c r="C2158" s="11">
        <f t="shared" si="33"/>
        <v>4.3899999999999995E-2</v>
      </c>
    </row>
    <row r="2159" spans="1:3" x14ac:dyDescent="0.2">
      <c r="A2159" s="2">
        <v>45616</v>
      </c>
      <c r="B2159">
        <v>4.41</v>
      </c>
      <c r="C2159" s="11">
        <f t="shared" si="33"/>
        <v>4.41E-2</v>
      </c>
    </row>
    <row r="2160" spans="1:3" x14ac:dyDescent="0.2">
      <c r="A2160" s="2">
        <v>45617</v>
      </c>
      <c r="B2160">
        <v>4.43</v>
      </c>
      <c r="C2160" s="11">
        <f t="shared" si="33"/>
        <v>4.4299999999999999E-2</v>
      </c>
    </row>
    <row r="2161" spans="1:3" x14ac:dyDescent="0.2">
      <c r="A2161" s="2">
        <v>45618</v>
      </c>
      <c r="B2161">
        <v>4.41</v>
      </c>
      <c r="C2161" s="11">
        <f t="shared" si="33"/>
        <v>4.41E-2</v>
      </c>
    </row>
    <row r="2162" spans="1:3" x14ac:dyDescent="0.2">
      <c r="A2162" s="2">
        <v>45621</v>
      </c>
      <c r="B2162">
        <v>4.2699999999999996</v>
      </c>
      <c r="C2162" s="11">
        <f t="shared" si="33"/>
        <v>4.2699999999999995E-2</v>
      </c>
    </row>
    <row r="2163" spans="1:3" x14ac:dyDescent="0.2">
      <c r="A2163" s="2">
        <v>45622</v>
      </c>
      <c r="B2163">
        <v>4.3</v>
      </c>
      <c r="C2163" s="11">
        <f t="shared" si="33"/>
        <v>4.2999999999999997E-2</v>
      </c>
    </row>
    <row r="2164" spans="1:3" x14ac:dyDescent="0.2">
      <c r="A2164" s="2">
        <v>45623</v>
      </c>
      <c r="B2164">
        <v>4.25</v>
      </c>
      <c r="C2164" s="11">
        <f t="shared" si="33"/>
        <v>4.2500000000000003E-2</v>
      </c>
    </row>
    <row r="2165" spans="1:3" x14ac:dyDescent="0.2">
      <c r="A2165" s="2">
        <v>45625</v>
      </c>
      <c r="B2165">
        <v>4.18</v>
      </c>
      <c r="C2165" s="11">
        <f t="shared" si="33"/>
        <v>4.1799999999999997E-2</v>
      </c>
    </row>
    <row r="2166" spans="1:3" x14ac:dyDescent="0.2">
      <c r="A2166" s="2">
        <v>45628</v>
      </c>
      <c r="B2166">
        <v>4.1900000000000004</v>
      </c>
      <c r="C2166" s="11">
        <f t="shared" si="33"/>
        <v>4.1900000000000007E-2</v>
      </c>
    </row>
    <row r="2167" spans="1:3" x14ac:dyDescent="0.2">
      <c r="A2167" s="2">
        <v>45629</v>
      </c>
      <c r="B2167">
        <v>4.2300000000000004</v>
      </c>
      <c r="C2167" s="11">
        <f t="shared" si="33"/>
        <v>4.2300000000000004E-2</v>
      </c>
    </row>
    <row r="2168" spans="1:3" x14ac:dyDescent="0.2">
      <c r="A2168" s="2">
        <v>45630</v>
      </c>
      <c r="B2168">
        <v>4.1900000000000004</v>
      </c>
      <c r="C2168" s="11">
        <f t="shared" si="33"/>
        <v>4.1900000000000007E-2</v>
      </c>
    </row>
    <row r="2169" spans="1:3" x14ac:dyDescent="0.2">
      <c r="A2169" s="2">
        <v>45631</v>
      </c>
      <c r="B2169">
        <v>4.17</v>
      </c>
      <c r="C2169" s="11">
        <f t="shared" si="33"/>
        <v>4.1700000000000001E-2</v>
      </c>
    </row>
    <row r="2170" spans="1:3" x14ac:dyDescent="0.2">
      <c r="A2170" s="2">
        <v>45632</v>
      </c>
      <c r="B2170">
        <v>4.1500000000000004</v>
      </c>
      <c r="C2170" s="11">
        <f t="shared" si="33"/>
        <v>4.1500000000000002E-2</v>
      </c>
    </row>
    <row r="2171" spans="1:3" x14ac:dyDescent="0.2">
      <c r="A2171" s="2">
        <v>45635</v>
      </c>
      <c r="B2171">
        <v>4.2</v>
      </c>
      <c r="C2171" s="11">
        <f t="shared" si="33"/>
        <v>4.2000000000000003E-2</v>
      </c>
    </row>
    <row r="2172" spans="1:3" x14ac:dyDescent="0.2">
      <c r="A2172" s="2">
        <v>45636</v>
      </c>
      <c r="B2172">
        <v>4.22</v>
      </c>
      <c r="C2172" s="11">
        <f t="shared" si="33"/>
        <v>4.2199999999999994E-2</v>
      </c>
    </row>
    <row r="2173" spans="1:3" x14ac:dyDescent="0.2">
      <c r="A2173" s="2">
        <v>45637</v>
      </c>
      <c r="B2173">
        <v>4.26</v>
      </c>
      <c r="C2173" s="11">
        <f t="shared" si="33"/>
        <v>4.2599999999999999E-2</v>
      </c>
    </row>
    <row r="2174" spans="1:3" x14ac:dyDescent="0.2">
      <c r="A2174" s="2">
        <v>45638</v>
      </c>
      <c r="B2174">
        <v>4.32</v>
      </c>
      <c r="C2174" s="11">
        <f t="shared" si="33"/>
        <v>4.3200000000000002E-2</v>
      </c>
    </row>
    <row r="2175" spans="1:3" x14ac:dyDescent="0.2">
      <c r="A2175" s="2">
        <v>45639</v>
      </c>
      <c r="B2175">
        <v>4.4000000000000004</v>
      </c>
      <c r="C2175" s="11">
        <f t="shared" si="33"/>
        <v>4.4000000000000004E-2</v>
      </c>
    </row>
    <row r="2176" spans="1:3" x14ac:dyDescent="0.2">
      <c r="A2176" s="2">
        <v>45642</v>
      </c>
      <c r="B2176">
        <v>4.3899999999999997</v>
      </c>
      <c r="C2176" s="11">
        <f t="shared" si="33"/>
        <v>4.3899999999999995E-2</v>
      </c>
    </row>
    <row r="2177" spans="1:3" x14ac:dyDescent="0.2">
      <c r="A2177" s="2">
        <v>45643</v>
      </c>
      <c r="B2177">
        <v>4.4000000000000004</v>
      </c>
      <c r="C2177" s="11">
        <f t="shared" si="33"/>
        <v>4.4000000000000004E-2</v>
      </c>
    </row>
    <row r="2178" spans="1:3" x14ac:dyDescent="0.2">
      <c r="A2178" s="2">
        <v>45644</v>
      </c>
      <c r="B2178">
        <v>4.5</v>
      </c>
      <c r="C2178" s="11">
        <f t="shared" si="33"/>
        <v>4.4999999999999998E-2</v>
      </c>
    </row>
    <row r="2179" spans="1:3" x14ac:dyDescent="0.2">
      <c r="A2179" s="2">
        <v>45645</v>
      </c>
      <c r="B2179">
        <v>4.57</v>
      </c>
      <c r="C2179" s="11">
        <f t="shared" ref="C2179:C2242" si="34">B2179/100</f>
        <v>4.5700000000000005E-2</v>
      </c>
    </row>
    <row r="2180" spans="1:3" x14ac:dyDescent="0.2">
      <c r="A2180" s="2">
        <v>45646</v>
      </c>
      <c r="B2180">
        <v>4.5199999999999996</v>
      </c>
      <c r="C2180" s="11">
        <f t="shared" si="34"/>
        <v>4.5199999999999997E-2</v>
      </c>
    </row>
    <row r="2181" spans="1:3" x14ac:dyDescent="0.2">
      <c r="A2181" s="2">
        <v>45649</v>
      </c>
      <c r="B2181">
        <v>4.59</v>
      </c>
      <c r="C2181" s="11">
        <f t="shared" si="34"/>
        <v>4.5899999999999996E-2</v>
      </c>
    </row>
    <row r="2182" spans="1:3" x14ac:dyDescent="0.2">
      <c r="A2182" s="2">
        <v>45650</v>
      </c>
      <c r="B2182">
        <v>4.59</v>
      </c>
      <c r="C2182" s="11">
        <f t="shared" si="34"/>
        <v>4.5899999999999996E-2</v>
      </c>
    </row>
    <row r="2183" spans="1:3" x14ac:dyDescent="0.2">
      <c r="A2183" s="2">
        <v>45652</v>
      </c>
      <c r="B2183">
        <v>4.58</v>
      </c>
      <c r="C2183" s="11">
        <f t="shared" si="34"/>
        <v>4.58E-2</v>
      </c>
    </row>
    <row r="2184" spans="1:3" x14ac:dyDescent="0.2">
      <c r="A2184" s="2">
        <v>45653</v>
      </c>
      <c r="B2184">
        <v>4.62</v>
      </c>
      <c r="C2184" s="11">
        <f t="shared" si="34"/>
        <v>4.6199999999999998E-2</v>
      </c>
    </row>
    <row r="2185" spans="1:3" x14ac:dyDescent="0.2">
      <c r="A2185" s="2">
        <v>45656</v>
      </c>
      <c r="B2185">
        <v>4.55</v>
      </c>
      <c r="C2185" s="11">
        <f t="shared" si="34"/>
        <v>4.5499999999999999E-2</v>
      </c>
    </row>
    <row r="2186" spans="1:3" x14ac:dyDescent="0.2">
      <c r="A2186" s="2">
        <v>45657</v>
      </c>
      <c r="B2186">
        <v>4.58</v>
      </c>
      <c r="C2186" s="11">
        <f t="shared" si="34"/>
        <v>4.58E-2</v>
      </c>
    </row>
    <row r="2187" spans="1:3" x14ac:dyDescent="0.2">
      <c r="A2187" s="2">
        <v>45659</v>
      </c>
      <c r="B2187">
        <v>4.57</v>
      </c>
      <c r="C2187" s="11">
        <f t="shared" si="34"/>
        <v>4.5700000000000005E-2</v>
      </c>
    </row>
    <row r="2188" spans="1:3" x14ac:dyDescent="0.2">
      <c r="A2188" s="2">
        <v>45660</v>
      </c>
      <c r="B2188">
        <v>4.5999999999999996</v>
      </c>
      <c r="C2188" s="11">
        <f t="shared" si="34"/>
        <v>4.5999999999999999E-2</v>
      </c>
    </row>
    <row r="2189" spans="1:3" x14ac:dyDescent="0.2">
      <c r="A2189" s="2">
        <v>45663</v>
      </c>
      <c r="B2189">
        <v>4.62</v>
      </c>
      <c r="C2189" s="11">
        <f t="shared" si="34"/>
        <v>4.6199999999999998E-2</v>
      </c>
    </row>
    <row r="2190" spans="1:3" x14ac:dyDescent="0.2">
      <c r="A2190" s="2">
        <v>45664</v>
      </c>
      <c r="B2190">
        <v>4.67</v>
      </c>
      <c r="C2190" s="11">
        <f t="shared" si="34"/>
        <v>4.6699999999999998E-2</v>
      </c>
    </row>
    <row r="2191" spans="1:3" x14ac:dyDescent="0.2">
      <c r="A2191" s="2">
        <v>45665</v>
      </c>
      <c r="B2191">
        <v>4.67</v>
      </c>
      <c r="C2191" s="11">
        <f t="shared" si="34"/>
        <v>4.6699999999999998E-2</v>
      </c>
    </row>
    <row r="2192" spans="1:3" x14ac:dyDescent="0.2">
      <c r="A2192" s="2">
        <v>45666</v>
      </c>
      <c r="B2192">
        <v>4.68</v>
      </c>
      <c r="C2192" s="11">
        <f t="shared" si="34"/>
        <v>4.6799999999999994E-2</v>
      </c>
    </row>
    <row r="2193" spans="1:3" x14ac:dyDescent="0.2">
      <c r="A2193" s="2">
        <v>45667</v>
      </c>
      <c r="B2193">
        <v>4.7699999999999996</v>
      </c>
      <c r="C2193" s="11">
        <f t="shared" si="34"/>
        <v>4.7699999999999992E-2</v>
      </c>
    </row>
    <row r="2194" spans="1:3" x14ac:dyDescent="0.2">
      <c r="A2194" s="2">
        <v>45670</v>
      </c>
      <c r="B2194">
        <v>4.79</v>
      </c>
      <c r="C2194" s="11">
        <f t="shared" si="34"/>
        <v>4.7899999999999998E-2</v>
      </c>
    </row>
    <row r="2195" spans="1:3" x14ac:dyDescent="0.2">
      <c r="A2195" s="2">
        <v>45671</v>
      </c>
      <c r="B2195">
        <v>4.78</v>
      </c>
      <c r="C2195" s="11">
        <f t="shared" si="34"/>
        <v>4.7800000000000002E-2</v>
      </c>
    </row>
    <row r="2196" spans="1:3" x14ac:dyDescent="0.2">
      <c r="A2196" s="2">
        <v>45672</v>
      </c>
      <c r="B2196">
        <v>4.66</v>
      </c>
      <c r="C2196" s="11">
        <f t="shared" si="34"/>
        <v>4.6600000000000003E-2</v>
      </c>
    </row>
    <row r="2197" spans="1:3" x14ac:dyDescent="0.2">
      <c r="A2197" s="2">
        <v>45673</v>
      </c>
      <c r="B2197">
        <v>4.6100000000000003</v>
      </c>
      <c r="C2197" s="11">
        <f t="shared" si="34"/>
        <v>4.6100000000000002E-2</v>
      </c>
    </row>
    <row r="2198" spans="1:3" x14ac:dyDescent="0.2">
      <c r="A2198" s="2">
        <v>45674</v>
      </c>
      <c r="B2198">
        <v>4.6100000000000003</v>
      </c>
      <c r="C2198" s="11">
        <f t="shared" si="34"/>
        <v>4.6100000000000002E-2</v>
      </c>
    </row>
    <row r="2199" spans="1:3" x14ac:dyDescent="0.2">
      <c r="A2199" s="2">
        <v>45678</v>
      </c>
      <c r="B2199">
        <v>4.57</v>
      </c>
      <c r="C2199" s="11">
        <f t="shared" si="34"/>
        <v>4.5700000000000005E-2</v>
      </c>
    </row>
    <row r="2200" spans="1:3" x14ac:dyDescent="0.2">
      <c r="A2200" s="2">
        <v>45679</v>
      </c>
      <c r="B2200">
        <v>4.5999999999999996</v>
      </c>
      <c r="C2200" s="11">
        <f t="shared" si="34"/>
        <v>4.5999999999999999E-2</v>
      </c>
    </row>
    <row r="2201" spans="1:3" x14ac:dyDescent="0.2">
      <c r="A2201" s="2">
        <v>45680</v>
      </c>
      <c r="B2201">
        <v>4.6500000000000004</v>
      </c>
      <c r="C2201" s="11">
        <f t="shared" si="34"/>
        <v>4.6500000000000007E-2</v>
      </c>
    </row>
    <row r="2202" spans="1:3" x14ac:dyDescent="0.2">
      <c r="A2202" s="2">
        <v>45681</v>
      </c>
      <c r="B2202">
        <v>4.63</v>
      </c>
      <c r="C2202" s="11">
        <f t="shared" si="34"/>
        <v>4.6300000000000001E-2</v>
      </c>
    </row>
    <row r="2203" spans="1:3" x14ac:dyDescent="0.2">
      <c r="A2203" s="2">
        <v>45684</v>
      </c>
      <c r="B2203">
        <v>4.53</v>
      </c>
      <c r="C2203" s="11">
        <f t="shared" si="34"/>
        <v>4.53E-2</v>
      </c>
    </row>
    <row r="2204" spans="1:3" x14ac:dyDescent="0.2">
      <c r="A2204" s="2">
        <v>45685</v>
      </c>
      <c r="B2204">
        <v>4.55</v>
      </c>
      <c r="C2204" s="11">
        <f t="shared" si="34"/>
        <v>4.5499999999999999E-2</v>
      </c>
    </row>
    <row r="2205" spans="1:3" x14ac:dyDescent="0.2">
      <c r="A2205" s="2">
        <v>45686</v>
      </c>
      <c r="B2205">
        <v>4.55</v>
      </c>
      <c r="C2205" s="11">
        <f t="shared" si="34"/>
        <v>4.5499999999999999E-2</v>
      </c>
    </row>
    <row r="2206" spans="1:3" x14ac:dyDescent="0.2">
      <c r="A2206" s="2">
        <v>45687</v>
      </c>
      <c r="B2206">
        <v>4.5199999999999996</v>
      </c>
      <c r="C2206" s="11">
        <f t="shared" si="34"/>
        <v>4.5199999999999997E-2</v>
      </c>
    </row>
    <row r="2207" spans="1:3" x14ac:dyDescent="0.2">
      <c r="A2207" s="2">
        <v>45688</v>
      </c>
      <c r="B2207">
        <v>4.58</v>
      </c>
      <c r="C2207" s="11">
        <f t="shared" si="34"/>
        <v>4.58E-2</v>
      </c>
    </row>
    <row r="2208" spans="1:3" x14ac:dyDescent="0.2">
      <c r="A2208" s="2">
        <v>45691</v>
      </c>
      <c r="B2208">
        <v>4.54</v>
      </c>
      <c r="C2208" s="11">
        <f t="shared" si="34"/>
        <v>4.5400000000000003E-2</v>
      </c>
    </row>
    <row r="2209" spans="1:3" x14ac:dyDescent="0.2">
      <c r="A2209" s="2">
        <v>45692</v>
      </c>
      <c r="B2209">
        <v>4.5199999999999996</v>
      </c>
      <c r="C2209" s="11">
        <f t="shared" si="34"/>
        <v>4.5199999999999997E-2</v>
      </c>
    </row>
    <row r="2210" spans="1:3" x14ac:dyDescent="0.2">
      <c r="A2210" s="2">
        <v>45693</v>
      </c>
      <c r="B2210">
        <v>4.43</v>
      </c>
      <c r="C2210" s="11">
        <f t="shared" si="34"/>
        <v>4.4299999999999999E-2</v>
      </c>
    </row>
    <row r="2211" spans="1:3" x14ac:dyDescent="0.2">
      <c r="A2211" s="2">
        <v>45694</v>
      </c>
      <c r="B2211">
        <v>4.45</v>
      </c>
      <c r="C2211" s="11">
        <f t="shared" si="34"/>
        <v>4.4500000000000005E-2</v>
      </c>
    </row>
    <row r="2212" spans="1:3" x14ac:dyDescent="0.2">
      <c r="A2212" s="2">
        <v>45695</v>
      </c>
      <c r="B2212">
        <v>4.49</v>
      </c>
      <c r="C2212" s="11">
        <f t="shared" si="34"/>
        <v>4.4900000000000002E-2</v>
      </c>
    </row>
    <row r="2213" spans="1:3" x14ac:dyDescent="0.2">
      <c r="A2213" s="2">
        <v>45698</v>
      </c>
      <c r="B2213">
        <v>4.51</v>
      </c>
      <c r="C2213" s="11">
        <f t="shared" si="34"/>
        <v>4.5100000000000001E-2</v>
      </c>
    </row>
    <row r="2214" spans="1:3" x14ac:dyDescent="0.2">
      <c r="A2214" s="2">
        <v>45699</v>
      </c>
      <c r="B2214">
        <v>4.54</v>
      </c>
      <c r="C2214" s="11">
        <f t="shared" si="34"/>
        <v>4.5400000000000003E-2</v>
      </c>
    </row>
    <row r="2215" spans="1:3" x14ac:dyDescent="0.2">
      <c r="A2215" s="2">
        <v>45700</v>
      </c>
      <c r="B2215">
        <v>4.62</v>
      </c>
      <c r="C2215" s="11">
        <f t="shared" si="34"/>
        <v>4.6199999999999998E-2</v>
      </c>
    </row>
    <row r="2216" spans="1:3" x14ac:dyDescent="0.2">
      <c r="A2216" s="2">
        <v>45701</v>
      </c>
      <c r="B2216">
        <v>4.5199999999999996</v>
      </c>
      <c r="C2216" s="11">
        <f t="shared" si="34"/>
        <v>4.5199999999999997E-2</v>
      </c>
    </row>
    <row r="2217" spans="1:3" x14ac:dyDescent="0.2">
      <c r="A2217" s="2">
        <v>45702</v>
      </c>
      <c r="B2217">
        <v>4.47</v>
      </c>
      <c r="C2217" s="11">
        <f t="shared" si="34"/>
        <v>4.4699999999999997E-2</v>
      </c>
    </row>
    <row r="2218" spans="1:3" x14ac:dyDescent="0.2">
      <c r="A2218" s="2">
        <v>45706</v>
      </c>
      <c r="B2218">
        <v>4.55</v>
      </c>
      <c r="C2218" s="11">
        <f t="shared" si="34"/>
        <v>4.5499999999999999E-2</v>
      </c>
    </row>
    <row r="2219" spans="1:3" x14ac:dyDescent="0.2">
      <c r="A2219" s="2">
        <v>45707</v>
      </c>
      <c r="B2219">
        <v>4.53</v>
      </c>
      <c r="C2219" s="11">
        <f t="shared" si="34"/>
        <v>4.53E-2</v>
      </c>
    </row>
    <row r="2220" spans="1:3" x14ac:dyDescent="0.2">
      <c r="A2220" s="2">
        <v>45708</v>
      </c>
      <c r="B2220">
        <v>4.5</v>
      </c>
      <c r="C2220" s="11">
        <f t="shared" si="34"/>
        <v>4.4999999999999998E-2</v>
      </c>
    </row>
    <row r="2221" spans="1:3" x14ac:dyDescent="0.2">
      <c r="A2221" s="2">
        <v>45709</v>
      </c>
      <c r="B2221">
        <v>4.42</v>
      </c>
      <c r="C2221" s="11">
        <f t="shared" si="34"/>
        <v>4.4199999999999996E-2</v>
      </c>
    </row>
    <row r="2222" spans="1:3" x14ac:dyDescent="0.2">
      <c r="A2222" s="2">
        <v>45712</v>
      </c>
      <c r="B2222">
        <v>4.4000000000000004</v>
      </c>
      <c r="C2222" s="11">
        <f t="shared" si="34"/>
        <v>4.4000000000000004E-2</v>
      </c>
    </row>
    <row r="2223" spans="1:3" x14ac:dyDescent="0.2">
      <c r="A2223" s="2">
        <v>45713</v>
      </c>
      <c r="B2223">
        <v>4.3</v>
      </c>
      <c r="C2223" s="11">
        <f t="shared" si="34"/>
        <v>4.2999999999999997E-2</v>
      </c>
    </row>
    <row r="2224" spans="1:3" x14ac:dyDescent="0.2">
      <c r="A2224" s="2">
        <v>45714</v>
      </c>
      <c r="B2224">
        <v>4.25</v>
      </c>
      <c r="C2224" s="11">
        <f t="shared" si="34"/>
        <v>4.2500000000000003E-2</v>
      </c>
    </row>
    <row r="2225" spans="1:3" x14ac:dyDescent="0.2">
      <c r="A2225" s="2">
        <v>45715</v>
      </c>
      <c r="B2225">
        <v>4.29</v>
      </c>
      <c r="C2225" s="11">
        <f t="shared" si="34"/>
        <v>4.2900000000000001E-2</v>
      </c>
    </row>
    <row r="2226" spans="1:3" x14ac:dyDescent="0.2">
      <c r="A2226" s="2">
        <v>45716</v>
      </c>
      <c r="B2226">
        <v>4.24</v>
      </c>
      <c r="C2226" s="11">
        <f t="shared" si="34"/>
        <v>4.24E-2</v>
      </c>
    </row>
    <row r="2227" spans="1:3" x14ac:dyDescent="0.2">
      <c r="A2227" s="2">
        <v>45719</v>
      </c>
      <c r="B2227">
        <v>4.16</v>
      </c>
      <c r="C2227" s="11">
        <f t="shared" si="34"/>
        <v>4.1599999999999998E-2</v>
      </c>
    </row>
    <row r="2228" spans="1:3" x14ac:dyDescent="0.2">
      <c r="A2228" s="2">
        <v>45720</v>
      </c>
      <c r="B2228">
        <v>4.22</v>
      </c>
      <c r="C2228" s="11">
        <f t="shared" si="34"/>
        <v>4.2199999999999994E-2</v>
      </c>
    </row>
    <row r="2229" spans="1:3" x14ac:dyDescent="0.2">
      <c r="A2229" s="2">
        <v>45721</v>
      </c>
      <c r="B2229">
        <v>4.28</v>
      </c>
      <c r="C2229" s="11">
        <f t="shared" si="34"/>
        <v>4.2800000000000005E-2</v>
      </c>
    </row>
    <row r="2230" spans="1:3" x14ac:dyDescent="0.2">
      <c r="A2230" s="2">
        <v>45722</v>
      </c>
      <c r="B2230">
        <v>4.29</v>
      </c>
      <c r="C2230" s="11">
        <f t="shared" si="34"/>
        <v>4.2900000000000001E-2</v>
      </c>
    </row>
    <row r="2231" spans="1:3" x14ac:dyDescent="0.2">
      <c r="A2231" s="2">
        <v>45723</v>
      </c>
      <c r="B2231">
        <v>4.32</v>
      </c>
      <c r="C2231" s="11">
        <f t="shared" si="34"/>
        <v>4.3200000000000002E-2</v>
      </c>
    </row>
    <row r="2232" spans="1:3" x14ac:dyDescent="0.2">
      <c r="A2232" s="2">
        <v>45726</v>
      </c>
      <c r="B2232">
        <v>4.22</v>
      </c>
      <c r="C2232" s="11">
        <f t="shared" si="34"/>
        <v>4.2199999999999994E-2</v>
      </c>
    </row>
    <row r="2233" spans="1:3" x14ac:dyDescent="0.2">
      <c r="A2233" s="2">
        <v>45727</v>
      </c>
      <c r="B2233">
        <v>4.28</v>
      </c>
      <c r="C2233" s="11">
        <f t="shared" si="34"/>
        <v>4.2800000000000005E-2</v>
      </c>
    </row>
    <row r="2234" spans="1:3" x14ac:dyDescent="0.2">
      <c r="A2234" s="2">
        <v>45728</v>
      </c>
      <c r="B2234">
        <v>4.32</v>
      </c>
      <c r="C2234" s="11">
        <f t="shared" si="34"/>
        <v>4.3200000000000002E-2</v>
      </c>
    </row>
    <row r="2235" spans="1:3" x14ac:dyDescent="0.2">
      <c r="A2235" s="2">
        <v>45729</v>
      </c>
      <c r="B2235">
        <v>4.2699999999999996</v>
      </c>
      <c r="C2235" s="11">
        <f t="shared" si="34"/>
        <v>4.2699999999999995E-2</v>
      </c>
    </row>
    <row r="2236" spans="1:3" x14ac:dyDescent="0.2">
      <c r="A2236" s="2">
        <v>45730</v>
      </c>
      <c r="B2236">
        <v>4.3099999999999996</v>
      </c>
      <c r="C2236" s="11">
        <f t="shared" si="34"/>
        <v>4.3099999999999999E-2</v>
      </c>
    </row>
    <row r="2237" spans="1:3" x14ac:dyDescent="0.2">
      <c r="A2237" s="2">
        <v>45733</v>
      </c>
      <c r="B2237">
        <v>4.3099999999999996</v>
      </c>
      <c r="C2237" s="11">
        <f t="shared" si="34"/>
        <v>4.3099999999999999E-2</v>
      </c>
    </row>
    <row r="2238" spans="1:3" x14ac:dyDescent="0.2">
      <c r="A2238" s="2">
        <v>45734</v>
      </c>
      <c r="B2238">
        <v>4.29</v>
      </c>
      <c r="C2238" s="11">
        <f t="shared" si="34"/>
        <v>4.2900000000000001E-2</v>
      </c>
    </row>
    <row r="2239" spans="1:3" x14ac:dyDescent="0.2">
      <c r="A2239" s="2">
        <v>45735</v>
      </c>
      <c r="B2239">
        <v>4.25</v>
      </c>
      <c r="C2239" s="11">
        <f t="shared" si="34"/>
        <v>4.2500000000000003E-2</v>
      </c>
    </row>
    <row r="2240" spans="1:3" x14ac:dyDescent="0.2">
      <c r="A2240" s="2">
        <v>45736</v>
      </c>
      <c r="B2240">
        <v>4.24</v>
      </c>
      <c r="C2240" s="11">
        <f t="shared" si="34"/>
        <v>4.24E-2</v>
      </c>
    </row>
    <row r="2241" spans="1:3" x14ac:dyDescent="0.2">
      <c r="A2241" s="2">
        <v>45737</v>
      </c>
      <c r="B2241">
        <v>4.25</v>
      </c>
      <c r="C2241" s="11">
        <f t="shared" si="34"/>
        <v>4.2500000000000003E-2</v>
      </c>
    </row>
    <row r="2242" spans="1:3" x14ac:dyDescent="0.2">
      <c r="A2242" s="2">
        <v>45740</v>
      </c>
      <c r="B2242">
        <v>4.34</v>
      </c>
      <c r="C2242" s="11">
        <f t="shared" si="34"/>
        <v>4.3400000000000001E-2</v>
      </c>
    </row>
    <row r="2243" spans="1:3" x14ac:dyDescent="0.2">
      <c r="A2243" s="2">
        <v>45741</v>
      </c>
      <c r="B2243">
        <v>4.3099999999999996</v>
      </c>
      <c r="C2243" s="11">
        <f t="shared" ref="C2243:C2306" si="35">B2243/100</f>
        <v>4.3099999999999999E-2</v>
      </c>
    </row>
    <row r="2244" spans="1:3" x14ac:dyDescent="0.2">
      <c r="A2244" s="2">
        <v>45742</v>
      </c>
      <c r="B2244">
        <v>4.3499999999999996</v>
      </c>
      <c r="C2244" s="11">
        <f t="shared" si="35"/>
        <v>4.3499999999999997E-2</v>
      </c>
    </row>
    <row r="2245" spans="1:3" x14ac:dyDescent="0.2">
      <c r="A2245" s="2">
        <v>45743</v>
      </c>
      <c r="B2245">
        <v>4.38</v>
      </c>
      <c r="C2245" s="11">
        <f t="shared" si="35"/>
        <v>4.3799999999999999E-2</v>
      </c>
    </row>
    <row r="2246" spans="1:3" x14ac:dyDescent="0.2">
      <c r="A2246" s="2">
        <v>45744</v>
      </c>
      <c r="B2246">
        <v>4.2699999999999996</v>
      </c>
      <c r="C2246" s="11">
        <f t="shared" si="35"/>
        <v>4.2699999999999995E-2</v>
      </c>
    </row>
    <row r="2247" spans="1:3" x14ac:dyDescent="0.2">
      <c r="A2247" s="2">
        <v>45747</v>
      </c>
      <c r="B2247">
        <v>4.2300000000000004</v>
      </c>
      <c r="C2247" s="11">
        <f t="shared" si="35"/>
        <v>4.2300000000000004E-2</v>
      </c>
    </row>
    <row r="2248" spans="1:3" x14ac:dyDescent="0.2">
      <c r="A2248" s="2">
        <v>45748</v>
      </c>
      <c r="B2248">
        <v>4.17</v>
      </c>
      <c r="C2248" s="11">
        <f t="shared" si="35"/>
        <v>4.1700000000000001E-2</v>
      </c>
    </row>
    <row r="2249" spans="1:3" x14ac:dyDescent="0.2">
      <c r="A2249" s="2">
        <v>45749</v>
      </c>
      <c r="B2249">
        <v>4.2</v>
      </c>
      <c r="C2249" s="11">
        <f t="shared" si="35"/>
        <v>4.2000000000000003E-2</v>
      </c>
    </row>
    <row r="2250" spans="1:3" x14ac:dyDescent="0.2">
      <c r="A2250" s="2">
        <v>45750</v>
      </c>
      <c r="B2250">
        <v>4.0599999999999996</v>
      </c>
      <c r="C2250" s="11">
        <f t="shared" si="35"/>
        <v>4.0599999999999997E-2</v>
      </c>
    </row>
    <row r="2251" spans="1:3" x14ac:dyDescent="0.2">
      <c r="A2251" s="2">
        <v>45751</v>
      </c>
      <c r="B2251">
        <v>4.01</v>
      </c>
      <c r="C2251" s="11">
        <f t="shared" si="35"/>
        <v>4.0099999999999997E-2</v>
      </c>
    </row>
    <row r="2252" spans="1:3" x14ac:dyDescent="0.2">
      <c r="A2252" s="2">
        <v>45754</v>
      </c>
      <c r="B2252">
        <v>4.1500000000000004</v>
      </c>
      <c r="C2252" s="11">
        <f t="shared" si="35"/>
        <v>4.1500000000000002E-2</v>
      </c>
    </row>
    <row r="2253" spans="1:3" x14ac:dyDescent="0.2">
      <c r="A2253" s="2">
        <v>45755</v>
      </c>
      <c r="B2253">
        <v>4.26</v>
      </c>
      <c r="C2253" s="11">
        <f t="shared" si="35"/>
        <v>4.2599999999999999E-2</v>
      </c>
    </row>
    <row r="2254" spans="1:3" x14ac:dyDescent="0.2">
      <c r="A2254" s="2">
        <v>45756</v>
      </c>
      <c r="B2254">
        <v>4.34</v>
      </c>
      <c r="C2254" s="11">
        <f t="shared" si="35"/>
        <v>4.3400000000000001E-2</v>
      </c>
    </row>
    <row r="2255" spans="1:3" x14ac:dyDescent="0.2">
      <c r="A2255" s="2">
        <v>45757</v>
      </c>
      <c r="B2255">
        <v>4.4000000000000004</v>
      </c>
      <c r="C2255" s="11">
        <f t="shared" si="35"/>
        <v>4.4000000000000004E-2</v>
      </c>
    </row>
    <row r="2256" spans="1:3" x14ac:dyDescent="0.2">
      <c r="A2256" s="2">
        <v>45758</v>
      </c>
      <c r="B2256">
        <v>4.4800000000000004</v>
      </c>
      <c r="C2256" s="11">
        <f t="shared" si="35"/>
        <v>4.4800000000000006E-2</v>
      </c>
    </row>
    <row r="2257" spans="1:3" x14ac:dyDescent="0.2">
      <c r="A2257" s="2">
        <v>45761</v>
      </c>
      <c r="B2257">
        <v>4.38</v>
      </c>
      <c r="C2257" s="11">
        <f t="shared" si="35"/>
        <v>4.3799999999999999E-2</v>
      </c>
    </row>
    <row r="2258" spans="1:3" x14ac:dyDescent="0.2">
      <c r="A2258" s="2">
        <v>45762</v>
      </c>
      <c r="B2258">
        <v>4.3499999999999996</v>
      </c>
      <c r="C2258" s="11">
        <f t="shared" si="35"/>
        <v>4.3499999999999997E-2</v>
      </c>
    </row>
    <row r="2259" spans="1:3" x14ac:dyDescent="0.2">
      <c r="A2259" s="2">
        <v>45763</v>
      </c>
      <c r="B2259">
        <v>4.29</v>
      </c>
      <c r="C2259" s="11">
        <f t="shared" si="35"/>
        <v>4.2900000000000001E-2</v>
      </c>
    </row>
    <row r="2260" spans="1:3" x14ac:dyDescent="0.2">
      <c r="A2260" s="2">
        <v>45764</v>
      </c>
      <c r="B2260">
        <v>4.34</v>
      </c>
      <c r="C2260" s="11">
        <f t="shared" si="35"/>
        <v>4.3400000000000001E-2</v>
      </c>
    </row>
    <row r="2261" spans="1:3" x14ac:dyDescent="0.2">
      <c r="A2261" s="2">
        <v>45768</v>
      </c>
      <c r="B2261">
        <v>4.42</v>
      </c>
      <c r="C2261" s="11">
        <f t="shared" si="35"/>
        <v>4.4199999999999996E-2</v>
      </c>
    </row>
    <row r="2262" spans="1:3" x14ac:dyDescent="0.2">
      <c r="A2262" s="2">
        <v>45769</v>
      </c>
      <c r="B2262">
        <v>4.41</v>
      </c>
      <c r="C2262" s="11">
        <f t="shared" si="35"/>
        <v>4.41E-2</v>
      </c>
    </row>
    <row r="2263" spans="1:3" x14ac:dyDescent="0.2">
      <c r="A2263" s="2">
        <v>45770</v>
      </c>
      <c r="B2263">
        <v>4.4000000000000004</v>
      </c>
      <c r="C2263" s="11">
        <f t="shared" si="35"/>
        <v>4.4000000000000004E-2</v>
      </c>
    </row>
    <row r="2264" spans="1:3" x14ac:dyDescent="0.2">
      <c r="A2264" s="2">
        <v>45771</v>
      </c>
      <c r="B2264">
        <v>4.32</v>
      </c>
      <c r="C2264" s="11">
        <f t="shared" si="35"/>
        <v>4.3200000000000002E-2</v>
      </c>
    </row>
    <row r="2265" spans="1:3" x14ac:dyDescent="0.2">
      <c r="A2265" s="2">
        <v>45772</v>
      </c>
      <c r="B2265">
        <v>4.29</v>
      </c>
      <c r="C2265" s="11">
        <f t="shared" si="35"/>
        <v>4.2900000000000001E-2</v>
      </c>
    </row>
    <row r="2266" spans="1:3" x14ac:dyDescent="0.2">
      <c r="A2266" s="2">
        <v>45775</v>
      </c>
      <c r="B2266">
        <v>4.2300000000000004</v>
      </c>
      <c r="C2266" s="11">
        <f t="shared" si="35"/>
        <v>4.2300000000000004E-2</v>
      </c>
    </row>
    <row r="2267" spans="1:3" x14ac:dyDescent="0.2">
      <c r="A2267" s="2">
        <v>45776</v>
      </c>
      <c r="B2267">
        <v>4.1900000000000004</v>
      </c>
      <c r="C2267" s="11">
        <f t="shared" si="35"/>
        <v>4.1900000000000007E-2</v>
      </c>
    </row>
    <row r="2268" spans="1:3" x14ac:dyDescent="0.2">
      <c r="A2268" s="2">
        <v>45777</v>
      </c>
      <c r="B2268">
        <v>4.17</v>
      </c>
      <c r="C2268" s="11">
        <f t="shared" si="35"/>
        <v>4.1700000000000001E-2</v>
      </c>
    </row>
    <row r="2269" spans="1:3" x14ac:dyDescent="0.2">
      <c r="A2269" s="2">
        <v>45778</v>
      </c>
      <c r="B2269">
        <v>4.25</v>
      </c>
      <c r="C2269" s="11">
        <f t="shared" si="35"/>
        <v>4.2500000000000003E-2</v>
      </c>
    </row>
    <row r="2270" spans="1:3" x14ac:dyDescent="0.2">
      <c r="A2270" s="2">
        <v>45779</v>
      </c>
      <c r="B2270">
        <v>4.33</v>
      </c>
      <c r="C2270" s="11">
        <f t="shared" si="35"/>
        <v>4.3299999999999998E-2</v>
      </c>
    </row>
    <row r="2271" spans="1:3" x14ac:dyDescent="0.2">
      <c r="A2271" s="2">
        <v>45782</v>
      </c>
      <c r="B2271">
        <v>4.3600000000000003</v>
      </c>
      <c r="C2271" s="11">
        <f t="shared" si="35"/>
        <v>4.36E-2</v>
      </c>
    </row>
    <row r="2272" spans="1:3" x14ac:dyDescent="0.2">
      <c r="A2272" s="2">
        <v>45783</v>
      </c>
      <c r="B2272">
        <v>4.3</v>
      </c>
      <c r="C2272" s="11">
        <f t="shared" si="35"/>
        <v>4.2999999999999997E-2</v>
      </c>
    </row>
    <row r="2273" spans="1:3" x14ac:dyDescent="0.2">
      <c r="A2273" s="2">
        <v>45784</v>
      </c>
      <c r="B2273">
        <v>4.26</v>
      </c>
      <c r="C2273" s="11">
        <f t="shared" si="35"/>
        <v>4.2599999999999999E-2</v>
      </c>
    </row>
    <row r="2274" spans="1:3" x14ac:dyDescent="0.2">
      <c r="A2274" s="2">
        <v>45785</v>
      </c>
      <c r="B2274">
        <v>4.37</v>
      </c>
      <c r="C2274" s="11">
        <f t="shared" si="35"/>
        <v>4.3700000000000003E-2</v>
      </c>
    </row>
    <row r="2275" spans="1:3" x14ac:dyDescent="0.2">
      <c r="A2275" s="2">
        <v>45786</v>
      </c>
      <c r="B2275">
        <v>4.37</v>
      </c>
      <c r="C2275" s="11">
        <f t="shared" si="35"/>
        <v>4.3700000000000003E-2</v>
      </c>
    </row>
    <row r="2276" spans="1:3" x14ac:dyDescent="0.2">
      <c r="A2276" s="2">
        <v>45789</v>
      </c>
      <c r="B2276">
        <v>4.45</v>
      </c>
      <c r="C2276" s="11">
        <f t="shared" si="35"/>
        <v>4.4500000000000005E-2</v>
      </c>
    </row>
    <row r="2277" spans="1:3" x14ac:dyDescent="0.2">
      <c r="A2277" s="2">
        <v>45790</v>
      </c>
      <c r="B2277">
        <v>4.49</v>
      </c>
      <c r="C2277" s="11">
        <f t="shared" si="35"/>
        <v>4.4900000000000002E-2</v>
      </c>
    </row>
    <row r="2278" spans="1:3" x14ac:dyDescent="0.2">
      <c r="A2278" s="2">
        <v>45791</v>
      </c>
      <c r="B2278">
        <v>4.53</v>
      </c>
      <c r="C2278" s="11">
        <f t="shared" si="35"/>
        <v>4.53E-2</v>
      </c>
    </row>
    <row r="2279" spans="1:3" x14ac:dyDescent="0.2">
      <c r="A2279" s="2">
        <v>45792</v>
      </c>
      <c r="B2279">
        <v>4.45</v>
      </c>
      <c r="C2279" s="11">
        <f t="shared" si="35"/>
        <v>4.4500000000000005E-2</v>
      </c>
    </row>
    <row r="2280" spans="1:3" x14ac:dyDescent="0.2">
      <c r="A2280" s="2">
        <v>45793</v>
      </c>
      <c r="B2280">
        <v>4.43</v>
      </c>
      <c r="C2280" s="11">
        <f t="shared" si="35"/>
        <v>4.4299999999999999E-2</v>
      </c>
    </row>
    <row r="2281" spans="1:3" x14ac:dyDescent="0.2">
      <c r="A2281" s="2">
        <v>45796</v>
      </c>
      <c r="B2281">
        <v>4.46</v>
      </c>
      <c r="C2281" s="11">
        <f t="shared" si="35"/>
        <v>4.4600000000000001E-2</v>
      </c>
    </row>
    <row r="2282" spans="1:3" x14ac:dyDescent="0.2">
      <c r="A2282" s="2">
        <v>45797</v>
      </c>
      <c r="B2282">
        <v>4.4800000000000004</v>
      </c>
      <c r="C2282" s="11">
        <f t="shared" si="35"/>
        <v>4.4800000000000006E-2</v>
      </c>
    </row>
    <row r="2283" spans="1:3" x14ac:dyDescent="0.2">
      <c r="A2283" s="2">
        <v>45798</v>
      </c>
      <c r="B2283">
        <v>4.58</v>
      </c>
      <c r="C2283" s="11">
        <f t="shared" si="35"/>
        <v>4.58E-2</v>
      </c>
    </row>
    <row r="2284" spans="1:3" x14ac:dyDescent="0.2">
      <c r="A2284" s="2">
        <v>45799</v>
      </c>
      <c r="B2284">
        <v>4.54</v>
      </c>
      <c r="C2284" s="11">
        <f t="shared" si="35"/>
        <v>4.5400000000000003E-2</v>
      </c>
    </row>
    <row r="2285" spans="1:3" x14ac:dyDescent="0.2">
      <c r="A2285" s="2">
        <v>45800</v>
      </c>
      <c r="B2285">
        <v>4.51</v>
      </c>
      <c r="C2285" s="11">
        <f t="shared" si="35"/>
        <v>4.5100000000000001E-2</v>
      </c>
    </row>
    <row r="2286" spans="1:3" x14ac:dyDescent="0.2">
      <c r="A2286" s="2">
        <v>45804</v>
      </c>
      <c r="B2286">
        <v>4.43</v>
      </c>
      <c r="C2286" s="11">
        <f t="shared" si="35"/>
        <v>4.4299999999999999E-2</v>
      </c>
    </row>
    <row r="2287" spans="1:3" x14ac:dyDescent="0.2">
      <c r="A2287" s="2">
        <v>45805</v>
      </c>
      <c r="B2287">
        <v>4.47</v>
      </c>
      <c r="C2287" s="11">
        <f t="shared" si="35"/>
        <v>4.4699999999999997E-2</v>
      </c>
    </row>
    <row r="2288" spans="1:3" x14ac:dyDescent="0.2">
      <c r="A2288" s="2">
        <v>45806</v>
      </c>
      <c r="B2288">
        <v>4.43</v>
      </c>
      <c r="C2288" s="11">
        <f t="shared" si="35"/>
        <v>4.4299999999999999E-2</v>
      </c>
    </row>
    <row r="2289" spans="1:3" x14ac:dyDescent="0.2">
      <c r="A2289" s="2">
        <v>45807</v>
      </c>
      <c r="B2289">
        <v>4.41</v>
      </c>
      <c r="C2289" s="11">
        <f t="shared" si="35"/>
        <v>4.41E-2</v>
      </c>
    </row>
    <row r="2290" spans="1:3" x14ac:dyDescent="0.2">
      <c r="A2290" s="2">
        <v>45810</v>
      </c>
      <c r="B2290">
        <v>4.46</v>
      </c>
      <c r="C2290" s="11">
        <f t="shared" si="35"/>
        <v>4.4600000000000001E-2</v>
      </c>
    </row>
    <row r="2291" spans="1:3" x14ac:dyDescent="0.2">
      <c r="A2291" s="2">
        <v>45811</v>
      </c>
      <c r="B2291">
        <v>4.46</v>
      </c>
      <c r="C2291" s="11">
        <f t="shared" si="35"/>
        <v>4.4600000000000001E-2</v>
      </c>
    </row>
    <row r="2292" spans="1:3" x14ac:dyDescent="0.2">
      <c r="A2292" s="2">
        <v>45812</v>
      </c>
      <c r="B2292">
        <v>4.37</v>
      </c>
      <c r="C2292" s="11">
        <f t="shared" si="35"/>
        <v>4.3700000000000003E-2</v>
      </c>
    </row>
    <row r="2293" spans="1:3" x14ac:dyDescent="0.2">
      <c r="A2293" s="2">
        <v>45813</v>
      </c>
      <c r="B2293">
        <v>4.4000000000000004</v>
      </c>
      <c r="C2293" s="11">
        <f t="shared" si="35"/>
        <v>4.4000000000000004E-2</v>
      </c>
    </row>
    <row r="2294" spans="1:3" x14ac:dyDescent="0.2">
      <c r="A2294" s="2">
        <v>45814</v>
      </c>
      <c r="B2294">
        <v>4.51</v>
      </c>
      <c r="C2294" s="11">
        <f t="shared" si="35"/>
        <v>4.5100000000000001E-2</v>
      </c>
    </row>
    <row r="2295" spans="1:3" x14ac:dyDescent="0.2">
      <c r="A2295" s="2">
        <v>45817</v>
      </c>
      <c r="B2295">
        <v>4.49</v>
      </c>
      <c r="C2295" s="11">
        <f t="shared" si="35"/>
        <v>4.4900000000000002E-2</v>
      </c>
    </row>
    <row r="2296" spans="1:3" x14ac:dyDescent="0.2">
      <c r="A2296" s="2">
        <v>45818</v>
      </c>
      <c r="B2296">
        <v>4.47</v>
      </c>
      <c r="C2296" s="11">
        <f t="shared" si="35"/>
        <v>4.4699999999999997E-2</v>
      </c>
    </row>
    <row r="2297" spans="1:3" x14ac:dyDescent="0.2">
      <c r="A2297" s="2">
        <v>45819</v>
      </c>
      <c r="B2297">
        <v>4.41</v>
      </c>
      <c r="C2297" s="11">
        <f t="shared" si="35"/>
        <v>4.41E-2</v>
      </c>
    </row>
    <row r="2298" spans="1:3" x14ac:dyDescent="0.2">
      <c r="A2298" s="2">
        <v>45820</v>
      </c>
      <c r="B2298">
        <v>4.3600000000000003</v>
      </c>
      <c r="C2298" s="11">
        <f t="shared" si="35"/>
        <v>4.36E-2</v>
      </c>
    </row>
    <row r="2299" spans="1:3" x14ac:dyDescent="0.2">
      <c r="A2299" s="2">
        <v>45821</v>
      </c>
      <c r="B2299">
        <v>4.41</v>
      </c>
      <c r="C2299" s="11">
        <f t="shared" si="35"/>
        <v>4.41E-2</v>
      </c>
    </row>
    <row r="2300" spans="1:3" x14ac:dyDescent="0.2">
      <c r="A2300" s="2">
        <v>45824</v>
      </c>
      <c r="B2300">
        <v>4.46</v>
      </c>
      <c r="C2300" s="11">
        <f t="shared" si="35"/>
        <v>4.4600000000000001E-2</v>
      </c>
    </row>
    <row r="2301" spans="1:3" x14ac:dyDescent="0.2">
      <c r="A2301" s="2">
        <v>45825</v>
      </c>
      <c r="B2301">
        <v>4.3899999999999997</v>
      </c>
      <c r="C2301" s="11">
        <f t="shared" si="35"/>
        <v>4.3899999999999995E-2</v>
      </c>
    </row>
    <row r="2302" spans="1:3" x14ac:dyDescent="0.2">
      <c r="A2302" s="2">
        <v>45826</v>
      </c>
      <c r="B2302">
        <v>4.38</v>
      </c>
      <c r="C2302" s="11">
        <f t="shared" si="35"/>
        <v>4.3799999999999999E-2</v>
      </c>
    </row>
    <row r="2303" spans="1:3" x14ac:dyDescent="0.2">
      <c r="A2303" s="2">
        <v>45828</v>
      </c>
      <c r="B2303">
        <v>4.38</v>
      </c>
      <c r="C2303" s="11">
        <f t="shared" si="35"/>
        <v>4.3799999999999999E-2</v>
      </c>
    </row>
    <row r="2304" spans="1:3" x14ac:dyDescent="0.2">
      <c r="A2304" s="2">
        <v>45831</v>
      </c>
      <c r="B2304">
        <v>4.34</v>
      </c>
      <c r="C2304" s="11">
        <f t="shared" si="35"/>
        <v>4.3400000000000001E-2</v>
      </c>
    </row>
    <row r="2305" spans="1:3" x14ac:dyDescent="0.2">
      <c r="A2305" s="2">
        <v>45832</v>
      </c>
      <c r="B2305">
        <v>4.3</v>
      </c>
      <c r="C2305" s="11">
        <f t="shared" si="35"/>
        <v>4.2999999999999997E-2</v>
      </c>
    </row>
    <row r="2306" spans="1:3" x14ac:dyDescent="0.2">
      <c r="A2306" s="2">
        <v>45833</v>
      </c>
      <c r="B2306">
        <v>4.29</v>
      </c>
      <c r="C2306" s="11">
        <f t="shared" si="35"/>
        <v>4.2900000000000001E-2</v>
      </c>
    </row>
    <row r="2307" spans="1:3" x14ac:dyDescent="0.2">
      <c r="A2307" s="2">
        <v>45834</v>
      </c>
      <c r="B2307">
        <v>4.26</v>
      </c>
      <c r="C2307" s="11">
        <f t="shared" ref="C2307:C2370" si="36">B2307/100</f>
        <v>4.2599999999999999E-2</v>
      </c>
    </row>
    <row r="2308" spans="1:3" x14ac:dyDescent="0.2">
      <c r="A2308" s="2">
        <v>45835</v>
      </c>
      <c r="B2308">
        <v>4.29</v>
      </c>
      <c r="C2308" s="11">
        <f t="shared" si="36"/>
        <v>4.2900000000000001E-2</v>
      </c>
    </row>
    <row r="2309" spans="1:3" x14ac:dyDescent="0.2">
      <c r="A2309" s="2">
        <v>45838</v>
      </c>
      <c r="B2309">
        <v>4.24</v>
      </c>
      <c r="C2309" s="11">
        <f t="shared" si="36"/>
        <v>4.24E-2</v>
      </c>
    </row>
    <row r="2310" spans="1:3" x14ac:dyDescent="0.2">
      <c r="A2310" s="2">
        <v>45839</v>
      </c>
      <c r="B2310">
        <v>4.26</v>
      </c>
      <c r="C2310" s="11">
        <f t="shared" si="36"/>
        <v>4.2599999999999999E-2</v>
      </c>
    </row>
    <row r="2311" spans="1:3" x14ac:dyDescent="0.2">
      <c r="A2311" s="2">
        <v>45840</v>
      </c>
      <c r="B2311">
        <v>4.3</v>
      </c>
      <c r="C2311" s="11">
        <f t="shared" si="36"/>
        <v>4.2999999999999997E-2</v>
      </c>
    </row>
    <row r="2312" spans="1:3" x14ac:dyDescent="0.2">
      <c r="A2312" s="2">
        <v>45841</v>
      </c>
      <c r="B2312">
        <v>4.3499999999999996</v>
      </c>
      <c r="C2312" s="11">
        <f t="shared" si="36"/>
        <v>4.3499999999999997E-2</v>
      </c>
    </row>
    <row r="2313" spans="1:3" x14ac:dyDescent="0.2">
      <c r="A2313" s="2">
        <v>45845</v>
      </c>
      <c r="B2313">
        <v>4.4000000000000004</v>
      </c>
      <c r="C2313" s="11">
        <f t="shared" si="36"/>
        <v>4.4000000000000004E-2</v>
      </c>
    </row>
    <row r="2314" spans="1:3" x14ac:dyDescent="0.2">
      <c r="A2314" s="2">
        <v>45846</v>
      </c>
      <c r="B2314">
        <v>4.42</v>
      </c>
      <c r="C2314" s="11">
        <f t="shared" si="36"/>
        <v>4.4199999999999996E-2</v>
      </c>
    </row>
    <row r="2315" spans="1:3" x14ac:dyDescent="0.2">
      <c r="A2315" s="2">
        <v>45847</v>
      </c>
      <c r="B2315">
        <v>4.34</v>
      </c>
      <c r="C2315" s="11">
        <f t="shared" si="36"/>
        <v>4.3400000000000001E-2</v>
      </c>
    </row>
    <row r="2316" spans="1:3" x14ac:dyDescent="0.2">
      <c r="A2316" s="2">
        <v>45848</v>
      </c>
      <c r="B2316">
        <v>4.3499999999999996</v>
      </c>
      <c r="C2316" s="11">
        <f t="shared" si="36"/>
        <v>4.3499999999999997E-2</v>
      </c>
    </row>
    <row r="2317" spans="1:3" x14ac:dyDescent="0.2">
      <c r="A2317" s="2">
        <v>45849</v>
      </c>
      <c r="B2317">
        <v>4.43</v>
      </c>
      <c r="C2317" s="11">
        <f t="shared" si="36"/>
        <v>4.4299999999999999E-2</v>
      </c>
    </row>
    <row r="2318" spans="1:3" x14ac:dyDescent="0.2">
      <c r="A2318" s="2">
        <v>45852</v>
      </c>
      <c r="B2318">
        <v>4.43</v>
      </c>
      <c r="C2318" s="11">
        <f t="shared" si="36"/>
        <v>4.4299999999999999E-2</v>
      </c>
    </row>
    <row r="2319" spans="1:3" x14ac:dyDescent="0.2">
      <c r="A2319" s="2">
        <v>45853</v>
      </c>
      <c r="B2319">
        <v>4.5</v>
      </c>
      <c r="C2319" s="11">
        <f t="shared" si="36"/>
        <v>4.4999999999999998E-2</v>
      </c>
    </row>
    <row r="2320" spans="1:3" x14ac:dyDescent="0.2">
      <c r="A2320" s="2">
        <v>45854</v>
      </c>
      <c r="B2320">
        <v>4.46</v>
      </c>
      <c r="C2320" s="11">
        <f t="shared" si="36"/>
        <v>4.4600000000000001E-2</v>
      </c>
    </row>
    <row r="2321" spans="1:3" x14ac:dyDescent="0.2">
      <c r="A2321" s="2">
        <v>45855</v>
      </c>
      <c r="B2321">
        <v>4.47</v>
      </c>
      <c r="C2321" s="11">
        <f t="shared" si="36"/>
        <v>4.4699999999999997E-2</v>
      </c>
    </row>
    <row r="2322" spans="1:3" x14ac:dyDescent="0.2">
      <c r="A2322" s="2">
        <v>45856</v>
      </c>
      <c r="B2322">
        <v>4.4400000000000004</v>
      </c>
      <c r="C2322" s="11">
        <f t="shared" si="36"/>
        <v>4.4400000000000002E-2</v>
      </c>
    </row>
    <row r="2323" spans="1:3" x14ac:dyDescent="0.2">
      <c r="A2323" s="2">
        <v>45859</v>
      </c>
      <c r="B2323">
        <v>4.38</v>
      </c>
      <c r="C2323" s="11">
        <f t="shared" si="36"/>
        <v>4.3799999999999999E-2</v>
      </c>
    </row>
    <row r="2324" spans="1:3" x14ac:dyDescent="0.2">
      <c r="A2324" s="2">
        <v>45860</v>
      </c>
      <c r="B2324">
        <v>4.3499999999999996</v>
      </c>
      <c r="C2324" s="11">
        <f t="shared" si="36"/>
        <v>4.3499999999999997E-2</v>
      </c>
    </row>
    <row r="2325" spans="1:3" x14ac:dyDescent="0.2">
      <c r="A2325" s="2">
        <v>45861</v>
      </c>
      <c r="B2325">
        <v>4.4000000000000004</v>
      </c>
      <c r="C2325" s="11">
        <f t="shared" si="36"/>
        <v>4.4000000000000004E-2</v>
      </c>
    </row>
    <row r="2326" spans="1:3" x14ac:dyDescent="0.2">
      <c r="A2326" s="2">
        <v>45862</v>
      </c>
      <c r="B2326">
        <v>4.43</v>
      </c>
      <c r="C2326" s="11">
        <f t="shared" si="36"/>
        <v>4.4299999999999999E-2</v>
      </c>
    </row>
    <row r="2327" spans="1:3" x14ac:dyDescent="0.2">
      <c r="A2327" s="2">
        <v>45863</v>
      </c>
      <c r="B2327">
        <v>4.4000000000000004</v>
      </c>
      <c r="C2327" s="11">
        <f t="shared" si="36"/>
        <v>4.4000000000000004E-2</v>
      </c>
    </row>
    <row r="2328" spans="1:3" x14ac:dyDescent="0.2">
      <c r="A2328" s="2">
        <v>45866</v>
      </c>
      <c r="B2328">
        <v>4.42</v>
      </c>
      <c r="C2328" s="11">
        <f t="shared" si="36"/>
        <v>4.4199999999999996E-2</v>
      </c>
    </row>
    <row r="2329" spans="1:3" x14ac:dyDescent="0.2">
      <c r="A2329" s="2">
        <v>45867</v>
      </c>
      <c r="B2329">
        <v>4.34</v>
      </c>
      <c r="C2329" s="11">
        <f t="shared" si="36"/>
        <v>4.3400000000000001E-2</v>
      </c>
    </row>
    <row r="2330" spans="1:3" x14ac:dyDescent="0.2">
      <c r="A2330" s="2">
        <v>45868</v>
      </c>
      <c r="B2330">
        <v>4.38</v>
      </c>
      <c r="C2330" s="11">
        <f t="shared" si="36"/>
        <v>4.3799999999999999E-2</v>
      </c>
    </row>
    <row r="2331" spans="1:3" x14ac:dyDescent="0.2">
      <c r="A2331" s="2">
        <v>45869</v>
      </c>
      <c r="B2331">
        <v>4.37</v>
      </c>
      <c r="C2331" s="11">
        <f t="shared" si="36"/>
        <v>4.3700000000000003E-2</v>
      </c>
    </row>
    <row r="2332" spans="1:3" x14ac:dyDescent="0.2">
      <c r="A2332" s="2">
        <v>45870</v>
      </c>
      <c r="B2332">
        <v>4.2300000000000004</v>
      </c>
      <c r="C2332" s="11">
        <f t="shared" si="36"/>
        <v>4.2300000000000004E-2</v>
      </c>
    </row>
    <row r="2333" spans="1:3" x14ac:dyDescent="0.2">
      <c r="A2333" s="2">
        <v>45873</v>
      </c>
      <c r="B2333">
        <v>4.22</v>
      </c>
      <c r="C2333" s="11">
        <f t="shared" si="36"/>
        <v>4.2199999999999994E-2</v>
      </c>
    </row>
    <row r="2334" spans="1:3" x14ac:dyDescent="0.2">
      <c r="A2334" s="2">
        <v>45874</v>
      </c>
      <c r="B2334">
        <v>4.22</v>
      </c>
      <c r="C2334" s="11">
        <f t="shared" si="36"/>
        <v>4.2199999999999994E-2</v>
      </c>
    </row>
    <row r="2335" spans="1:3" x14ac:dyDescent="0.2">
      <c r="A2335" s="2">
        <v>45875</v>
      </c>
      <c r="B2335">
        <v>4.22</v>
      </c>
      <c r="C2335" s="11">
        <f t="shared" si="36"/>
        <v>4.2199999999999994E-2</v>
      </c>
    </row>
    <row r="2336" spans="1:3" x14ac:dyDescent="0.2">
      <c r="A2336" s="2">
        <v>45876</v>
      </c>
      <c r="B2336">
        <v>4.2300000000000004</v>
      </c>
      <c r="C2336" s="11">
        <f t="shared" si="36"/>
        <v>4.2300000000000004E-2</v>
      </c>
    </row>
    <row r="2337" spans="1:3" x14ac:dyDescent="0.2">
      <c r="A2337" s="2">
        <v>45877</v>
      </c>
      <c r="B2337">
        <v>4.2699999999999996</v>
      </c>
      <c r="C2337" s="11">
        <f t="shared" si="36"/>
        <v>4.2699999999999995E-2</v>
      </c>
    </row>
    <row r="2338" spans="1:3" x14ac:dyDescent="0.2">
      <c r="A2338" s="2">
        <v>45880</v>
      </c>
      <c r="B2338">
        <v>4.2699999999999996</v>
      </c>
      <c r="C2338" s="11">
        <f t="shared" si="36"/>
        <v>4.2699999999999995E-2</v>
      </c>
    </row>
    <row r="2339" spans="1:3" x14ac:dyDescent="0.2">
      <c r="A2339" s="2">
        <v>45881</v>
      </c>
      <c r="B2339">
        <v>4.29</v>
      </c>
      <c r="C2339" s="11">
        <f t="shared" si="36"/>
        <v>4.2900000000000001E-2</v>
      </c>
    </row>
    <row r="2340" spans="1:3" x14ac:dyDescent="0.2">
      <c r="A2340" s="2">
        <v>45882</v>
      </c>
      <c r="B2340">
        <v>4.24</v>
      </c>
      <c r="C2340" s="11">
        <f t="shared" si="36"/>
        <v>4.24E-2</v>
      </c>
    </row>
    <row r="2341" spans="1:3" x14ac:dyDescent="0.2">
      <c r="A2341" s="2">
        <v>45883</v>
      </c>
      <c r="B2341">
        <v>4.29</v>
      </c>
      <c r="C2341" s="11">
        <f t="shared" si="36"/>
        <v>4.2900000000000001E-2</v>
      </c>
    </row>
    <row r="2342" spans="1:3" x14ac:dyDescent="0.2">
      <c r="A2342" s="2">
        <v>45884</v>
      </c>
      <c r="B2342">
        <v>4.33</v>
      </c>
      <c r="C2342" s="11">
        <f t="shared" si="36"/>
        <v>4.3299999999999998E-2</v>
      </c>
    </row>
    <row r="2343" spans="1:3" x14ac:dyDescent="0.2">
      <c r="A2343" s="2">
        <v>45887</v>
      </c>
      <c r="B2343">
        <v>4.34</v>
      </c>
      <c r="C2343" s="11">
        <f t="shared" si="36"/>
        <v>4.3400000000000001E-2</v>
      </c>
    </row>
    <row r="2344" spans="1:3" x14ac:dyDescent="0.2">
      <c r="A2344" s="2">
        <v>45888</v>
      </c>
      <c r="B2344">
        <v>4.3</v>
      </c>
      <c r="C2344" s="11">
        <f t="shared" si="36"/>
        <v>4.2999999999999997E-2</v>
      </c>
    </row>
    <row r="2345" spans="1:3" x14ac:dyDescent="0.2">
      <c r="A2345" s="2">
        <v>45889</v>
      </c>
      <c r="B2345">
        <v>4.29</v>
      </c>
      <c r="C2345" s="11">
        <f t="shared" si="36"/>
        <v>4.2900000000000001E-2</v>
      </c>
    </row>
    <row r="2346" spans="1:3" x14ac:dyDescent="0.2">
      <c r="A2346" s="2">
        <v>45890</v>
      </c>
      <c r="B2346">
        <v>4.33</v>
      </c>
      <c r="C2346" s="11">
        <f t="shared" si="36"/>
        <v>4.3299999999999998E-2</v>
      </c>
    </row>
    <row r="2347" spans="1:3" x14ac:dyDescent="0.2">
      <c r="A2347" s="2">
        <v>45891</v>
      </c>
      <c r="B2347">
        <v>4.26</v>
      </c>
      <c r="C2347" s="11">
        <f t="shared" si="36"/>
        <v>4.2599999999999999E-2</v>
      </c>
    </row>
    <row r="2348" spans="1:3" x14ac:dyDescent="0.2">
      <c r="A2348" s="2">
        <v>45894</v>
      </c>
      <c r="B2348">
        <v>4.28</v>
      </c>
      <c r="C2348" s="11">
        <f t="shared" si="36"/>
        <v>4.2800000000000005E-2</v>
      </c>
    </row>
    <row r="2349" spans="1:3" x14ac:dyDescent="0.2">
      <c r="A2349" s="2">
        <v>45895</v>
      </c>
      <c r="B2349">
        <v>4.26</v>
      </c>
      <c r="C2349" s="11">
        <f t="shared" si="36"/>
        <v>4.2599999999999999E-2</v>
      </c>
    </row>
    <row r="2350" spans="1:3" x14ac:dyDescent="0.2">
      <c r="A2350" s="2">
        <v>45896</v>
      </c>
      <c r="B2350">
        <v>4.24</v>
      </c>
      <c r="C2350" s="11">
        <f t="shared" si="36"/>
        <v>4.24E-2</v>
      </c>
    </row>
    <row r="2351" spans="1:3" x14ac:dyDescent="0.2">
      <c r="A2351" s="2">
        <v>45897</v>
      </c>
      <c r="B2351">
        <v>4.22</v>
      </c>
      <c r="C2351" s="11">
        <f t="shared" si="36"/>
        <v>4.2199999999999994E-2</v>
      </c>
    </row>
    <row r="2352" spans="1:3" x14ac:dyDescent="0.2">
      <c r="A2352" s="2">
        <v>45898</v>
      </c>
      <c r="B2352">
        <v>4.2300000000000004</v>
      </c>
      <c r="C2352" s="11">
        <f t="shared" si="36"/>
        <v>4.2300000000000004E-2</v>
      </c>
    </row>
    <row r="2353" spans="1:3" x14ac:dyDescent="0.2">
      <c r="A2353" s="2">
        <v>45902</v>
      </c>
      <c r="B2353">
        <v>4.28</v>
      </c>
      <c r="C2353" s="11">
        <f t="shared" si="36"/>
        <v>4.2800000000000005E-2</v>
      </c>
    </row>
    <row r="2354" spans="1:3" x14ac:dyDescent="0.2">
      <c r="A2354" s="2">
        <v>45903</v>
      </c>
      <c r="B2354">
        <v>4.22</v>
      </c>
      <c r="C2354" s="11">
        <f t="shared" si="36"/>
        <v>4.2199999999999994E-2</v>
      </c>
    </row>
    <row r="2355" spans="1:3" x14ac:dyDescent="0.2">
      <c r="A2355" s="2">
        <v>45904</v>
      </c>
      <c r="B2355">
        <v>4.17</v>
      </c>
      <c r="C2355" s="11">
        <f t="shared" si="36"/>
        <v>4.1700000000000001E-2</v>
      </c>
    </row>
    <row r="2356" spans="1:3" x14ac:dyDescent="0.2">
      <c r="A2356" s="2">
        <v>45905</v>
      </c>
      <c r="B2356">
        <v>4.0999999999999996</v>
      </c>
      <c r="C2356" s="11">
        <f t="shared" si="36"/>
        <v>4.0999999999999995E-2</v>
      </c>
    </row>
    <row r="2357" spans="1:3" x14ac:dyDescent="0.2">
      <c r="A2357" s="2">
        <v>45908</v>
      </c>
      <c r="B2357">
        <v>4.05</v>
      </c>
      <c r="C2357" s="11">
        <f t="shared" si="36"/>
        <v>4.0500000000000001E-2</v>
      </c>
    </row>
    <row r="2358" spans="1:3" x14ac:dyDescent="0.2">
      <c r="A2358" s="2">
        <v>45909</v>
      </c>
      <c r="B2358">
        <v>4.08</v>
      </c>
      <c r="C2358" s="11">
        <f t="shared" si="36"/>
        <v>4.0800000000000003E-2</v>
      </c>
    </row>
    <row r="2359" spans="1:3" x14ac:dyDescent="0.2">
      <c r="A2359" s="2">
        <v>45910</v>
      </c>
      <c r="B2359">
        <v>4.04</v>
      </c>
      <c r="C2359" s="11">
        <f t="shared" si="36"/>
        <v>4.0399999999999998E-2</v>
      </c>
    </row>
    <row r="2360" spans="1:3" x14ac:dyDescent="0.2">
      <c r="A2360" s="2">
        <v>45911</v>
      </c>
      <c r="B2360">
        <v>4.01</v>
      </c>
      <c r="C2360" s="11">
        <f t="shared" si="36"/>
        <v>4.0099999999999997E-2</v>
      </c>
    </row>
    <row r="2361" spans="1:3" x14ac:dyDescent="0.2">
      <c r="A2361" s="2">
        <v>45912</v>
      </c>
      <c r="B2361">
        <v>4.0599999999999996</v>
      </c>
      <c r="C2361" s="11">
        <f t="shared" si="36"/>
        <v>4.0599999999999997E-2</v>
      </c>
    </row>
    <row r="2362" spans="1:3" x14ac:dyDescent="0.2">
      <c r="A2362" s="2">
        <v>45915</v>
      </c>
      <c r="B2362">
        <v>4.05</v>
      </c>
      <c r="C2362" s="11">
        <f t="shared" si="36"/>
        <v>4.0500000000000001E-2</v>
      </c>
    </row>
    <row r="2363" spans="1:3" x14ac:dyDescent="0.2">
      <c r="A2363" s="2">
        <v>45916</v>
      </c>
      <c r="B2363">
        <v>4.04</v>
      </c>
      <c r="C2363" s="11">
        <f t="shared" si="36"/>
        <v>4.0399999999999998E-2</v>
      </c>
    </row>
    <row r="2364" spans="1:3" x14ac:dyDescent="0.2">
      <c r="A2364" s="2">
        <v>45917</v>
      </c>
      <c r="B2364">
        <v>4.0599999999999996</v>
      </c>
      <c r="C2364" s="11">
        <f t="shared" si="36"/>
        <v>4.0599999999999997E-2</v>
      </c>
    </row>
    <row r="2365" spans="1:3" x14ac:dyDescent="0.2">
      <c r="A2365" s="2">
        <v>45918</v>
      </c>
      <c r="B2365">
        <v>4.1100000000000003</v>
      </c>
      <c r="C2365" s="11">
        <f t="shared" si="36"/>
        <v>4.1100000000000005E-2</v>
      </c>
    </row>
    <row r="2366" spans="1:3" x14ac:dyDescent="0.2">
      <c r="A2366" s="2">
        <v>45919</v>
      </c>
      <c r="B2366">
        <v>4.1399999999999997</v>
      </c>
      <c r="C2366" s="11">
        <f t="shared" si="36"/>
        <v>4.1399999999999999E-2</v>
      </c>
    </row>
    <row r="2367" spans="1:3" x14ac:dyDescent="0.2">
      <c r="A2367" s="2">
        <v>45922</v>
      </c>
      <c r="B2367">
        <v>4.1500000000000004</v>
      </c>
      <c r="C2367" s="11">
        <f t="shared" si="36"/>
        <v>4.1500000000000002E-2</v>
      </c>
    </row>
    <row r="2368" spans="1:3" x14ac:dyDescent="0.2">
      <c r="A2368" s="2">
        <v>45923</v>
      </c>
      <c r="B2368">
        <v>4.12</v>
      </c>
      <c r="C2368" s="11">
        <f t="shared" si="36"/>
        <v>4.1200000000000001E-2</v>
      </c>
    </row>
    <row r="2369" spans="1:3" x14ac:dyDescent="0.2">
      <c r="A2369" s="2">
        <v>45924</v>
      </c>
      <c r="B2369">
        <v>4.16</v>
      </c>
      <c r="C2369" s="11">
        <f t="shared" si="36"/>
        <v>4.1599999999999998E-2</v>
      </c>
    </row>
    <row r="2370" spans="1:3" x14ac:dyDescent="0.2">
      <c r="A2370" s="2">
        <v>45925</v>
      </c>
      <c r="B2370">
        <v>4.18</v>
      </c>
      <c r="C2370" s="11">
        <f t="shared" si="36"/>
        <v>4.1799999999999997E-2</v>
      </c>
    </row>
    <row r="2371" spans="1:3" x14ac:dyDescent="0.2">
      <c r="A2371" s="2">
        <v>45926</v>
      </c>
      <c r="B2371">
        <v>4.2</v>
      </c>
      <c r="C2371" s="11">
        <f t="shared" ref="C2371:C2434" si="37">B2371/100</f>
        <v>4.2000000000000003E-2</v>
      </c>
    </row>
    <row r="2372" spans="1:3" x14ac:dyDescent="0.2">
      <c r="A2372" s="2">
        <v>45929</v>
      </c>
      <c r="B2372">
        <v>4.1500000000000004</v>
      </c>
      <c r="C2372" s="11">
        <f t="shared" si="37"/>
        <v>4.1500000000000002E-2</v>
      </c>
    </row>
    <row r="2373" spans="1:3" x14ac:dyDescent="0.2">
      <c r="A2373" s="2">
        <v>45930</v>
      </c>
      <c r="B2373">
        <v>4.16</v>
      </c>
      <c r="C2373" s="11">
        <f t="shared" si="37"/>
        <v>4.1599999999999998E-2</v>
      </c>
    </row>
    <row r="2374" spans="1:3" x14ac:dyDescent="0.2">
      <c r="A2374" s="2">
        <v>45931</v>
      </c>
      <c r="B2374">
        <v>4.12</v>
      </c>
      <c r="C2374" s="11">
        <f t="shared" si="37"/>
        <v>4.1200000000000001E-2</v>
      </c>
    </row>
    <row r="2375" spans="1:3" x14ac:dyDescent="0.2">
      <c r="A2375" s="2">
        <v>45932</v>
      </c>
      <c r="B2375">
        <v>4.0999999999999996</v>
      </c>
      <c r="C2375" s="11">
        <f t="shared" si="37"/>
        <v>4.0999999999999995E-2</v>
      </c>
    </row>
    <row r="2376" spans="1:3" x14ac:dyDescent="0.2">
      <c r="A2376" s="2">
        <v>45933</v>
      </c>
      <c r="B2376">
        <v>4.13</v>
      </c>
      <c r="C2376" s="11">
        <f t="shared" si="37"/>
        <v>4.1299999999999996E-2</v>
      </c>
    </row>
    <row r="2377" spans="1:3" x14ac:dyDescent="0.2">
      <c r="A2377" s="2">
        <v>45936</v>
      </c>
      <c r="B2377">
        <v>4.18</v>
      </c>
      <c r="C2377" s="11">
        <f t="shared" si="37"/>
        <v>4.1799999999999997E-2</v>
      </c>
    </row>
    <row r="2378" spans="1:3" x14ac:dyDescent="0.2">
      <c r="A2378" s="2">
        <v>45937</v>
      </c>
      <c r="B2378">
        <v>4.1399999999999997</v>
      </c>
      <c r="C2378" s="11">
        <f t="shared" si="37"/>
        <v>4.1399999999999999E-2</v>
      </c>
    </row>
    <row r="2379" spans="1:3" x14ac:dyDescent="0.2">
      <c r="A2379" s="2">
        <v>45938</v>
      </c>
      <c r="B2379">
        <v>4.13</v>
      </c>
      <c r="C2379" s="11">
        <f t="shared" si="37"/>
        <v>4.1299999999999996E-2</v>
      </c>
    </row>
    <row r="2380" spans="1:3" x14ac:dyDescent="0.2">
      <c r="A2380" s="2">
        <v>45939</v>
      </c>
      <c r="B2380">
        <v>4.1399999999999997</v>
      </c>
      <c r="C2380" s="11">
        <f t="shared" si="37"/>
        <v>4.1399999999999999E-2</v>
      </c>
    </row>
    <row r="2381" spans="1:3" x14ac:dyDescent="0.2">
      <c r="A2381" s="2">
        <v>45940</v>
      </c>
      <c r="B2381">
        <v>4.05</v>
      </c>
      <c r="C2381" s="11">
        <f t="shared" si="37"/>
        <v>4.0500000000000001E-2</v>
      </c>
    </row>
    <row r="2382" spans="1:3" x14ac:dyDescent="0.2">
      <c r="A2382" s="2">
        <v>45944</v>
      </c>
      <c r="B2382">
        <v>4.03</v>
      </c>
      <c r="C2382" s="11">
        <f t="shared" si="37"/>
        <v>4.0300000000000002E-2</v>
      </c>
    </row>
    <row r="2383" spans="1:3" x14ac:dyDescent="0.2">
      <c r="A2383" s="2">
        <v>45945</v>
      </c>
      <c r="B2383">
        <v>4.05</v>
      </c>
      <c r="C2383" s="11">
        <f t="shared" si="37"/>
        <v>4.0500000000000001E-2</v>
      </c>
    </row>
    <row r="2384" spans="1:3" x14ac:dyDescent="0.2">
      <c r="A2384" s="2">
        <v>45946</v>
      </c>
      <c r="B2384">
        <v>3.99</v>
      </c>
      <c r="C2384" s="11">
        <f t="shared" si="37"/>
        <v>3.9900000000000005E-2</v>
      </c>
    </row>
    <row r="2385" spans="1:3" x14ac:dyDescent="0.2">
      <c r="A2385" s="2">
        <v>45947</v>
      </c>
      <c r="B2385">
        <v>4.0199999999999996</v>
      </c>
      <c r="C2385" s="11">
        <f t="shared" si="37"/>
        <v>4.0199999999999993E-2</v>
      </c>
    </row>
    <row r="2386" spans="1:3" x14ac:dyDescent="0.2">
      <c r="A2386" s="2">
        <v>45950</v>
      </c>
      <c r="B2386">
        <v>4</v>
      </c>
      <c r="C2386" s="11">
        <f t="shared" si="37"/>
        <v>0.04</v>
      </c>
    </row>
    <row r="2387" spans="1:3" x14ac:dyDescent="0.2">
      <c r="A2387" s="2">
        <v>45951</v>
      </c>
      <c r="B2387">
        <v>3.98</v>
      </c>
      <c r="C2387" s="11">
        <f t="shared" si="37"/>
        <v>3.9800000000000002E-2</v>
      </c>
    </row>
    <row r="2388" spans="1:3" x14ac:dyDescent="0.2">
      <c r="A2388" s="2">
        <v>45952</v>
      </c>
      <c r="B2388">
        <v>3.97</v>
      </c>
      <c r="C2388" s="11">
        <f t="shared" si="37"/>
        <v>3.9699999999999999E-2</v>
      </c>
    </row>
    <row r="2389" spans="1:3" x14ac:dyDescent="0.2">
      <c r="A2389" s="2">
        <v>45953</v>
      </c>
      <c r="B2389">
        <v>4.01</v>
      </c>
      <c r="C2389" s="11">
        <f t="shared" si="37"/>
        <v>4.0099999999999997E-2</v>
      </c>
    </row>
    <row r="2390" spans="1:3" x14ac:dyDescent="0.2">
      <c r="A2390" s="2">
        <v>45954</v>
      </c>
      <c r="B2390">
        <v>4.0199999999999996</v>
      </c>
      <c r="C2390" s="11">
        <f t="shared" si="37"/>
        <v>4.0199999999999993E-2</v>
      </c>
    </row>
    <row r="2391" spans="1:3" x14ac:dyDescent="0.2">
      <c r="A2391" s="2">
        <v>45957</v>
      </c>
      <c r="B2391">
        <v>4.01</v>
      </c>
      <c r="C2391" s="11">
        <f t="shared" si="37"/>
        <v>4.0099999999999997E-2</v>
      </c>
    </row>
    <row r="2392" spans="1:3" x14ac:dyDescent="0.2">
      <c r="A2392" s="2">
        <v>45958</v>
      </c>
      <c r="B2392">
        <v>3.99</v>
      </c>
      <c r="C2392" s="11">
        <f t="shared" si="37"/>
        <v>3.9900000000000005E-2</v>
      </c>
    </row>
    <row r="2393" spans="1:3" x14ac:dyDescent="0.2">
      <c r="A2393" s="2">
        <v>45959</v>
      </c>
      <c r="B2393">
        <v>4.08</v>
      </c>
      <c r="C2393" s="11">
        <f t="shared" si="37"/>
        <v>4.0800000000000003E-2</v>
      </c>
    </row>
    <row r="2394" spans="1:3" x14ac:dyDescent="0.2">
      <c r="A2394" s="2">
        <v>45960</v>
      </c>
      <c r="B2394">
        <v>4.1100000000000003</v>
      </c>
      <c r="C2394" s="11">
        <f t="shared" si="37"/>
        <v>4.1100000000000005E-2</v>
      </c>
    </row>
    <row r="2395" spans="1:3" x14ac:dyDescent="0.2">
      <c r="A2395" s="2">
        <v>45961</v>
      </c>
      <c r="B2395">
        <v>4.1100000000000003</v>
      </c>
      <c r="C2395" s="11">
        <f t="shared" si="37"/>
        <v>4.1100000000000005E-2</v>
      </c>
    </row>
    <row r="2396" spans="1:3" x14ac:dyDescent="0.2">
      <c r="A2396" s="2">
        <v>45964</v>
      </c>
      <c r="B2396">
        <v>4.13</v>
      </c>
      <c r="C2396" s="11">
        <f t="shared" si="37"/>
        <v>4.1299999999999996E-2</v>
      </c>
    </row>
    <row r="2397" spans="1:3" x14ac:dyDescent="0.2">
      <c r="A2397" s="2">
        <v>45965</v>
      </c>
      <c r="B2397">
        <v>4.0999999999999996</v>
      </c>
      <c r="C2397" s="11">
        <f t="shared" si="37"/>
        <v>4.0999999999999995E-2</v>
      </c>
    </row>
    <row r="2398" spans="1:3" x14ac:dyDescent="0.2">
      <c r="A2398" s="2">
        <v>45966</v>
      </c>
      <c r="B2398">
        <v>4.17</v>
      </c>
      <c r="C2398" s="11">
        <f t="shared" si="37"/>
        <v>4.1700000000000001E-2</v>
      </c>
    </row>
    <row r="2399" spans="1:3" x14ac:dyDescent="0.2">
      <c r="A2399" s="2">
        <v>45967</v>
      </c>
      <c r="B2399">
        <v>4.1100000000000003</v>
      </c>
      <c r="C2399" s="11">
        <f t="shared" si="37"/>
        <v>4.1100000000000005E-2</v>
      </c>
    </row>
    <row r="2400" spans="1:3" x14ac:dyDescent="0.2">
      <c r="A2400" s="2">
        <v>45968</v>
      </c>
      <c r="B2400">
        <v>4.1100000000000003</v>
      </c>
      <c r="C2400" s="11">
        <f t="shared" si="37"/>
        <v>4.1100000000000005E-2</v>
      </c>
    </row>
    <row r="2401" spans="1:3" x14ac:dyDescent="0.2">
      <c r="A2401" s="2">
        <v>45971</v>
      </c>
      <c r="B2401">
        <v>4.13</v>
      </c>
      <c r="C2401" s="11">
        <f t="shared" si="37"/>
        <v>4.1299999999999996E-2</v>
      </c>
    </row>
    <row r="2402" spans="1:3" x14ac:dyDescent="0.2">
      <c r="A2402" s="2">
        <v>45973</v>
      </c>
      <c r="B2402">
        <v>4.08</v>
      </c>
      <c r="C2402" s="11">
        <f t="shared" si="37"/>
        <v>4.0800000000000003E-2</v>
      </c>
    </row>
    <row r="2403" spans="1:3" x14ac:dyDescent="0.2">
      <c r="A2403" s="2">
        <v>45974</v>
      </c>
      <c r="B2403">
        <v>4.1100000000000003</v>
      </c>
      <c r="C2403" s="11">
        <f t="shared" si="37"/>
        <v>4.1100000000000005E-2</v>
      </c>
    </row>
    <row r="2404" spans="1:3" x14ac:dyDescent="0.2">
      <c r="A2404" s="2">
        <v>45975</v>
      </c>
      <c r="B2404">
        <v>4.1399999999999997</v>
      </c>
      <c r="C2404" s="11">
        <f t="shared" si="37"/>
        <v>4.1399999999999999E-2</v>
      </c>
    </row>
    <row r="2405" spans="1:3" x14ac:dyDescent="0.2">
      <c r="A2405" s="2">
        <v>45978</v>
      </c>
      <c r="B2405">
        <v>4.13</v>
      </c>
      <c r="C2405" s="11">
        <f t="shared" si="37"/>
        <v>4.1299999999999996E-2</v>
      </c>
    </row>
    <row r="2406" spans="1:3" x14ac:dyDescent="0.2">
      <c r="A2406" s="2">
        <v>45979</v>
      </c>
      <c r="B2406">
        <v>4.12</v>
      </c>
      <c r="C2406" s="11">
        <f t="shared" si="37"/>
        <v>4.1200000000000001E-2</v>
      </c>
    </row>
    <row r="2407" spans="1:3" x14ac:dyDescent="0.2">
      <c r="A2407" s="2">
        <v>45980</v>
      </c>
      <c r="B2407">
        <v>4.13</v>
      </c>
      <c r="C2407" s="11">
        <f t="shared" si="37"/>
        <v>4.1299999999999996E-2</v>
      </c>
    </row>
    <row r="2408" spans="1:3" x14ac:dyDescent="0.2">
      <c r="A2408" s="2">
        <v>45981</v>
      </c>
      <c r="B2408">
        <v>4.0999999999999996</v>
      </c>
      <c r="C2408" s="11">
        <f t="shared" si="37"/>
        <v>4.0999999999999995E-2</v>
      </c>
    </row>
    <row r="2409" spans="1:3" x14ac:dyDescent="0.2">
      <c r="A2409" s="2">
        <v>45982</v>
      </c>
      <c r="B2409">
        <v>4.0599999999999996</v>
      </c>
      <c r="C2409" s="11">
        <f t="shared" si="37"/>
        <v>4.0599999999999997E-2</v>
      </c>
    </row>
    <row r="2410" spans="1:3" x14ac:dyDescent="0.2">
      <c r="A2410" s="2">
        <v>45985</v>
      </c>
      <c r="B2410">
        <v>4.04</v>
      </c>
      <c r="C2410" s="11">
        <f t="shared" si="37"/>
        <v>4.0399999999999998E-2</v>
      </c>
    </row>
    <row r="2411" spans="1:3" x14ac:dyDescent="0.2">
      <c r="A2411" s="2">
        <v>45986</v>
      </c>
      <c r="B2411">
        <v>4.01</v>
      </c>
      <c r="C2411" s="11">
        <f t="shared" si="37"/>
        <v>4.0099999999999997E-2</v>
      </c>
    </row>
    <row r="2412" spans="1:3" x14ac:dyDescent="0.2">
      <c r="A2412" s="2">
        <v>45987</v>
      </c>
      <c r="B2412">
        <v>4</v>
      </c>
      <c r="C2412" s="11">
        <f t="shared" si="37"/>
        <v>0.04</v>
      </c>
    </row>
    <row r="2413" spans="1:3" x14ac:dyDescent="0.2">
      <c r="A2413" s="2">
        <v>45989</v>
      </c>
      <c r="B2413">
        <v>4.0199999999999996</v>
      </c>
      <c r="C2413" s="11">
        <f t="shared" si="37"/>
        <v>4.0199999999999993E-2</v>
      </c>
    </row>
    <row r="2414" spans="1:3" x14ac:dyDescent="0.2">
      <c r="A2414" s="2">
        <v>45992</v>
      </c>
      <c r="B2414">
        <v>4.09</v>
      </c>
      <c r="C2414" s="11">
        <f t="shared" si="37"/>
        <v>4.0899999999999999E-2</v>
      </c>
    </row>
    <row r="2415" spans="1:3" x14ac:dyDescent="0.2">
      <c r="A2415" s="2">
        <v>45993</v>
      </c>
      <c r="B2415">
        <v>4.09</v>
      </c>
      <c r="C2415" s="11">
        <f t="shared" si="37"/>
        <v>4.0899999999999999E-2</v>
      </c>
    </row>
    <row r="2416" spans="1:3" x14ac:dyDescent="0.2">
      <c r="A2416" s="2">
        <v>45994</v>
      </c>
      <c r="B2416">
        <v>4.0599999999999996</v>
      </c>
      <c r="C2416" s="11">
        <f t="shared" si="37"/>
        <v>4.0599999999999997E-2</v>
      </c>
    </row>
    <row r="2417" spans="1:3" x14ac:dyDescent="0.2">
      <c r="A2417" s="2">
        <v>45995</v>
      </c>
      <c r="B2417">
        <v>4.1100000000000003</v>
      </c>
      <c r="C2417" s="11">
        <f t="shared" si="37"/>
        <v>4.1100000000000005E-2</v>
      </c>
    </row>
    <row r="2418" spans="1:3" x14ac:dyDescent="0.2">
      <c r="A2418" s="2">
        <v>45996</v>
      </c>
      <c r="B2418">
        <v>4.1399999999999997</v>
      </c>
      <c r="C2418" s="11">
        <f t="shared" si="37"/>
        <v>4.1399999999999999E-2</v>
      </c>
    </row>
    <row r="2419" spans="1:3" x14ac:dyDescent="0.2">
      <c r="A2419" s="2">
        <v>45999</v>
      </c>
      <c r="B2419">
        <v>4.17</v>
      </c>
      <c r="C2419" s="11">
        <f t="shared" si="37"/>
        <v>4.1700000000000001E-2</v>
      </c>
    </row>
    <row r="2420" spans="1:3" x14ac:dyDescent="0.2">
      <c r="A2420" s="2">
        <v>46000</v>
      </c>
      <c r="B2420">
        <v>4.18</v>
      </c>
      <c r="C2420" s="11">
        <f t="shared" si="37"/>
        <v>4.1799999999999997E-2</v>
      </c>
    </row>
    <row r="2421" spans="1:3" x14ac:dyDescent="0.2">
      <c r="A2421" s="2">
        <v>46001</v>
      </c>
      <c r="B2421">
        <v>4.13</v>
      </c>
      <c r="C2421" s="11">
        <f t="shared" si="37"/>
        <v>4.1299999999999996E-2</v>
      </c>
    </row>
    <row r="2422" spans="1:3" x14ac:dyDescent="0.2">
      <c r="A2422" s="2">
        <v>46002</v>
      </c>
      <c r="B2422">
        <v>4.1399999999999997</v>
      </c>
      <c r="C2422" s="11">
        <f t="shared" si="37"/>
        <v>4.1399999999999999E-2</v>
      </c>
    </row>
    <row r="2423" spans="1:3" x14ac:dyDescent="0.2">
      <c r="A2423" s="2">
        <v>46003</v>
      </c>
      <c r="B2423">
        <v>4.1900000000000004</v>
      </c>
      <c r="C2423" s="11">
        <f t="shared" si="37"/>
        <v>4.1900000000000007E-2</v>
      </c>
    </row>
    <row r="2424" spans="1:3" x14ac:dyDescent="0.2">
      <c r="A2424" s="2">
        <v>46006</v>
      </c>
      <c r="B2424">
        <v>4.18</v>
      </c>
      <c r="C2424" s="11">
        <f t="shared" si="37"/>
        <v>4.1799999999999997E-2</v>
      </c>
    </row>
    <row r="2425" spans="1:3" x14ac:dyDescent="0.2">
      <c r="A2425" s="2">
        <v>46007</v>
      </c>
      <c r="B2425">
        <v>4.1500000000000004</v>
      </c>
      <c r="C2425" s="11">
        <f t="shared" si="37"/>
        <v>4.1500000000000002E-2</v>
      </c>
    </row>
    <row r="2426" spans="1:3" x14ac:dyDescent="0.2">
      <c r="A2426" s="2">
        <v>46008</v>
      </c>
      <c r="B2426">
        <v>4.16</v>
      </c>
      <c r="C2426" s="11">
        <f t="shared" si="37"/>
        <v>4.1599999999999998E-2</v>
      </c>
    </row>
    <row r="2427" spans="1:3" x14ac:dyDescent="0.2">
      <c r="A2427" s="2">
        <v>46009</v>
      </c>
      <c r="B2427">
        <v>4.12</v>
      </c>
      <c r="C2427" s="11">
        <f t="shared" si="37"/>
        <v>4.1200000000000001E-2</v>
      </c>
    </row>
    <row r="2428" spans="1:3" x14ac:dyDescent="0.2">
      <c r="A2428" s="2">
        <v>46010</v>
      </c>
      <c r="B2428">
        <v>4.16</v>
      </c>
      <c r="C2428" s="11">
        <f t="shared" si="37"/>
        <v>4.1599999999999998E-2</v>
      </c>
    </row>
    <row r="2429" spans="1:3" x14ac:dyDescent="0.2">
      <c r="A2429" s="2">
        <v>46013</v>
      </c>
      <c r="B2429">
        <v>4.17</v>
      </c>
      <c r="C2429" s="11">
        <f t="shared" si="37"/>
        <v>4.1700000000000001E-2</v>
      </c>
    </row>
    <row r="2430" spans="1:3" x14ac:dyDescent="0.2">
      <c r="A2430" s="2">
        <v>46014</v>
      </c>
      <c r="B2430">
        <v>4.18</v>
      </c>
      <c r="C2430" s="11">
        <f t="shared" si="37"/>
        <v>4.1799999999999997E-2</v>
      </c>
    </row>
    <row r="2431" spans="1:3" x14ac:dyDescent="0.2">
      <c r="A2431" s="2">
        <v>46015</v>
      </c>
      <c r="B2431">
        <v>4.1500000000000004</v>
      </c>
      <c r="C2431" s="11">
        <f t="shared" si="37"/>
        <v>4.1500000000000002E-2</v>
      </c>
    </row>
    <row r="2432" spans="1:3" x14ac:dyDescent="0.2">
      <c r="A2432" s="2">
        <v>46017</v>
      </c>
      <c r="B2432">
        <v>4.1399999999999997</v>
      </c>
      <c r="C2432" s="11">
        <f t="shared" si="37"/>
        <v>4.1399999999999999E-2</v>
      </c>
    </row>
    <row r="2433" spans="1:3" x14ac:dyDescent="0.2">
      <c r="A2433" s="2">
        <v>46020</v>
      </c>
      <c r="B2433">
        <v>4.12</v>
      </c>
      <c r="C2433" s="11">
        <f t="shared" si="37"/>
        <v>4.1200000000000001E-2</v>
      </c>
    </row>
    <row r="2434" spans="1:3" x14ac:dyDescent="0.2">
      <c r="A2434" s="2">
        <v>46021</v>
      </c>
      <c r="B2434">
        <v>4.1399999999999997</v>
      </c>
      <c r="C2434" s="11">
        <f t="shared" si="37"/>
        <v>4.1399999999999999E-2</v>
      </c>
    </row>
    <row r="2435" spans="1:3" x14ac:dyDescent="0.2">
      <c r="A2435" s="2">
        <v>46022</v>
      </c>
      <c r="B2435">
        <v>4.18</v>
      </c>
      <c r="C2435" s="11">
        <f t="shared" ref="C2435:C2498" si="38">B2435/100</f>
        <v>4.1799999999999997E-2</v>
      </c>
    </row>
    <row r="2436" spans="1:3" x14ac:dyDescent="0.2">
      <c r="A2436" s="2">
        <v>46024</v>
      </c>
      <c r="B2436">
        <v>4.1900000000000004</v>
      </c>
      <c r="C2436" s="11">
        <f t="shared" si="38"/>
        <v>4.1900000000000007E-2</v>
      </c>
    </row>
    <row r="2437" spans="1:3" x14ac:dyDescent="0.2">
      <c r="A2437" s="2">
        <v>46027</v>
      </c>
      <c r="B2437">
        <v>4.17</v>
      </c>
      <c r="C2437" s="11">
        <f t="shared" si="38"/>
        <v>4.1700000000000001E-2</v>
      </c>
    </row>
    <row r="2438" spans="1:3" x14ac:dyDescent="0.2">
      <c r="A2438" s="2">
        <v>46028</v>
      </c>
      <c r="B2438">
        <v>4.18</v>
      </c>
      <c r="C2438" s="11">
        <f t="shared" si="38"/>
        <v>4.1799999999999997E-2</v>
      </c>
    </row>
    <row r="2439" spans="1:3" x14ac:dyDescent="0.2">
      <c r="A2439" s="2">
        <v>46029</v>
      </c>
      <c r="B2439">
        <v>4.1500000000000004</v>
      </c>
      <c r="C2439" s="11">
        <f t="shared" si="38"/>
        <v>4.1500000000000002E-2</v>
      </c>
    </row>
    <row r="2440" spans="1:3" x14ac:dyDescent="0.2">
      <c r="A2440" s="2">
        <v>46030</v>
      </c>
      <c r="B2440">
        <v>4.1900000000000004</v>
      </c>
      <c r="C2440" s="11">
        <f t="shared" si="38"/>
        <v>4.1900000000000007E-2</v>
      </c>
    </row>
    <row r="2441" spans="1:3" x14ac:dyDescent="0.2">
      <c r="A2441" s="2">
        <v>46031</v>
      </c>
      <c r="B2441">
        <v>4.18</v>
      </c>
      <c r="C2441" s="11">
        <f t="shared" si="38"/>
        <v>4.1799999999999997E-2</v>
      </c>
    </row>
    <row r="2442" spans="1:3" x14ac:dyDescent="0.2">
      <c r="A2442" s="2">
        <v>46034</v>
      </c>
      <c r="B2442">
        <v>4.1900000000000004</v>
      </c>
      <c r="C2442" s="11">
        <f t="shared" si="38"/>
        <v>4.1900000000000007E-2</v>
      </c>
    </row>
    <row r="2443" spans="1:3" x14ac:dyDescent="0.2">
      <c r="A2443" s="2">
        <v>46035</v>
      </c>
      <c r="B2443">
        <v>4.18</v>
      </c>
      <c r="C2443" s="11">
        <f t="shared" si="38"/>
        <v>4.1799999999999997E-2</v>
      </c>
    </row>
    <row r="2444" spans="1:3" x14ac:dyDescent="0.2">
      <c r="A2444" s="2">
        <v>46036</v>
      </c>
      <c r="B2444">
        <v>4.1500000000000004</v>
      </c>
      <c r="C2444" s="11">
        <f t="shared" si="38"/>
        <v>4.1500000000000002E-2</v>
      </c>
    </row>
    <row r="2445" spans="1:3" x14ac:dyDescent="0.2">
      <c r="A2445" s="2">
        <v>46037</v>
      </c>
      <c r="B2445">
        <v>4.17</v>
      </c>
      <c r="C2445" s="11">
        <f t="shared" si="38"/>
        <v>4.1700000000000001E-2</v>
      </c>
    </row>
    <row r="2446" spans="1:3" x14ac:dyDescent="0.2">
      <c r="A2446" s="2">
        <v>46038</v>
      </c>
      <c r="B2446">
        <v>4.24</v>
      </c>
      <c r="C2446" s="11">
        <f t="shared" si="38"/>
        <v>4.24E-2</v>
      </c>
    </row>
    <row r="2447" spans="1:3" x14ac:dyDescent="0.2">
      <c r="A2447" s="2">
        <v>46042</v>
      </c>
      <c r="B2447">
        <v>4.3</v>
      </c>
      <c r="C2447" s="11">
        <f t="shared" si="38"/>
        <v>4.2999999999999997E-2</v>
      </c>
    </row>
    <row r="2448" spans="1:3" x14ac:dyDescent="0.2">
      <c r="A2448" s="2">
        <v>46043</v>
      </c>
      <c r="B2448">
        <v>4.26</v>
      </c>
      <c r="C2448" s="11">
        <f t="shared" si="38"/>
        <v>4.2599999999999999E-2</v>
      </c>
    </row>
    <row r="2449" spans="1:3" x14ac:dyDescent="0.2">
      <c r="A2449" s="2">
        <v>46044</v>
      </c>
      <c r="B2449">
        <v>4.26</v>
      </c>
      <c r="C2449" s="11">
        <f t="shared" si="38"/>
        <v>4.2599999999999999E-2</v>
      </c>
    </row>
    <row r="2450" spans="1:3" x14ac:dyDescent="0.2">
      <c r="A2450" s="2">
        <v>46045</v>
      </c>
      <c r="B2450">
        <v>4.24</v>
      </c>
      <c r="C2450" s="11">
        <f t="shared" si="38"/>
        <v>4.24E-2</v>
      </c>
    </row>
    <row r="2451" spans="1:3" x14ac:dyDescent="0.2">
      <c r="A2451" s="2">
        <v>46048</v>
      </c>
      <c r="B2451">
        <v>4.22</v>
      </c>
      <c r="C2451" s="11">
        <f t="shared" si="38"/>
        <v>4.2199999999999994E-2</v>
      </c>
    </row>
    <row r="2452" spans="1:3" x14ac:dyDescent="0.2">
      <c r="A2452" s="2">
        <v>46049</v>
      </c>
      <c r="B2452">
        <v>4.24</v>
      </c>
      <c r="C2452" s="11">
        <f t="shared" si="38"/>
        <v>4.24E-2</v>
      </c>
    </row>
    <row r="2453" spans="1:3" x14ac:dyDescent="0.2">
      <c r="A2453" s="2">
        <v>46050</v>
      </c>
      <c r="B2453">
        <v>4.26</v>
      </c>
      <c r="C2453" s="11">
        <f t="shared" si="38"/>
        <v>4.2599999999999999E-2</v>
      </c>
    </row>
    <row r="2454" spans="1:3" x14ac:dyDescent="0.2">
      <c r="A2454" s="2">
        <v>46051</v>
      </c>
      <c r="B2454">
        <v>4.24</v>
      </c>
      <c r="C2454" s="11">
        <f t="shared" si="38"/>
        <v>4.24E-2</v>
      </c>
    </row>
    <row r="2455" spans="1:3" x14ac:dyDescent="0.2">
      <c r="A2455" s="2">
        <v>46052</v>
      </c>
      <c r="B2455">
        <v>4.26</v>
      </c>
      <c r="C2455" s="11">
        <f t="shared" si="38"/>
        <v>4.2599999999999999E-2</v>
      </c>
    </row>
    <row r="2456" spans="1:3" x14ac:dyDescent="0.2">
      <c r="A2456" s="2">
        <v>46055</v>
      </c>
      <c r="B2456">
        <v>4.29</v>
      </c>
      <c r="C2456" s="11">
        <f t="shared" si="38"/>
        <v>4.2900000000000001E-2</v>
      </c>
    </row>
    <row r="2457" spans="1:3" x14ac:dyDescent="0.2">
      <c r="A2457" s="2">
        <v>46056</v>
      </c>
      <c r="B2457">
        <v>4.28</v>
      </c>
      <c r="C2457" s="11">
        <f t="shared" si="38"/>
        <v>4.2800000000000005E-2</v>
      </c>
    </row>
    <row r="2458" spans="1:3" x14ac:dyDescent="0.2">
      <c r="A2458" s="2">
        <v>46057</v>
      </c>
      <c r="B2458">
        <v>4.29</v>
      </c>
      <c r="C2458" s="11">
        <f t="shared" si="38"/>
        <v>4.2900000000000001E-2</v>
      </c>
    </row>
    <row r="2459" spans="1:3" x14ac:dyDescent="0.2">
      <c r="A2459" s="2">
        <v>46058</v>
      </c>
      <c r="B2459">
        <v>4.21</v>
      </c>
      <c r="C2459" s="11">
        <f t="shared" si="38"/>
        <v>4.2099999999999999E-2</v>
      </c>
    </row>
    <row r="2460" spans="1:3" x14ac:dyDescent="0.2">
      <c r="A2460" s="2">
        <v>46059</v>
      </c>
      <c r="B2460">
        <v>4.22</v>
      </c>
      <c r="C2460" s="11">
        <f t="shared" si="38"/>
        <v>4.2199999999999994E-2</v>
      </c>
    </row>
    <row r="2461" spans="1:3" x14ac:dyDescent="0.2">
      <c r="A2461" s="2">
        <v>46062</v>
      </c>
      <c r="B2461">
        <v>4.22</v>
      </c>
      <c r="C2461" s="11">
        <f t="shared" si="38"/>
        <v>4.2199999999999994E-2</v>
      </c>
    </row>
    <row r="2462" spans="1:3" x14ac:dyDescent="0.2">
      <c r="A2462" s="2">
        <v>46063</v>
      </c>
      <c r="B2462">
        <v>4.16</v>
      </c>
      <c r="C2462" s="11">
        <f t="shared" si="38"/>
        <v>4.1599999999999998E-2</v>
      </c>
    </row>
    <row r="2463" spans="1:3" x14ac:dyDescent="0.2">
      <c r="A2463" s="2">
        <v>46064</v>
      </c>
      <c r="B2463">
        <v>4.18</v>
      </c>
      <c r="C2463" s="11">
        <f t="shared" si="38"/>
        <v>4.1799999999999997E-2</v>
      </c>
    </row>
    <row r="2464" spans="1:3" x14ac:dyDescent="0.2">
      <c r="A2464" s="2">
        <v>46065</v>
      </c>
      <c r="B2464">
        <v>4.09</v>
      </c>
      <c r="C2464" s="11">
        <f t="shared" si="38"/>
        <v>4.0899999999999999E-2</v>
      </c>
    </row>
    <row r="2465" spans="1:3" x14ac:dyDescent="0.2">
      <c r="A2465" s="2">
        <v>46066</v>
      </c>
      <c r="B2465">
        <v>4.04</v>
      </c>
      <c r="C2465" s="11">
        <f t="shared" si="38"/>
        <v>4.0399999999999998E-2</v>
      </c>
    </row>
    <row r="2466" spans="1:3" x14ac:dyDescent="0.2">
      <c r="A2466" s="2">
        <v>46070</v>
      </c>
      <c r="B2466">
        <v>4.05</v>
      </c>
      <c r="C2466" s="11">
        <f t="shared" si="38"/>
        <v>4.0500000000000001E-2</v>
      </c>
    </row>
    <row r="2467" spans="1:3" x14ac:dyDescent="0.2">
      <c r="A2467" s="2">
        <v>46071</v>
      </c>
      <c r="B2467">
        <v>4.09</v>
      </c>
      <c r="C2467" s="11">
        <f t="shared" si="38"/>
        <v>4.0899999999999999E-2</v>
      </c>
    </row>
    <row r="2468" spans="1:3" x14ac:dyDescent="0.2">
      <c r="A2468" s="2">
        <v>46072</v>
      </c>
      <c r="B2468">
        <v>4.08</v>
      </c>
      <c r="C2468" s="11">
        <f t="shared" si="38"/>
        <v>4.0800000000000003E-2</v>
      </c>
    </row>
    <row r="2469" spans="1:3" x14ac:dyDescent="0.2">
      <c r="A2469" s="2">
        <v>46073</v>
      </c>
      <c r="B2469">
        <v>4.08</v>
      </c>
      <c r="C2469" s="11">
        <f t="shared" si="38"/>
        <v>4.0800000000000003E-2</v>
      </c>
    </row>
    <row r="2470" spans="1:3" x14ac:dyDescent="0.2">
      <c r="A2470" s="2">
        <v>46076</v>
      </c>
      <c r="B2470">
        <v>4.03</v>
      </c>
      <c r="C2470" s="11">
        <f t="shared" si="38"/>
        <v>4.0300000000000002E-2</v>
      </c>
    </row>
    <row r="2471" spans="1:3" x14ac:dyDescent="0.2">
      <c r="A2471" s="2">
        <v>46077</v>
      </c>
      <c r="B2471">
        <v>4.04</v>
      </c>
      <c r="C2471" s="11">
        <f t="shared" si="38"/>
        <v>4.0399999999999998E-2</v>
      </c>
    </row>
    <row r="2472" spans="1:3" x14ac:dyDescent="0.2">
      <c r="A2472" s="2">
        <v>46078</v>
      </c>
      <c r="B2472">
        <v>4.05</v>
      </c>
      <c r="C2472" s="11">
        <f t="shared" si="38"/>
        <v>4.0500000000000001E-2</v>
      </c>
    </row>
    <row r="2473" spans="1:3" x14ac:dyDescent="0.2">
      <c r="A2473" s="2">
        <v>46079</v>
      </c>
      <c r="B2473">
        <v>4.0199999999999996</v>
      </c>
      <c r="C2473" s="11">
        <f t="shared" si="38"/>
        <v>4.0199999999999993E-2</v>
      </c>
    </row>
    <row r="2474" spans="1:3" x14ac:dyDescent="0.2">
      <c r="A2474" s="2">
        <v>46080</v>
      </c>
      <c r="B2474">
        <v>3.97</v>
      </c>
      <c r="C2474" s="11">
        <f t="shared" si="38"/>
        <v>3.9699999999999999E-2</v>
      </c>
    </row>
    <row r="2475" spans="1:3" x14ac:dyDescent="0.2">
      <c r="A2475" s="2">
        <v>46083</v>
      </c>
      <c r="B2475">
        <v>4.05</v>
      </c>
      <c r="C2475" s="11">
        <f t="shared" si="38"/>
        <v>4.0500000000000001E-2</v>
      </c>
    </row>
    <row r="2476" spans="1:3" x14ac:dyDescent="0.2">
      <c r="A2476" s="2">
        <v>46084</v>
      </c>
      <c r="B2476">
        <v>4.0599999999999996</v>
      </c>
      <c r="C2476" s="11">
        <f t="shared" si="38"/>
        <v>4.0599999999999997E-2</v>
      </c>
    </row>
    <row r="2477" spans="1:3" x14ac:dyDescent="0.2">
      <c r="A2477" s="2">
        <v>46085</v>
      </c>
      <c r="B2477">
        <v>4.09</v>
      </c>
      <c r="C2477" s="11">
        <f t="shared" si="38"/>
        <v>4.0899999999999999E-2</v>
      </c>
    </row>
    <row r="2478" spans="1:3" x14ac:dyDescent="0.2">
      <c r="A2478" s="2">
        <v>46086</v>
      </c>
      <c r="B2478">
        <v>4.13</v>
      </c>
      <c r="C2478" s="11">
        <f t="shared" si="38"/>
        <v>4.1299999999999996E-2</v>
      </c>
    </row>
    <row r="2479" spans="1:3" x14ac:dyDescent="0.2">
      <c r="A2479" s="2">
        <v>46087</v>
      </c>
      <c r="B2479">
        <v>4.1500000000000004</v>
      </c>
      <c r="C2479" s="11">
        <f t="shared" si="38"/>
        <v>4.1500000000000002E-2</v>
      </c>
    </row>
    <row r="2480" spans="1:3" x14ac:dyDescent="0.2">
      <c r="A2480" s="2">
        <v>46090</v>
      </c>
      <c r="B2480">
        <v>4.12</v>
      </c>
      <c r="C2480" s="11">
        <f t="shared" si="38"/>
        <v>4.1200000000000001E-2</v>
      </c>
    </row>
    <row r="2481" spans="1:3" x14ac:dyDescent="0.2">
      <c r="A2481" s="2">
        <v>46091</v>
      </c>
      <c r="B2481">
        <v>4.1500000000000004</v>
      </c>
      <c r="C2481" s="11">
        <f t="shared" si="38"/>
        <v>4.1500000000000002E-2</v>
      </c>
    </row>
    <row r="2482" spans="1:3" x14ac:dyDescent="0.2">
      <c r="A2482" s="2">
        <v>46092</v>
      </c>
      <c r="B2482">
        <v>4.21</v>
      </c>
      <c r="C2482" s="11">
        <f t="shared" si="38"/>
        <v>4.2099999999999999E-2</v>
      </c>
    </row>
    <row r="2483" spans="1:3" x14ac:dyDescent="0.2">
      <c r="A2483" s="2">
        <v>46093</v>
      </c>
      <c r="B2483">
        <v>4.2699999999999996</v>
      </c>
      <c r="C2483" s="11">
        <f t="shared" si="38"/>
        <v>4.2699999999999995E-2</v>
      </c>
    </row>
    <row r="2484" spans="1:3" x14ac:dyDescent="0.2">
      <c r="A2484" s="2">
        <v>46094</v>
      </c>
      <c r="B2484">
        <v>4.28</v>
      </c>
      <c r="C2484" s="11">
        <f t="shared" si="38"/>
        <v>4.2800000000000005E-2</v>
      </c>
    </row>
    <row r="2485" spans="1:3" x14ac:dyDescent="0.2">
      <c r="A2485" s="2">
        <v>46097</v>
      </c>
      <c r="B2485">
        <v>4.2300000000000004</v>
      </c>
      <c r="C2485" s="11">
        <f t="shared" si="38"/>
        <v>4.2300000000000004E-2</v>
      </c>
    </row>
    <row r="2486" spans="1:3" x14ac:dyDescent="0.2">
      <c r="A2486" s="2">
        <v>46098</v>
      </c>
      <c r="B2486">
        <v>4.2</v>
      </c>
      <c r="C2486" s="11">
        <f t="shared" si="38"/>
        <v>4.2000000000000003E-2</v>
      </c>
    </row>
    <row r="2487" spans="1:3" x14ac:dyDescent="0.2">
      <c r="A2487" s="2">
        <v>46099</v>
      </c>
      <c r="B2487">
        <v>4.26</v>
      </c>
      <c r="C2487" s="11">
        <f t="shared" si="38"/>
        <v>4.2599999999999999E-2</v>
      </c>
    </row>
    <row r="2488" spans="1:3" x14ac:dyDescent="0.2">
      <c r="A2488" s="2">
        <v>46100</v>
      </c>
      <c r="B2488">
        <v>4.25</v>
      </c>
      <c r="C2488" s="11">
        <f t="shared" si="38"/>
        <v>4.2500000000000003E-2</v>
      </c>
    </row>
    <row r="2489" spans="1:3" x14ac:dyDescent="0.2">
      <c r="A2489" s="2">
        <v>46101</v>
      </c>
      <c r="B2489">
        <v>4.3899999999999997</v>
      </c>
      <c r="C2489" s="11">
        <f t="shared" si="38"/>
        <v>4.3899999999999995E-2</v>
      </c>
    </row>
    <row r="2490" spans="1:3" x14ac:dyDescent="0.2">
      <c r="A2490" s="2">
        <v>46104</v>
      </c>
      <c r="B2490">
        <v>4.34</v>
      </c>
      <c r="C2490" s="11">
        <f t="shared" si="38"/>
        <v>4.3400000000000001E-2</v>
      </c>
    </row>
    <row r="2491" spans="1:3" x14ac:dyDescent="0.2">
      <c r="A2491" s="2">
        <v>46105</v>
      </c>
      <c r="B2491">
        <v>4.3899999999999997</v>
      </c>
      <c r="C2491" s="11">
        <f t="shared" si="38"/>
        <v>4.3899999999999995E-2</v>
      </c>
    </row>
    <row r="2492" spans="1:3" x14ac:dyDescent="0.2">
      <c r="A2492" s="2">
        <v>46106</v>
      </c>
      <c r="B2492">
        <v>4.33</v>
      </c>
      <c r="C2492" s="11">
        <f t="shared" si="38"/>
        <v>4.3299999999999998E-2</v>
      </c>
    </row>
    <row r="2493" spans="1:3" x14ac:dyDescent="0.2">
      <c r="A2493" s="2">
        <v>46107</v>
      </c>
      <c r="B2493">
        <v>4.42</v>
      </c>
      <c r="C2493" s="11">
        <f t="shared" si="38"/>
        <v>4.4199999999999996E-2</v>
      </c>
    </row>
    <row r="2494" spans="1:3" x14ac:dyDescent="0.2">
      <c r="A2494" s="2">
        <v>46108</v>
      </c>
      <c r="B2494">
        <v>4.4400000000000004</v>
      </c>
      <c r="C2494" s="11">
        <f t="shared" si="38"/>
        <v>4.4400000000000002E-2</v>
      </c>
    </row>
    <row r="2495" spans="1:3" x14ac:dyDescent="0.2">
      <c r="A2495" s="2">
        <v>46111</v>
      </c>
      <c r="B2495">
        <v>4.3499999999999996</v>
      </c>
      <c r="C2495" s="11">
        <f t="shared" si="38"/>
        <v>4.3499999999999997E-2</v>
      </c>
    </row>
    <row r="2496" spans="1:3" x14ac:dyDescent="0.2">
      <c r="A2496" s="2">
        <v>46112</v>
      </c>
      <c r="B2496">
        <v>4.3</v>
      </c>
      <c r="C2496" s="11">
        <f t="shared" si="38"/>
        <v>4.2999999999999997E-2</v>
      </c>
    </row>
    <row r="2497" spans="1:3" x14ac:dyDescent="0.2">
      <c r="A2497" s="2">
        <v>46113</v>
      </c>
      <c r="B2497">
        <v>4.33</v>
      </c>
      <c r="C2497" s="11">
        <f t="shared" si="38"/>
        <v>4.3299999999999998E-2</v>
      </c>
    </row>
    <row r="2498" spans="1:3" x14ac:dyDescent="0.2">
      <c r="A2498" s="2">
        <v>46114</v>
      </c>
      <c r="B2498">
        <v>4.3099999999999996</v>
      </c>
      <c r="C2498" s="11">
        <f t="shared" si="38"/>
        <v>4.3099999999999999E-2</v>
      </c>
    </row>
    <row r="2499" spans="1:3" x14ac:dyDescent="0.2">
      <c r="A2499" s="2">
        <v>46115</v>
      </c>
      <c r="B2499">
        <v>4.3499999999999996</v>
      </c>
      <c r="C2499" s="11">
        <f t="shared" ref="C2499:C2500" si="39">B2499/100</f>
        <v>4.3499999999999997E-2</v>
      </c>
    </row>
    <row r="2500" spans="1:3" x14ac:dyDescent="0.2">
      <c r="A2500" s="2">
        <v>46118</v>
      </c>
      <c r="B2500">
        <v>4.34</v>
      </c>
      <c r="C2500" s="11">
        <f t="shared" si="39"/>
        <v>4.3400000000000001E-2</v>
      </c>
    </row>
  </sheetData>
  <sortState xmlns:xlrd2="http://schemas.microsoft.com/office/spreadsheetml/2017/richdata2" ref="A2:A2500">
    <sortCondition ref="A1:A2500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D12" sqref="D12:E12"/>
    </sheetView>
  </sheetViews>
  <sheetFormatPr baseColWidth="10" defaultColWidth="8.83203125" defaultRowHeight="15" x14ac:dyDescent="0.2"/>
  <cols>
    <col min="1" max="1" width="19.1640625" customWidth="1"/>
    <col min="2" max="2" width="22" customWidth="1"/>
  </cols>
  <sheetData>
    <row r="1" spans="1:2" x14ac:dyDescent="0.2">
      <c r="A1" s="1" t="s">
        <v>12</v>
      </c>
      <c r="B1" s="1" t="s">
        <v>13</v>
      </c>
    </row>
    <row r="2" spans="1:2" x14ac:dyDescent="0.2">
      <c r="A2" t="s">
        <v>14</v>
      </c>
      <c r="B2">
        <v>14681140000</v>
      </c>
    </row>
    <row r="3" spans="1:2" x14ac:dyDescent="0.2">
      <c r="A3" t="s">
        <v>15</v>
      </c>
      <c r="B3">
        <v>253.5</v>
      </c>
    </row>
    <row r="4" spans="1:2" x14ac:dyDescent="0.2">
      <c r="A4" t="s">
        <v>16</v>
      </c>
      <c r="B4">
        <v>3725924237312</v>
      </c>
    </row>
    <row r="5" spans="1:2" x14ac:dyDescent="0.2">
      <c r="A5" t="s">
        <v>17</v>
      </c>
      <c r="B5">
        <v>1.109</v>
      </c>
    </row>
    <row r="6" spans="1:2" x14ac:dyDescent="0.2">
      <c r="A6" t="s">
        <v>18</v>
      </c>
      <c r="B6">
        <v>32.088608000000001</v>
      </c>
    </row>
    <row r="9" spans="1:2" x14ac:dyDescent="0.2">
      <c r="A9" t="s">
        <v>24</v>
      </c>
      <c r="B9">
        <f>(B2*B3)</f>
        <v>3721668990000</v>
      </c>
    </row>
    <row r="10" spans="1:2" x14ac:dyDescent="0.2">
      <c r="A10" t="s">
        <v>25</v>
      </c>
      <c r="B10">
        <f>B4/B2</f>
        <v>253.78984447474787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0B9C9-5E61-C343-AE92-7193FD2839E6}">
  <dimension ref="A1:K52"/>
  <sheetViews>
    <sheetView workbookViewId="0">
      <selection activeCell="E48" sqref="E48"/>
    </sheetView>
  </sheetViews>
  <sheetFormatPr baseColWidth="10" defaultRowHeight="15" x14ac:dyDescent="0.2"/>
  <cols>
    <col min="1" max="1" width="37.5" bestFit="1" customWidth="1"/>
    <col min="2" max="2" width="11.6640625" bestFit="1" customWidth="1"/>
    <col min="5" max="6" width="20" customWidth="1"/>
    <col min="8" max="8" width="10.83203125" style="7"/>
    <col min="9" max="9" width="19.83203125" customWidth="1"/>
    <col min="10" max="10" width="39.33203125" customWidth="1"/>
    <col min="11" max="11" width="25.1640625" customWidth="1"/>
  </cols>
  <sheetData>
    <row r="1" spans="1:11" x14ac:dyDescent="0.2">
      <c r="A1" s="8" t="s">
        <v>33</v>
      </c>
      <c r="B1" s="8" t="s">
        <v>34</v>
      </c>
      <c r="C1" s="8" t="s">
        <v>35</v>
      </c>
      <c r="D1" s="8" t="s">
        <v>36</v>
      </c>
      <c r="E1" s="8">
        <v>2022</v>
      </c>
    </row>
    <row r="2" spans="1:11" x14ac:dyDescent="0.2">
      <c r="A2" s="8" t="s">
        <v>38</v>
      </c>
      <c r="B2" s="8" t="s">
        <v>39</v>
      </c>
      <c r="C2" s="8" t="s">
        <v>40</v>
      </c>
      <c r="D2" s="8" t="s">
        <v>41</v>
      </c>
      <c r="E2" s="8" t="s">
        <v>187</v>
      </c>
    </row>
    <row r="3" spans="1:11" x14ac:dyDescent="0.2">
      <c r="A3" s="8" t="s">
        <v>42</v>
      </c>
      <c r="B3" s="8" t="s">
        <v>39</v>
      </c>
      <c r="C3" s="8" t="s">
        <v>40</v>
      </c>
      <c r="D3" s="8" t="s">
        <v>41</v>
      </c>
      <c r="E3" s="8">
        <v>122151000</v>
      </c>
    </row>
    <row r="4" spans="1:11" x14ac:dyDescent="0.2">
      <c r="A4" s="8" t="s">
        <v>43</v>
      </c>
      <c r="B4" s="8" t="s">
        <v>44</v>
      </c>
      <c r="C4" s="8" t="s">
        <v>45</v>
      </c>
      <c r="D4" s="8" t="s">
        <v>46</v>
      </c>
      <c r="E4" s="8">
        <v>99803000</v>
      </c>
      <c r="J4" s="8"/>
    </row>
    <row r="5" spans="1:11" x14ac:dyDescent="0.2">
      <c r="A5" s="8" t="s">
        <v>48</v>
      </c>
      <c r="B5" s="8" t="s">
        <v>49</v>
      </c>
      <c r="C5" s="8" t="s">
        <v>50</v>
      </c>
      <c r="D5" s="8" t="s">
        <v>51</v>
      </c>
      <c r="E5" s="8">
        <v>11104000</v>
      </c>
      <c r="K5" s="8"/>
    </row>
    <row r="6" spans="1:11" x14ac:dyDescent="0.2">
      <c r="A6" s="8" t="s">
        <v>53</v>
      </c>
      <c r="B6" s="8" t="s">
        <v>49</v>
      </c>
      <c r="C6" s="8" t="s">
        <v>50</v>
      </c>
      <c r="D6" s="8" t="s">
        <v>51</v>
      </c>
      <c r="E6" s="8">
        <v>11104000</v>
      </c>
      <c r="K6" s="8"/>
    </row>
    <row r="7" spans="1:11" x14ac:dyDescent="0.2">
      <c r="A7" s="8" t="s">
        <v>54</v>
      </c>
      <c r="B7" s="8" t="s">
        <v>55</v>
      </c>
      <c r="C7" s="8" t="s">
        <v>55</v>
      </c>
      <c r="D7" s="8" t="s">
        <v>55</v>
      </c>
      <c r="E7" s="8">
        <v>895000</v>
      </c>
      <c r="F7" s="8"/>
      <c r="K7" s="8"/>
    </row>
    <row r="8" spans="1:11" x14ac:dyDescent="0.2">
      <c r="A8" s="8" t="s">
        <v>56</v>
      </c>
      <c r="B8" s="8" t="s">
        <v>55</v>
      </c>
      <c r="C8" s="8" t="s">
        <v>55</v>
      </c>
      <c r="D8" s="8" t="s">
        <v>55</v>
      </c>
      <c r="E8" s="8">
        <v>895000</v>
      </c>
      <c r="F8" s="8"/>
      <c r="K8" s="8"/>
    </row>
    <row r="9" spans="1:11" x14ac:dyDescent="0.2">
      <c r="A9" s="8" t="s">
        <v>57</v>
      </c>
      <c r="B9" s="8" t="s">
        <v>58</v>
      </c>
      <c r="C9" s="8" t="s">
        <v>59</v>
      </c>
      <c r="D9" s="8" t="s">
        <v>60</v>
      </c>
      <c r="E9" s="8">
        <v>9038000</v>
      </c>
      <c r="F9" s="8"/>
    </row>
    <row r="10" spans="1:11" x14ac:dyDescent="0.2">
      <c r="A10" s="8" t="s">
        <v>61</v>
      </c>
      <c r="B10" s="8" t="s">
        <v>62</v>
      </c>
      <c r="C10" s="8" t="s">
        <v>63</v>
      </c>
      <c r="D10" s="8" t="s">
        <v>64</v>
      </c>
      <c r="E10" s="8">
        <v>1006000</v>
      </c>
      <c r="F10" s="8"/>
      <c r="I10" s="8"/>
      <c r="J10" s="8"/>
    </row>
    <row r="11" spans="1:11" x14ac:dyDescent="0.2">
      <c r="A11" s="8" t="s">
        <v>65</v>
      </c>
      <c r="B11" s="8" t="s">
        <v>66</v>
      </c>
      <c r="C11" s="8" t="s">
        <v>67</v>
      </c>
      <c r="D11" s="8" t="s">
        <v>68</v>
      </c>
      <c r="E11" s="8">
        <v>1200000</v>
      </c>
      <c r="F11" s="8"/>
      <c r="I11" s="9"/>
      <c r="J11" s="9"/>
    </row>
    <row r="12" spans="1:11" x14ac:dyDescent="0.2">
      <c r="A12" s="8" t="s">
        <v>69</v>
      </c>
      <c r="B12" s="8" t="s">
        <v>70</v>
      </c>
      <c r="C12" s="8" t="s">
        <v>71</v>
      </c>
      <c r="D12" s="8" t="s">
        <v>72</v>
      </c>
      <c r="E12" s="8">
        <v>-9343000</v>
      </c>
      <c r="F12" s="8"/>
    </row>
    <row r="13" spans="1:11" x14ac:dyDescent="0.2">
      <c r="A13" s="8" t="s">
        <v>73</v>
      </c>
      <c r="B13" s="8" t="s">
        <v>74</v>
      </c>
      <c r="C13" s="8" t="s">
        <v>75</v>
      </c>
      <c r="D13" s="8" t="s">
        <v>76</v>
      </c>
      <c r="E13" s="8">
        <v>-1823000</v>
      </c>
      <c r="F13" s="8"/>
    </row>
    <row r="14" spans="1:11" x14ac:dyDescent="0.2">
      <c r="A14" s="8" t="s">
        <v>77</v>
      </c>
      <c r="B14" s="8" t="s">
        <v>78</v>
      </c>
      <c r="C14" s="8" t="s">
        <v>79</v>
      </c>
      <c r="D14" s="8" t="s">
        <v>80</v>
      </c>
      <c r="E14" s="8">
        <v>1484000</v>
      </c>
      <c r="F14" s="8"/>
    </row>
    <row r="15" spans="1:11" x14ac:dyDescent="0.2">
      <c r="A15" s="8" t="s">
        <v>81</v>
      </c>
      <c r="B15" s="8" t="s">
        <v>82</v>
      </c>
      <c r="C15" s="8" t="s">
        <v>83</v>
      </c>
      <c r="D15" s="8" t="s">
        <v>84</v>
      </c>
      <c r="E15" s="8">
        <v>9448000</v>
      </c>
      <c r="F15" s="8"/>
    </row>
    <row r="16" spans="1:11" x14ac:dyDescent="0.2">
      <c r="A16" s="8" t="s">
        <v>85</v>
      </c>
      <c r="B16" s="8" t="s">
        <v>82</v>
      </c>
      <c r="C16" s="8" t="s">
        <v>83</v>
      </c>
      <c r="D16" s="8" t="s">
        <v>84</v>
      </c>
      <c r="E16" s="8">
        <v>9448000</v>
      </c>
      <c r="F16" s="8"/>
    </row>
    <row r="17" spans="1:6" x14ac:dyDescent="0.2">
      <c r="A17" s="8" t="s">
        <v>86</v>
      </c>
      <c r="B17" s="8" t="s">
        <v>82</v>
      </c>
      <c r="C17" s="8" t="s">
        <v>83</v>
      </c>
      <c r="D17" s="8" t="s">
        <v>84</v>
      </c>
      <c r="E17" s="8">
        <v>9448000</v>
      </c>
      <c r="F17" s="8"/>
    </row>
    <row r="18" spans="1:6" x14ac:dyDescent="0.2">
      <c r="A18" s="8" t="s">
        <v>87</v>
      </c>
      <c r="B18" s="8" t="s">
        <v>88</v>
      </c>
      <c r="C18" s="8" t="s">
        <v>89</v>
      </c>
      <c r="D18" s="8" t="s">
        <v>90</v>
      </c>
      <c r="E18" s="8">
        <v>-6499000</v>
      </c>
      <c r="F18" s="8"/>
    </row>
    <row r="19" spans="1:6" x14ac:dyDescent="0.2">
      <c r="A19" s="8" t="s">
        <v>91</v>
      </c>
      <c r="B19" s="8" t="s">
        <v>92</v>
      </c>
      <c r="C19" s="8" t="s">
        <v>93</v>
      </c>
      <c r="D19" s="8" t="s">
        <v>94</v>
      </c>
      <c r="E19" s="8">
        <v>6110000</v>
      </c>
      <c r="F19" s="8"/>
    </row>
    <row r="20" spans="1:6" x14ac:dyDescent="0.2">
      <c r="A20" s="8" t="s">
        <v>95</v>
      </c>
      <c r="B20" s="8" t="s">
        <v>55</v>
      </c>
      <c r="C20" s="8" t="s">
        <v>55</v>
      </c>
      <c r="D20" s="8" t="s">
        <v>55</v>
      </c>
      <c r="E20" s="8">
        <v>478000</v>
      </c>
      <c r="F20" s="8"/>
    </row>
    <row r="21" spans="1:6" x14ac:dyDescent="0.2">
      <c r="A21" s="8" t="s">
        <v>96</v>
      </c>
      <c r="B21" s="8" t="s">
        <v>97</v>
      </c>
      <c r="C21" s="8" t="s">
        <v>98</v>
      </c>
      <c r="D21" s="8" t="s">
        <v>99</v>
      </c>
      <c r="E21" s="8">
        <v>-22354000</v>
      </c>
      <c r="F21" s="8"/>
    </row>
    <row r="22" spans="1:6" x14ac:dyDescent="0.2">
      <c r="A22" s="8" t="s">
        <v>100</v>
      </c>
      <c r="B22" s="8" t="s">
        <v>97</v>
      </c>
      <c r="C22" s="8" t="s">
        <v>98</v>
      </c>
      <c r="D22" s="8" t="s">
        <v>99</v>
      </c>
      <c r="E22" s="8">
        <v>-22354000</v>
      </c>
      <c r="F22" s="8"/>
    </row>
    <row r="23" spans="1:6" x14ac:dyDescent="0.2">
      <c r="A23" s="8" t="s">
        <v>101</v>
      </c>
      <c r="B23" s="8" t="s">
        <v>102</v>
      </c>
      <c r="C23" s="8" t="s">
        <v>103</v>
      </c>
      <c r="D23" s="8" t="s">
        <v>104</v>
      </c>
      <c r="E23" s="8">
        <v>-10708000</v>
      </c>
      <c r="F23" s="8"/>
    </row>
    <row r="24" spans="1:6" x14ac:dyDescent="0.2">
      <c r="A24" s="8" t="s">
        <v>105</v>
      </c>
      <c r="B24" s="8" t="s">
        <v>102</v>
      </c>
      <c r="C24" s="8" t="s">
        <v>103</v>
      </c>
      <c r="D24" s="8" t="s">
        <v>104</v>
      </c>
      <c r="E24" s="8">
        <v>-10708000</v>
      </c>
      <c r="F24" s="8"/>
    </row>
    <row r="25" spans="1:6" x14ac:dyDescent="0.2">
      <c r="A25" s="8" t="s">
        <v>106</v>
      </c>
      <c r="B25" s="8" t="s">
        <v>55</v>
      </c>
      <c r="C25" s="8" t="s">
        <v>55</v>
      </c>
      <c r="D25" s="8" t="s">
        <v>55</v>
      </c>
      <c r="E25" s="8">
        <v>-306000</v>
      </c>
      <c r="F25" s="8"/>
    </row>
    <row r="26" spans="1:6" x14ac:dyDescent="0.2">
      <c r="A26" s="8" t="s">
        <v>107</v>
      </c>
      <c r="B26" s="8" t="s">
        <v>55</v>
      </c>
      <c r="C26" s="8" t="s">
        <v>55</v>
      </c>
      <c r="D26" s="8" t="s">
        <v>55</v>
      </c>
      <c r="E26" s="8">
        <v>-306000</v>
      </c>
      <c r="F26" s="8"/>
    </row>
    <row r="27" spans="1:6" x14ac:dyDescent="0.2">
      <c r="A27" s="8" t="s">
        <v>108</v>
      </c>
      <c r="B27" s="8" t="s">
        <v>109</v>
      </c>
      <c r="C27" s="8" t="s">
        <v>110</v>
      </c>
      <c r="D27" s="8" t="s">
        <v>111</v>
      </c>
      <c r="E27" s="8">
        <v>-9560000</v>
      </c>
      <c r="F27" s="8"/>
    </row>
    <row r="28" spans="1:6" x14ac:dyDescent="0.2">
      <c r="A28" s="8" t="s">
        <v>112</v>
      </c>
      <c r="B28" s="8" t="s">
        <v>113</v>
      </c>
      <c r="C28" s="8" t="s">
        <v>114</v>
      </c>
      <c r="D28" s="8" t="s">
        <v>115</v>
      </c>
      <c r="E28" s="8">
        <v>-76923000</v>
      </c>
      <c r="F28" s="8"/>
    </row>
    <row r="29" spans="1:6" x14ac:dyDescent="0.2">
      <c r="A29" s="8" t="s">
        <v>116</v>
      </c>
      <c r="B29" s="8" t="s">
        <v>117</v>
      </c>
      <c r="C29" s="8" t="s">
        <v>118</v>
      </c>
      <c r="D29" s="8" t="s">
        <v>119</v>
      </c>
      <c r="E29" s="8">
        <v>67363000</v>
      </c>
      <c r="F29" s="8"/>
    </row>
    <row r="30" spans="1:6" x14ac:dyDescent="0.2">
      <c r="A30" s="8" t="s">
        <v>120</v>
      </c>
      <c r="B30" s="8" t="s">
        <v>121</v>
      </c>
      <c r="C30" s="8" t="s">
        <v>122</v>
      </c>
      <c r="D30" s="8" t="s">
        <v>123</v>
      </c>
      <c r="E30" s="8">
        <v>-2086000</v>
      </c>
      <c r="F30" s="8"/>
    </row>
    <row r="31" spans="1:6" x14ac:dyDescent="0.2">
      <c r="A31" s="8" t="s">
        <v>124</v>
      </c>
      <c r="B31" s="8" t="s">
        <v>125</v>
      </c>
      <c r="C31" s="8" t="s">
        <v>126</v>
      </c>
      <c r="D31" s="8" t="s">
        <v>127</v>
      </c>
      <c r="E31" s="8">
        <v>-110749000</v>
      </c>
      <c r="F31" s="8"/>
    </row>
    <row r="32" spans="1:6" x14ac:dyDescent="0.2">
      <c r="A32" s="8" t="s">
        <v>128</v>
      </c>
      <c r="B32" s="8" t="s">
        <v>125</v>
      </c>
      <c r="C32" s="8" t="s">
        <v>126</v>
      </c>
      <c r="D32" s="8" t="s">
        <v>127</v>
      </c>
      <c r="E32" s="8">
        <v>-110749000</v>
      </c>
      <c r="F32" s="8"/>
    </row>
    <row r="33" spans="1:6" x14ac:dyDescent="0.2">
      <c r="A33" s="8" t="s">
        <v>129</v>
      </c>
      <c r="B33" s="8" t="s">
        <v>130</v>
      </c>
      <c r="C33" s="8" t="s">
        <v>131</v>
      </c>
      <c r="D33" s="8" t="s">
        <v>132</v>
      </c>
      <c r="E33" s="8">
        <v>-123000</v>
      </c>
      <c r="F33" s="8"/>
    </row>
    <row r="34" spans="1:6" x14ac:dyDescent="0.2">
      <c r="A34" s="8" t="s">
        <v>133</v>
      </c>
      <c r="B34" s="8" t="s">
        <v>134</v>
      </c>
      <c r="C34" s="8" t="s">
        <v>135</v>
      </c>
      <c r="D34" s="8" t="s">
        <v>136</v>
      </c>
      <c r="E34" s="8">
        <v>-4078000</v>
      </c>
      <c r="F34" s="8"/>
    </row>
    <row r="35" spans="1:6" x14ac:dyDescent="0.2">
      <c r="A35" s="8" t="s">
        <v>137</v>
      </c>
      <c r="B35" s="8" t="s">
        <v>138</v>
      </c>
      <c r="C35" s="8" t="s">
        <v>139</v>
      </c>
      <c r="D35" s="8" t="s">
        <v>140</v>
      </c>
      <c r="E35" s="8">
        <v>5465000</v>
      </c>
      <c r="F35" s="8"/>
    </row>
    <row r="36" spans="1:6" x14ac:dyDescent="0.2">
      <c r="A36" s="8" t="s">
        <v>141</v>
      </c>
      <c r="B36" s="8" t="s">
        <v>142</v>
      </c>
      <c r="C36" s="8" t="s">
        <v>135</v>
      </c>
      <c r="D36" s="8" t="s">
        <v>143</v>
      </c>
      <c r="E36" s="8">
        <v>-9543000</v>
      </c>
      <c r="F36" s="8"/>
    </row>
    <row r="37" spans="1:6" x14ac:dyDescent="0.2">
      <c r="A37" s="8" t="s">
        <v>144</v>
      </c>
      <c r="B37" s="8" t="s">
        <v>145</v>
      </c>
      <c r="C37" s="8" t="s">
        <v>146</v>
      </c>
      <c r="D37" s="8" t="s">
        <v>147</v>
      </c>
      <c r="E37" s="8">
        <v>3955000</v>
      </c>
      <c r="F37" s="8"/>
    </row>
    <row r="38" spans="1:6" x14ac:dyDescent="0.2">
      <c r="A38" s="8" t="s">
        <v>148</v>
      </c>
      <c r="B38" s="8" t="s">
        <v>149</v>
      </c>
      <c r="C38" s="8" t="s">
        <v>150</v>
      </c>
      <c r="D38" s="8" t="s">
        <v>151</v>
      </c>
      <c r="E38" s="8">
        <v>-89402000</v>
      </c>
      <c r="F38" s="8"/>
    </row>
    <row r="39" spans="1:6" x14ac:dyDescent="0.2">
      <c r="A39" s="8" t="s">
        <v>152</v>
      </c>
      <c r="B39" s="8" t="s">
        <v>149</v>
      </c>
      <c r="C39" s="8" t="s">
        <v>150</v>
      </c>
      <c r="D39" s="8" t="s">
        <v>151</v>
      </c>
      <c r="E39" s="8">
        <v>-89402000</v>
      </c>
      <c r="F39" s="8"/>
    </row>
    <row r="40" spans="1:6" x14ac:dyDescent="0.2">
      <c r="A40" s="8" t="s">
        <v>153</v>
      </c>
      <c r="B40" s="8" t="s">
        <v>154</v>
      </c>
      <c r="C40" s="8" t="s">
        <v>155</v>
      </c>
      <c r="D40" s="8" t="s">
        <v>156</v>
      </c>
      <c r="E40" s="8">
        <v>-14841000</v>
      </c>
      <c r="F40" s="8"/>
    </row>
    <row r="41" spans="1:6" x14ac:dyDescent="0.2">
      <c r="A41" s="8" t="s">
        <v>157</v>
      </c>
      <c r="B41" s="8" t="s">
        <v>154</v>
      </c>
      <c r="C41" s="8" t="s">
        <v>155</v>
      </c>
      <c r="D41" s="8" t="s">
        <v>156</v>
      </c>
      <c r="E41" s="8">
        <v>-14841000</v>
      </c>
      <c r="F41" s="8"/>
    </row>
    <row r="42" spans="1:6" x14ac:dyDescent="0.2">
      <c r="A42" s="8" t="s">
        <v>158</v>
      </c>
      <c r="B42" s="8" t="s">
        <v>159</v>
      </c>
      <c r="C42" s="8" t="s">
        <v>160</v>
      </c>
      <c r="D42" s="8" t="s">
        <v>161</v>
      </c>
      <c r="E42" s="8">
        <v>-6383000</v>
      </c>
      <c r="F42" s="8"/>
    </row>
    <row r="43" spans="1:6" x14ac:dyDescent="0.2">
      <c r="A43" s="8" t="s">
        <v>162</v>
      </c>
      <c r="B43" s="8" t="s">
        <v>163</v>
      </c>
      <c r="C43" s="8" t="s">
        <v>164</v>
      </c>
      <c r="D43" s="8" t="s">
        <v>165</v>
      </c>
      <c r="E43" s="8">
        <v>24977000</v>
      </c>
      <c r="F43" s="8"/>
    </row>
    <row r="44" spans="1:6" x14ac:dyDescent="0.2">
      <c r="A44" s="8" t="s">
        <v>167</v>
      </c>
      <c r="B44" s="8" t="s">
        <v>168</v>
      </c>
      <c r="C44" s="8" t="s">
        <v>169</v>
      </c>
      <c r="D44" s="8" t="s">
        <v>170</v>
      </c>
      <c r="E44" s="8">
        <v>-10952000</v>
      </c>
      <c r="F44" s="8"/>
    </row>
    <row r="45" spans="1:6" x14ac:dyDescent="0.2">
      <c r="A45" s="8" t="s">
        <v>171</v>
      </c>
      <c r="B45" s="8" t="s">
        <v>164</v>
      </c>
      <c r="C45" s="8" t="s">
        <v>165</v>
      </c>
      <c r="D45" s="8" t="s">
        <v>166</v>
      </c>
      <c r="E45" s="8">
        <v>35929000</v>
      </c>
      <c r="F45" s="8"/>
    </row>
    <row r="46" spans="1:6" x14ac:dyDescent="0.2">
      <c r="A46" s="8" t="s">
        <v>172</v>
      </c>
      <c r="B46" s="8" t="s">
        <v>173</v>
      </c>
      <c r="C46" s="8" t="s">
        <v>174</v>
      </c>
      <c r="D46" s="8" t="s">
        <v>175</v>
      </c>
      <c r="E46" s="8">
        <v>19573000</v>
      </c>
      <c r="F46" s="8"/>
    </row>
    <row r="47" spans="1:6" x14ac:dyDescent="0.2">
      <c r="A47" s="8" t="s">
        <v>176</v>
      </c>
      <c r="B47" s="8" t="s">
        <v>55</v>
      </c>
      <c r="C47" s="8" t="s">
        <v>55</v>
      </c>
      <c r="D47" s="8" t="s">
        <v>177</v>
      </c>
      <c r="E47" s="8">
        <v>2865000</v>
      </c>
      <c r="F47" s="8"/>
    </row>
    <row r="48" spans="1:6" x14ac:dyDescent="0.2">
      <c r="A48" s="8" t="s">
        <v>178</v>
      </c>
      <c r="B48" s="8" t="s">
        <v>102</v>
      </c>
      <c r="C48" s="8" t="s">
        <v>103</v>
      </c>
      <c r="D48" s="8" t="s">
        <v>104</v>
      </c>
      <c r="E48" s="8">
        <v>-10708000</v>
      </c>
      <c r="F48" s="8"/>
    </row>
    <row r="49" spans="1:6" x14ac:dyDescent="0.2">
      <c r="A49" s="8" t="s">
        <v>179</v>
      </c>
      <c r="B49" s="8" t="s">
        <v>138</v>
      </c>
      <c r="C49" s="8" t="s">
        <v>139</v>
      </c>
      <c r="D49" s="8" t="s">
        <v>140</v>
      </c>
      <c r="E49" s="8">
        <v>5465000</v>
      </c>
      <c r="F49" s="8"/>
    </row>
    <row r="50" spans="1:6" x14ac:dyDescent="0.2">
      <c r="A50" s="8" t="s">
        <v>180</v>
      </c>
      <c r="B50" s="8" t="s">
        <v>142</v>
      </c>
      <c r="C50" s="8" t="s">
        <v>135</v>
      </c>
      <c r="D50" s="8" t="s">
        <v>143</v>
      </c>
      <c r="E50" s="8">
        <v>-9543000</v>
      </c>
      <c r="F50" s="8"/>
    </row>
    <row r="51" spans="1:6" x14ac:dyDescent="0.2">
      <c r="A51" s="8" t="s">
        <v>181</v>
      </c>
      <c r="B51" s="8" t="s">
        <v>149</v>
      </c>
      <c r="C51" s="8" t="s">
        <v>150</v>
      </c>
      <c r="D51" s="8" t="s">
        <v>151</v>
      </c>
      <c r="E51" s="8">
        <v>-89402000</v>
      </c>
      <c r="F51" s="8"/>
    </row>
    <row r="52" spans="1:6" x14ac:dyDescent="0.2">
      <c r="A52" s="8" t="s">
        <v>182</v>
      </c>
      <c r="B52" s="8" t="s">
        <v>183</v>
      </c>
      <c r="C52" s="8" t="s">
        <v>184</v>
      </c>
      <c r="D52" s="8" t="s">
        <v>185</v>
      </c>
      <c r="E52" s="8">
        <v>111443000</v>
      </c>
      <c r="F52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B8CE9-3B1C-944E-BBB5-B463E540879D}">
  <dimension ref="A1:H40"/>
  <sheetViews>
    <sheetView workbookViewId="0">
      <selection sqref="A1:A1048576"/>
    </sheetView>
  </sheetViews>
  <sheetFormatPr baseColWidth="10" defaultRowHeight="15" x14ac:dyDescent="0.2"/>
  <sheetData>
    <row r="1" spans="1:5" x14ac:dyDescent="0.2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</row>
    <row r="2" spans="1:5" x14ac:dyDescent="0.2">
      <c r="A2" s="8" t="s">
        <v>190</v>
      </c>
      <c r="B2" s="8" t="s">
        <v>191</v>
      </c>
      <c r="C2" s="8" t="s">
        <v>192</v>
      </c>
      <c r="D2" s="8" t="s">
        <v>193</v>
      </c>
      <c r="E2" s="8" t="s">
        <v>194</v>
      </c>
    </row>
    <row r="3" spans="1:5" x14ac:dyDescent="0.2">
      <c r="A3" s="8" t="s">
        <v>195</v>
      </c>
      <c r="B3" s="8" t="s">
        <v>191</v>
      </c>
      <c r="C3" s="8" t="s">
        <v>192</v>
      </c>
      <c r="D3" s="8" t="s">
        <v>193</v>
      </c>
      <c r="E3" s="8" t="s">
        <v>194</v>
      </c>
    </row>
    <row r="4" spans="1:5" x14ac:dyDescent="0.2">
      <c r="A4" s="8" t="s">
        <v>196</v>
      </c>
      <c r="B4" s="8" t="s">
        <v>197</v>
      </c>
      <c r="C4" s="8" t="s">
        <v>198</v>
      </c>
      <c r="D4" s="8" t="s">
        <v>199</v>
      </c>
      <c r="E4" s="8" t="s">
        <v>200</v>
      </c>
    </row>
    <row r="5" spans="1:5" x14ac:dyDescent="0.2">
      <c r="A5" s="8" t="s">
        <v>201</v>
      </c>
      <c r="B5" s="8" t="s">
        <v>202</v>
      </c>
      <c r="C5" s="8" t="s">
        <v>203</v>
      </c>
      <c r="D5" s="8" t="s">
        <v>204</v>
      </c>
      <c r="E5" s="8" t="s">
        <v>205</v>
      </c>
    </row>
    <row r="6" spans="1:5" x14ac:dyDescent="0.2">
      <c r="A6" s="8" t="s">
        <v>206</v>
      </c>
      <c r="B6" s="8" t="s">
        <v>207</v>
      </c>
      <c r="C6" s="8" t="s">
        <v>208</v>
      </c>
      <c r="D6" s="8" t="s">
        <v>209</v>
      </c>
      <c r="E6" s="8" t="s">
        <v>210</v>
      </c>
    </row>
    <row r="7" spans="1:5" x14ac:dyDescent="0.2">
      <c r="A7" s="8" t="s">
        <v>211</v>
      </c>
      <c r="B7" s="8" t="s">
        <v>212</v>
      </c>
      <c r="C7" s="8" t="s">
        <v>213</v>
      </c>
      <c r="D7" s="8" t="s">
        <v>214</v>
      </c>
      <c r="E7" s="8" t="s">
        <v>215</v>
      </c>
    </row>
    <row r="8" spans="1:5" x14ac:dyDescent="0.2">
      <c r="A8" s="8" t="s">
        <v>216</v>
      </c>
      <c r="B8" s="8" t="s">
        <v>217</v>
      </c>
      <c r="C8" s="8" t="s">
        <v>218</v>
      </c>
      <c r="D8" s="8" t="s">
        <v>219</v>
      </c>
      <c r="E8" s="8" t="s">
        <v>220</v>
      </c>
    </row>
    <row r="9" spans="1:5" x14ac:dyDescent="0.2">
      <c r="A9" s="8" t="s">
        <v>221</v>
      </c>
      <c r="B9" s="8" t="s">
        <v>222</v>
      </c>
      <c r="C9" s="8" t="s">
        <v>223</v>
      </c>
      <c r="D9" s="8" t="s">
        <v>224</v>
      </c>
      <c r="E9" s="8" t="s">
        <v>225</v>
      </c>
    </row>
    <row r="10" spans="1:5" x14ac:dyDescent="0.2">
      <c r="A10" s="8" t="s">
        <v>226</v>
      </c>
      <c r="B10" s="8" t="s">
        <v>55</v>
      </c>
      <c r="C10" s="8" t="s">
        <v>55</v>
      </c>
      <c r="D10" s="8" t="s">
        <v>227</v>
      </c>
      <c r="E10" s="8" t="s">
        <v>228</v>
      </c>
    </row>
    <row r="11" spans="1:5" x14ac:dyDescent="0.2">
      <c r="A11" s="8" t="s">
        <v>229</v>
      </c>
      <c r="B11" s="8" t="s">
        <v>55</v>
      </c>
      <c r="C11" s="8" t="s">
        <v>55</v>
      </c>
      <c r="D11" s="8" t="s">
        <v>230</v>
      </c>
      <c r="E11" s="8" t="s">
        <v>231</v>
      </c>
    </row>
    <row r="12" spans="1:5" x14ac:dyDescent="0.2">
      <c r="A12" s="8" t="s">
        <v>232</v>
      </c>
      <c r="B12" s="8" t="s">
        <v>55</v>
      </c>
      <c r="C12" s="8" t="s">
        <v>55</v>
      </c>
      <c r="D12" s="8" t="s">
        <v>233</v>
      </c>
      <c r="E12" s="8" t="s">
        <v>234</v>
      </c>
    </row>
    <row r="13" spans="1:5" x14ac:dyDescent="0.2">
      <c r="A13" s="8" t="s">
        <v>235</v>
      </c>
      <c r="B13" s="8" t="s">
        <v>236</v>
      </c>
      <c r="C13" s="8" t="s">
        <v>237</v>
      </c>
      <c r="D13" s="8" t="s">
        <v>238</v>
      </c>
      <c r="E13" s="8" t="s">
        <v>239</v>
      </c>
    </row>
    <row r="14" spans="1:5" x14ac:dyDescent="0.2">
      <c r="A14" s="8" t="s">
        <v>240</v>
      </c>
      <c r="B14" s="8" t="s">
        <v>236</v>
      </c>
      <c r="C14" s="8" t="s">
        <v>237</v>
      </c>
      <c r="D14" s="8" t="s">
        <v>238</v>
      </c>
      <c r="E14" s="8" t="s">
        <v>239</v>
      </c>
    </row>
    <row r="15" spans="1:5" x14ac:dyDescent="0.2">
      <c r="A15" s="8" t="s">
        <v>241</v>
      </c>
      <c r="B15" s="8" t="s">
        <v>242</v>
      </c>
      <c r="C15" s="8" t="s">
        <v>243</v>
      </c>
      <c r="D15" s="8" t="s">
        <v>244</v>
      </c>
      <c r="E15" s="8" t="s">
        <v>245</v>
      </c>
    </row>
    <row r="16" spans="1:5" x14ac:dyDescent="0.2">
      <c r="A16" s="8" t="s">
        <v>246</v>
      </c>
      <c r="B16" s="8" t="s">
        <v>247</v>
      </c>
      <c r="C16" s="8" t="s">
        <v>248</v>
      </c>
      <c r="D16" s="8" t="s">
        <v>249</v>
      </c>
      <c r="E16" s="8" t="s">
        <v>250</v>
      </c>
    </row>
    <row r="17" spans="1:8" x14ac:dyDescent="0.2">
      <c r="A17" s="8" t="s">
        <v>251</v>
      </c>
      <c r="B17" s="8" t="s">
        <v>44</v>
      </c>
      <c r="C17" s="8" t="s">
        <v>45</v>
      </c>
      <c r="D17" s="8" t="s">
        <v>46</v>
      </c>
      <c r="E17" s="8" t="s">
        <v>47</v>
      </c>
      <c r="G17" s="8" t="s">
        <v>2220</v>
      </c>
      <c r="H17" s="7">
        <f>(B15-B18)/B15</f>
        <v>0.15610002335586043</v>
      </c>
    </row>
    <row r="18" spans="1:8" x14ac:dyDescent="0.2">
      <c r="A18" s="8" t="s">
        <v>252</v>
      </c>
      <c r="B18" s="8" t="s">
        <v>44</v>
      </c>
      <c r="C18" s="8" t="s">
        <v>45</v>
      </c>
      <c r="D18" s="8" t="s">
        <v>46</v>
      </c>
      <c r="E18" s="8" t="s">
        <v>47</v>
      </c>
    </row>
    <row r="19" spans="1:8" x14ac:dyDescent="0.2">
      <c r="A19" s="8" t="s">
        <v>253</v>
      </c>
      <c r="B19" s="8" t="s">
        <v>44</v>
      </c>
      <c r="C19" s="8" t="s">
        <v>45</v>
      </c>
      <c r="D19" s="8" t="s">
        <v>46</v>
      </c>
      <c r="E19" s="8" t="s">
        <v>47</v>
      </c>
    </row>
    <row r="20" spans="1:8" x14ac:dyDescent="0.2">
      <c r="A20" s="8" t="s">
        <v>254</v>
      </c>
      <c r="B20" s="8" t="s">
        <v>44</v>
      </c>
      <c r="C20" s="8" t="s">
        <v>45</v>
      </c>
      <c r="D20" s="8" t="s">
        <v>46</v>
      </c>
      <c r="E20" s="8" t="s">
        <v>47</v>
      </c>
    </row>
    <row r="21" spans="1:8" x14ac:dyDescent="0.2">
      <c r="A21" s="8" t="s">
        <v>255</v>
      </c>
      <c r="B21" s="8" t="s">
        <v>44</v>
      </c>
      <c r="C21" s="8" t="s">
        <v>45</v>
      </c>
      <c r="D21" s="8" t="s">
        <v>46</v>
      </c>
      <c r="E21" s="8" t="s">
        <v>47</v>
      </c>
    </row>
    <row r="22" spans="1:8" x14ac:dyDescent="0.2">
      <c r="A22" s="8" t="s">
        <v>256</v>
      </c>
      <c r="B22" s="8" t="s">
        <v>257</v>
      </c>
      <c r="C22" s="8" t="s">
        <v>258</v>
      </c>
      <c r="D22" s="8" t="s">
        <v>259</v>
      </c>
      <c r="E22" s="8" t="s">
        <v>260</v>
      </c>
    </row>
    <row r="23" spans="1:8" x14ac:dyDescent="0.2">
      <c r="A23" s="8" t="s">
        <v>261</v>
      </c>
      <c r="B23" s="8" t="s">
        <v>262</v>
      </c>
      <c r="C23" s="8" t="s">
        <v>263</v>
      </c>
      <c r="D23" s="8" t="s">
        <v>264</v>
      </c>
      <c r="E23" s="8" t="s">
        <v>258</v>
      </c>
    </row>
    <row r="24" spans="1:8" x14ac:dyDescent="0.2">
      <c r="A24" s="8" t="s">
        <v>265</v>
      </c>
      <c r="B24" s="8" t="s">
        <v>266</v>
      </c>
      <c r="C24" s="8" t="s">
        <v>267</v>
      </c>
      <c r="D24" s="8" t="s">
        <v>268</v>
      </c>
      <c r="E24" s="8" t="s">
        <v>269</v>
      </c>
    </row>
    <row r="25" spans="1:8" x14ac:dyDescent="0.2">
      <c r="A25" s="8" t="s">
        <v>270</v>
      </c>
      <c r="B25" s="8" t="s">
        <v>271</v>
      </c>
      <c r="C25" s="8" t="s">
        <v>272</v>
      </c>
      <c r="D25" s="8" t="s">
        <v>273</v>
      </c>
      <c r="E25" s="8" t="s">
        <v>274</v>
      </c>
    </row>
    <row r="26" spans="1:8" x14ac:dyDescent="0.2">
      <c r="A26" s="8" t="s">
        <v>275</v>
      </c>
      <c r="B26" s="8" t="s">
        <v>222</v>
      </c>
      <c r="C26" s="8" t="s">
        <v>223</v>
      </c>
      <c r="D26" s="8" t="s">
        <v>224</v>
      </c>
      <c r="E26" s="8" t="s">
        <v>225</v>
      </c>
    </row>
    <row r="27" spans="1:8" x14ac:dyDescent="0.2">
      <c r="A27" s="8" t="s">
        <v>276</v>
      </c>
      <c r="B27" s="8" t="s">
        <v>277</v>
      </c>
      <c r="C27" s="8" t="s">
        <v>278</v>
      </c>
      <c r="D27" s="8" t="s">
        <v>279</v>
      </c>
      <c r="E27" s="8" t="s">
        <v>280</v>
      </c>
    </row>
    <row r="28" spans="1:8" x14ac:dyDescent="0.2">
      <c r="A28" s="8" t="s">
        <v>281</v>
      </c>
      <c r="B28" s="8" t="s">
        <v>44</v>
      </c>
      <c r="C28" s="8" t="s">
        <v>45</v>
      </c>
      <c r="D28" s="8" t="s">
        <v>46</v>
      </c>
      <c r="E28" s="8" t="s">
        <v>47</v>
      </c>
    </row>
    <row r="29" spans="1:8" x14ac:dyDescent="0.2">
      <c r="A29" s="8" t="s">
        <v>282</v>
      </c>
      <c r="B29" s="8" t="s">
        <v>44</v>
      </c>
      <c r="C29" s="8" t="s">
        <v>45</v>
      </c>
      <c r="D29" s="8" t="s">
        <v>46</v>
      </c>
      <c r="E29" s="8" t="s">
        <v>47</v>
      </c>
    </row>
    <row r="30" spans="1:8" x14ac:dyDescent="0.2">
      <c r="A30" s="8" t="s">
        <v>283</v>
      </c>
      <c r="B30" s="8" t="s">
        <v>55</v>
      </c>
      <c r="C30" s="8" t="s">
        <v>55</v>
      </c>
      <c r="D30" s="8" t="s">
        <v>230</v>
      </c>
      <c r="E30" s="8" t="s">
        <v>231</v>
      </c>
    </row>
    <row r="31" spans="1:8" x14ac:dyDescent="0.2">
      <c r="A31" s="8" t="s">
        <v>284</v>
      </c>
      <c r="B31" s="8" t="s">
        <v>55</v>
      </c>
      <c r="C31" s="8" t="s">
        <v>55</v>
      </c>
      <c r="D31" s="8" t="s">
        <v>233</v>
      </c>
      <c r="E31" s="8" t="s">
        <v>234</v>
      </c>
    </row>
    <row r="32" spans="1:8" x14ac:dyDescent="0.2">
      <c r="A32" s="8" t="s">
        <v>285</v>
      </c>
      <c r="B32" s="8" t="s">
        <v>55</v>
      </c>
      <c r="C32" s="8" t="s">
        <v>55</v>
      </c>
      <c r="D32" s="8" t="s">
        <v>227</v>
      </c>
      <c r="E32" s="8" t="s">
        <v>228</v>
      </c>
    </row>
    <row r="33" spans="1:5" x14ac:dyDescent="0.2">
      <c r="A33" s="8" t="s">
        <v>286</v>
      </c>
      <c r="B33" s="8" t="s">
        <v>222</v>
      </c>
      <c r="C33" s="8" t="s">
        <v>223</v>
      </c>
      <c r="D33" s="8" t="s">
        <v>224</v>
      </c>
      <c r="E33" s="8" t="s">
        <v>225</v>
      </c>
    </row>
    <row r="34" spans="1:5" x14ac:dyDescent="0.2">
      <c r="A34" s="8" t="s">
        <v>287</v>
      </c>
      <c r="B34" s="8" t="s">
        <v>288</v>
      </c>
      <c r="C34" s="8" t="s">
        <v>289</v>
      </c>
      <c r="D34" s="8" t="s">
        <v>290</v>
      </c>
      <c r="E34" s="8" t="s">
        <v>291</v>
      </c>
    </row>
    <row r="35" spans="1:5" x14ac:dyDescent="0.2">
      <c r="A35" s="8" t="s">
        <v>292</v>
      </c>
      <c r="B35" s="8" t="s">
        <v>197</v>
      </c>
      <c r="C35" s="8" t="s">
        <v>198</v>
      </c>
      <c r="D35" s="8" t="s">
        <v>199</v>
      </c>
      <c r="E35" s="8" t="s">
        <v>200</v>
      </c>
    </row>
    <row r="36" spans="1:5" x14ac:dyDescent="0.2">
      <c r="A36" s="8" t="s">
        <v>293</v>
      </c>
      <c r="B36" s="8" t="s">
        <v>49</v>
      </c>
      <c r="C36" s="8" t="s">
        <v>50</v>
      </c>
      <c r="D36" s="8" t="s">
        <v>51</v>
      </c>
      <c r="E36" s="8" t="s">
        <v>52</v>
      </c>
    </row>
    <row r="37" spans="1:5" x14ac:dyDescent="0.2">
      <c r="A37" s="8" t="s">
        <v>294</v>
      </c>
      <c r="B37" s="8" t="s">
        <v>44</v>
      </c>
      <c r="C37" s="8" t="s">
        <v>45</v>
      </c>
      <c r="D37" s="8" t="s">
        <v>46</v>
      </c>
      <c r="E37" s="8" t="s">
        <v>47</v>
      </c>
    </row>
    <row r="38" spans="1:5" x14ac:dyDescent="0.2">
      <c r="A38" s="8" t="s">
        <v>295</v>
      </c>
      <c r="B38" s="8" t="s">
        <v>288</v>
      </c>
      <c r="C38" s="8" t="s">
        <v>289</v>
      </c>
      <c r="D38" s="8" t="s">
        <v>290</v>
      </c>
      <c r="E38" s="8" t="s">
        <v>291</v>
      </c>
    </row>
    <row r="39" spans="1:5" x14ac:dyDescent="0.2">
      <c r="A39" s="8" t="s">
        <v>296</v>
      </c>
      <c r="B39" s="8" t="s">
        <v>139</v>
      </c>
      <c r="C39" s="8" t="s">
        <v>139</v>
      </c>
      <c r="D39" s="8" t="s">
        <v>139</v>
      </c>
      <c r="E39" s="8" t="s">
        <v>139</v>
      </c>
    </row>
    <row r="40" spans="1:5" x14ac:dyDescent="0.2">
      <c r="A40" s="8" t="s">
        <v>297</v>
      </c>
      <c r="B40" s="8" t="s">
        <v>139</v>
      </c>
      <c r="C40" s="8" t="s">
        <v>139</v>
      </c>
      <c r="D40" s="8" t="s">
        <v>139</v>
      </c>
      <c r="E40" s="8" t="s">
        <v>139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23422-BA36-BA44-882F-B2C4C0B9619C}">
  <dimension ref="A1:F70"/>
  <sheetViews>
    <sheetView workbookViewId="0">
      <selection sqref="A1:A1048576"/>
    </sheetView>
  </sheetViews>
  <sheetFormatPr baseColWidth="10" defaultRowHeight="15" x14ac:dyDescent="0.2"/>
  <sheetData>
    <row r="1" spans="1:5" x14ac:dyDescent="0.2">
      <c r="A1" s="8" t="s">
        <v>33</v>
      </c>
      <c r="B1" s="8" t="s">
        <v>34</v>
      </c>
      <c r="C1" s="8" t="s">
        <v>35</v>
      </c>
      <c r="D1" s="8" t="s">
        <v>36</v>
      </c>
      <c r="E1" s="8" t="s">
        <v>37</v>
      </c>
    </row>
    <row r="2" spans="1:5" x14ac:dyDescent="0.2">
      <c r="A2" s="8" t="s">
        <v>298</v>
      </c>
      <c r="B2" s="8" t="s">
        <v>299</v>
      </c>
      <c r="C2" s="8" t="s">
        <v>300</v>
      </c>
      <c r="D2" s="8" t="s">
        <v>301</v>
      </c>
      <c r="E2" s="8" t="s">
        <v>302</v>
      </c>
    </row>
    <row r="3" spans="1:5" x14ac:dyDescent="0.2">
      <c r="A3" s="8" t="s">
        <v>303</v>
      </c>
      <c r="B3" s="8" t="s">
        <v>304</v>
      </c>
      <c r="C3" s="8" t="s">
        <v>305</v>
      </c>
      <c r="D3" s="8" t="s">
        <v>306</v>
      </c>
      <c r="E3" s="8" t="s">
        <v>307</v>
      </c>
    </row>
    <row r="4" spans="1:5" x14ac:dyDescent="0.2">
      <c r="A4" s="8" t="s">
        <v>308</v>
      </c>
      <c r="B4" s="8" t="s">
        <v>309</v>
      </c>
      <c r="C4" s="8" t="s">
        <v>310</v>
      </c>
      <c r="D4" s="8" t="s">
        <v>311</v>
      </c>
      <c r="E4" s="8" t="s">
        <v>312</v>
      </c>
    </row>
    <row r="5" spans="1:5" x14ac:dyDescent="0.2">
      <c r="A5" s="8" t="s">
        <v>313</v>
      </c>
      <c r="B5" s="8" t="s">
        <v>163</v>
      </c>
      <c r="C5" s="8" t="s">
        <v>164</v>
      </c>
      <c r="D5" s="8" t="s">
        <v>314</v>
      </c>
      <c r="E5" s="8" t="s">
        <v>315</v>
      </c>
    </row>
    <row r="6" spans="1:5" x14ac:dyDescent="0.2">
      <c r="A6" s="8" t="s">
        <v>316</v>
      </c>
      <c r="B6" s="8" t="s">
        <v>317</v>
      </c>
      <c r="C6" s="8" t="s">
        <v>318</v>
      </c>
      <c r="D6" s="8" t="s">
        <v>319</v>
      </c>
      <c r="E6" s="8" t="s">
        <v>320</v>
      </c>
    </row>
    <row r="7" spans="1:5" x14ac:dyDescent="0.2">
      <c r="A7" s="8" t="s">
        <v>321</v>
      </c>
      <c r="B7" s="8" t="s">
        <v>322</v>
      </c>
      <c r="C7" s="8" t="s">
        <v>323</v>
      </c>
      <c r="D7" s="8" t="s">
        <v>324</v>
      </c>
      <c r="E7" s="8" t="s">
        <v>325</v>
      </c>
    </row>
    <row r="8" spans="1:5" x14ac:dyDescent="0.2">
      <c r="A8" s="8" t="s">
        <v>326</v>
      </c>
      <c r="B8" s="8" t="s">
        <v>327</v>
      </c>
      <c r="C8" s="8" t="s">
        <v>328</v>
      </c>
      <c r="D8" s="8" t="s">
        <v>329</v>
      </c>
      <c r="E8" s="8" t="s">
        <v>330</v>
      </c>
    </row>
    <row r="9" spans="1:5" x14ac:dyDescent="0.2">
      <c r="A9" s="8" t="s">
        <v>331</v>
      </c>
      <c r="B9" s="8" t="s">
        <v>332</v>
      </c>
      <c r="C9" s="8" t="s">
        <v>333</v>
      </c>
      <c r="D9" s="8" t="s">
        <v>334</v>
      </c>
      <c r="E9" s="8" t="s">
        <v>335</v>
      </c>
    </row>
    <row r="10" spans="1:5" x14ac:dyDescent="0.2">
      <c r="A10" s="8" t="s">
        <v>336</v>
      </c>
      <c r="B10" s="8" t="s">
        <v>337</v>
      </c>
      <c r="C10" s="8" t="s">
        <v>338</v>
      </c>
      <c r="D10" s="8" t="s">
        <v>339</v>
      </c>
      <c r="E10" s="8" t="s">
        <v>340</v>
      </c>
    </row>
    <row r="11" spans="1:5" x14ac:dyDescent="0.2">
      <c r="A11" s="8" t="s">
        <v>341</v>
      </c>
      <c r="B11" s="8" t="s">
        <v>342</v>
      </c>
      <c r="C11" s="8" t="s">
        <v>343</v>
      </c>
      <c r="D11" s="8" t="s">
        <v>344</v>
      </c>
      <c r="E11" s="8" t="s">
        <v>345</v>
      </c>
    </row>
    <row r="12" spans="1:5" x14ac:dyDescent="0.2">
      <c r="A12" s="8" t="s">
        <v>346</v>
      </c>
      <c r="B12" s="8" t="s">
        <v>347</v>
      </c>
      <c r="C12" s="8" t="s">
        <v>348</v>
      </c>
      <c r="D12" s="8" t="s">
        <v>349</v>
      </c>
      <c r="E12" s="8" t="s">
        <v>350</v>
      </c>
    </row>
    <row r="13" spans="1:5" x14ac:dyDescent="0.2">
      <c r="A13" s="8" t="s">
        <v>351</v>
      </c>
      <c r="B13" s="8" t="s">
        <v>352</v>
      </c>
      <c r="C13" s="8" t="s">
        <v>353</v>
      </c>
      <c r="D13" s="8" t="s">
        <v>354</v>
      </c>
      <c r="E13" s="8" t="s">
        <v>355</v>
      </c>
    </row>
    <row r="14" spans="1:5" x14ac:dyDescent="0.2">
      <c r="A14" s="8" t="s">
        <v>356</v>
      </c>
      <c r="B14" s="8" t="s">
        <v>357</v>
      </c>
      <c r="C14" s="8" t="s">
        <v>358</v>
      </c>
      <c r="D14" s="8" t="s">
        <v>359</v>
      </c>
      <c r="E14" s="8" t="s">
        <v>360</v>
      </c>
    </row>
    <row r="15" spans="1:5" x14ac:dyDescent="0.2">
      <c r="A15" s="8" t="s">
        <v>361</v>
      </c>
      <c r="B15" s="8" t="s">
        <v>362</v>
      </c>
      <c r="C15" s="8" t="s">
        <v>363</v>
      </c>
      <c r="D15" s="8" t="s">
        <v>364</v>
      </c>
      <c r="E15" s="8" t="s">
        <v>365</v>
      </c>
    </row>
    <row r="16" spans="1:5" x14ac:dyDescent="0.2">
      <c r="A16" s="8" t="s">
        <v>366</v>
      </c>
      <c r="B16" s="8" t="s">
        <v>367</v>
      </c>
      <c r="C16" s="8" t="s">
        <v>368</v>
      </c>
      <c r="D16" s="8" t="s">
        <v>369</v>
      </c>
      <c r="E16" s="8" t="s">
        <v>370</v>
      </c>
    </row>
    <row r="17" spans="1:5" x14ac:dyDescent="0.2">
      <c r="A17" s="8" t="s">
        <v>371</v>
      </c>
      <c r="B17" s="8" t="s">
        <v>139</v>
      </c>
      <c r="C17" s="8" t="s">
        <v>139</v>
      </c>
      <c r="D17" s="8" t="s">
        <v>139</v>
      </c>
      <c r="E17" s="8" t="s">
        <v>139</v>
      </c>
    </row>
    <row r="18" spans="1:5" x14ac:dyDescent="0.2">
      <c r="A18" s="8" t="s">
        <v>372</v>
      </c>
      <c r="B18" s="8" t="s">
        <v>373</v>
      </c>
      <c r="C18" s="8" t="s">
        <v>374</v>
      </c>
      <c r="D18" s="8" t="s">
        <v>375</v>
      </c>
      <c r="E18" s="8" t="s">
        <v>376</v>
      </c>
    </row>
    <row r="19" spans="1:5" x14ac:dyDescent="0.2">
      <c r="A19" s="8" t="s">
        <v>377</v>
      </c>
      <c r="B19" s="8" t="s">
        <v>378</v>
      </c>
      <c r="C19" s="8" t="s">
        <v>379</v>
      </c>
      <c r="D19" s="8" t="s">
        <v>380</v>
      </c>
      <c r="E19" s="8" t="s">
        <v>381</v>
      </c>
    </row>
    <row r="20" spans="1:5" x14ac:dyDescent="0.2">
      <c r="A20" s="8" t="s">
        <v>382</v>
      </c>
      <c r="B20" s="8" t="s">
        <v>55</v>
      </c>
      <c r="C20" s="8" t="s">
        <v>55</v>
      </c>
      <c r="D20" s="8" t="s">
        <v>383</v>
      </c>
      <c r="E20" s="8" t="s">
        <v>384</v>
      </c>
    </row>
    <row r="21" spans="1:5" x14ac:dyDescent="0.2">
      <c r="A21" s="8" t="s">
        <v>385</v>
      </c>
      <c r="B21" s="8" t="s">
        <v>386</v>
      </c>
      <c r="C21" s="8" t="s">
        <v>387</v>
      </c>
      <c r="D21" s="8" t="s">
        <v>388</v>
      </c>
      <c r="E21" s="8" t="s">
        <v>389</v>
      </c>
    </row>
    <row r="22" spans="1:5" x14ac:dyDescent="0.2">
      <c r="A22" s="8" t="s">
        <v>390</v>
      </c>
      <c r="B22" s="8" t="s">
        <v>391</v>
      </c>
      <c r="C22" s="8" t="s">
        <v>392</v>
      </c>
      <c r="D22" s="8" t="s">
        <v>393</v>
      </c>
      <c r="E22" s="8" t="s">
        <v>394</v>
      </c>
    </row>
    <row r="23" spans="1:5" x14ac:dyDescent="0.2">
      <c r="A23" s="8" t="s">
        <v>395</v>
      </c>
      <c r="B23" s="8" t="s">
        <v>396</v>
      </c>
      <c r="C23" s="8" t="s">
        <v>397</v>
      </c>
      <c r="D23" s="8" t="s">
        <v>398</v>
      </c>
      <c r="E23" s="8" t="s">
        <v>399</v>
      </c>
    </row>
    <row r="24" spans="1:5" x14ac:dyDescent="0.2">
      <c r="A24" s="8" t="s">
        <v>400</v>
      </c>
      <c r="B24" s="8" t="s">
        <v>396</v>
      </c>
      <c r="C24" s="8" t="s">
        <v>397</v>
      </c>
      <c r="D24" s="8" t="s">
        <v>398</v>
      </c>
      <c r="E24" s="8" t="s">
        <v>399</v>
      </c>
    </row>
    <row r="25" spans="1:5" x14ac:dyDescent="0.2">
      <c r="A25" s="8" t="s">
        <v>401</v>
      </c>
      <c r="B25" s="8" t="s">
        <v>396</v>
      </c>
      <c r="C25" s="8" t="s">
        <v>397</v>
      </c>
      <c r="D25" s="8" t="s">
        <v>398</v>
      </c>
      <c r="E25" s="8" t="s">
        <v>399</v>
      </c>
    </row>
    <row r="26" spans="1:5" x14ac:dyDescent="0.2">
      <c r="A26" s="8" t="s">
        <v>402</v>
      </c>
      <c r="B26" s="8" t="s">
        <v>55</v>
      </c>
      <c r="C26" s="8" t="s">
        <v>55</v>
      </c>
      <c r="D26" s="8" t="s">
        <v>55</v>
      </c>
      <c r="E26" s="8" t="s">
        <v>399</v>
      </c>
    </row>
    <row r="27" spans="1:5" x14ac:dyDescent="0.2">
      <c r="A27" s="8" t="s">
        <v>403</v>
      </c>
      <c r="B27" s="8" t="s">
        <v>404</v>
      </c>
      <c r="C27" s="8" t="s">
        <v>405</v>
      </c>
      <c r="D27" s="8" t="s">
        <v>406</v>
      </c>
      <c r="E27" s="8" t="s">
        <v>407</v>
      </c>
    </row>
    <row r="28" spans="1:5" x14ac:dyDescent="0.2">
      <c r="A28" s="8" t="s">
        <v>408</v>
      </c>
      <c r="B28" s="8" t="s">
        <v>404</v>
      </c>
      <c r="C28" s="8" t="s">
        <v>405</v>
      </c>
      <c r="D28" s="8" t="s">
        <v>406</v>
      </c>
      <c r="E28" s="8" t="s">
        <v>407</v>
      </c>
    </row>
    <row r="29" spans="1:5" x14ac:dyDescent="0.2">
      <c r="A29" s="8" t="s">
        <v>409</v>
      </c>
      <c r="B29" s="8" t="s">
        <v>410</v>
      </c>
      <c r="C29" s="8" t="s">
        <v>411</v>
      </c>
      <c r="D29" s="8" t="s">
        <v>412</v>
      </c>
      <c r="E29" s="8" t="s">
        <v>413</v>
      </c>
    </row>
    <row r="30" spans="1:5" x14ac:dyDescent="0.2">
      <c r="A30" s="8" t="s">
        <v>414</v>
      </c>
      <c r="B30" s="8" t="s">
        <v>415</v>
      </c>
      <c r="C30" s="8" t="s">
        <v>416</v>
      </c>
      <c r="D30" s="8" t="s">
        <v>417</v>
      </c>
      <c r="E30" s="8" t="s">
        <v>418</v>
      </c>
    </row>
    <row r="31" spans="1:5" x14ac:dyDescent="0.2">
      <c r="A31" s="8" t="s">
        <v>419</v>
      </c>
      <c r="B31" s="8" t="s">
        <v>420</v>
      </c>
      <c r="C31" s="8" t="s">
        <v>421</v>
      </c>
      <c r="D31" s="8" t="s">
        <v>422</v>
      </c>
      <c r="E31" s="8" t="s">
        <v>423</v>
      </c>
    </row>
    <row r="32" spans="1:5" x14ac:dyDescent="0.2">
      <c r="A32" s="8" t="s">
        <v>424</v>
      </c>
      <c r="B32" s="8" t="s">
        <v>425</v>
      </c>
      <c r="C32" s="8" t="s">
        <v>426</v>
      </c>
      <c r="D32" s="8" t="s">
        <v>427</v>
      </c>
      <c r="E32" s="8" t="s">
        <v>428</v>
      </c>
    </row>
    <row r="33" spans="1:5" x14ac:dyDescent="0.2">
      <c r="A33" s="8" t="s">
        <v>429</v>
      </c>
      <c r="B33" s="8" t="s">
        <v>430</v>
      </c>
      <c r="C33" s="8" t="s">
        <v>431</v>
      </c>
      <c r="D33" s="8" t="s">
        <v>427</v>
      </c>
      <c r="E33" s="8" t="s">
        <v>428</v>
      </c>
    </row>
    <row r="34" spans="1:5" x14ac:dyDescent="0.2">
      <c r="A34" s="8" t="s">
        <v>432</v>
      </c>
      <c r="B34" s="8" t="s">
        <v>433</v>
      </c>
      <c r="C34" s="8" t="s">
        <v>434</v>
      </c>
      <c r="D34" s="8" t="s">
        <v>435</v>
      </c>
      <c r="E34" s="8" t="s">
        <v>436</v>
      </c>
    </row>
    <row r="35" spans="1:5" x14ac:dyDescent="0.2">
      <c r="A35" s="8" t="s">
        <v>437</v>
      </c>
      <c r="B35" s="8" t="s">
        <v>438</v>
      </c>
      <c r="C35" s="8" t="s">
        <v>439</v>
      </c>
      <c r="D35" s="8" t="s">
        <v>440</v>
      </c>
      <c r="E35" s="8" t="s">
        <v>441</v>
      </c>
    </row>
    <row r="36" spans="1:5" x14ac:dyDescent="0.2">
      <c r="A36" s="8" t="s">
        <v>442</v>
      </c>
      <c r="B36" s="8" t="s">
        <v>438</v>
      </c>
      <c r="C36" s="8" t="s">
        <v>439</v>
      </c>
      <c r="D36" s="8" t="s">
        <v>440</v>
      </c>
      <c r="E36" s="8" t="s">
        <v>441</v>
      </c>
    </row>
    <row r="37" spans="1:5" x14ac:dyDescent="0.2">
      <c r="A37" s="8" t="s">
        <v>443</v>
      </c>
      <c r="B37" s="8" t="s">
        <v>444</v>
      </c>
      <c r="C37" s="8" t="s">
        <v>55</v>
      </c>
      <c r="D37" s="8" t="s">
        <v>55</v>
      </c>
      <c r="E37" s="8" t="s">
        <v>55</v>
      </c>
    </row>
    <row r="38" spans="1:5" x14ac:dyDescent="0.2">
      <c r="A38" s="8" t="s">
        <v>445</v>
      </c>
      <c r="B38" s="8" t="s">
        <v>446</v>
      </c>
      <c r="C38" s="8" t="s">
        <v>447</v>
      </c>
      <c r="D38" s="8" t="s">
        <v>448</v>
      </c>
      <c r="E38" s="8" t="s">
        <v>449</v>
      </c>
    </row>
    <row r="39" spans="1:5" x14ac:dyDescent="0.2">
      <c r="A39" s="8" t="s">
        <v>450</v>
      </c>
      <c r="B39" s="8" t="s">
        <v>446</v>
      </c>
      <c r="C39" s="8" t="s">
        <v>447</v>
      </c>
      <c r="D39" s="8" t="s">
        <v>448</v>
      </c>
      <c r="E39" s="8" t="s">
        <v>451</v>
      </c>
    </row>
    <row r="40" spans="1:5" x14ac:dyDescent="0.2">
      <c r="A40" s="8" t="s">
        <v>452</v>
      </c>
      <c r="B40" s="8" t="s">
        <v>453</v>
      </c>
      <c r="C40" s="8" t="s">
        <v>454</v>
      </c>
      <c r="D40" s="8" t="s">
        <v>455</v>
      </c>
      <c r="E40" s="8" t="s">
        <v>456</v>
      </c>
    </row>
    <row r="41" spans="1:5" x14ac:dyDescent="0.2">
      <c r="A41" s="8" t="s">
        <v>457</v>
      </c>
      <c r="B41" s="8" t="s">
        <v>458</v>
      </c>
      <c r="C41" s="8" t="s">
        <v>459</v>
      </c>
      <c r="D41" s="8" t="s">
        <v>460</v>
      </c>
      <c r="E41" s="8" t="s">
        <v>461</v>
      </c>
    </row>
    <row r="42" spans="1:5" x14ac:dyDescent="0.2">
      <c r="A42" s="8" t="s">
        <v>462</v>
      </c>
      <c r="B42" s="8" t="s">
        <v>55</v>
      </c>
      <c r="C42" s="8" t="s">
        <v>55</v>
      </c>
      <c r="D42" s="8" t="s">
        <v>463</v>
      </c>
      <c r="E42" s="8" t="s">
        <v>464</v>
      </c>
    </row>
    <row r="43" spans="1:5" x14ac:dyDescent="0.2">
      <c r="A43" s="8" t="s">
        <v>465</v>
      </c>
      <c r="B43" s="8" t="s">
        <v>466</v>
      </c>
      <c r="C43" s="8" t="s">
        <v>467</v>
      </c>
      <c r="D43" s="8" t="s">
        <v>468</v>
      </c>
      <c r="E43" s="8" t="s">
        <v>469</v>
      </c>
    </row>
    <row r="44" spans="1:5" x14ac:dyDescent="0.2">
      <c r="A44" s="8" t="s">
        <v>470</v>
      </c>
      <c r="B44" s="8" t="s">
        <v>466</v>
      </c>
      <c r="C44" s="8" t="s">
        <v>467</v>
      </c>
      <c r="D44" s="8" t="s">
        <v>468</v>
      </c>
      <c r="E44" s="8" t="s">
        <v>469</v>
      </c>
    </row>
    <row r="45" spans="1:5" x14ac:dyDescent="0.2">
      <c r="A45" s="8" t="s">
        <v>471</v>
      </c>
      <c r="B45" s="8" t="s">
        <v>472</v>
      </c>
      <c r="C45" s="8" t="s">
        <v>473</v>
      </c>
      <c r="D45" s="8" t="s">
        <v>474</v>
      </c>
      <c r="E45" s="8" t="s">
        <v>475</v>
      </c>
    </row>
    <row r="46" spans="1:5" x14ac:dyDescent="0.2">
      <c r="A46" s="8" t="s">
        <v>476</v>
      </c>
      <c r="B46" s="8" t="s">
        <v>477</v>
      </c>
      <c r="C46" s="8" t="s">
        <v>478</v>
      </c>
      <c r="D46" s="8" t="s">
        <v>479</v>
      </c>
      <c r="E46" s="8" t="s">
        <v>480</v>
      </c>
    </row>
    <row r="47" spans="1:5" x14ac:dyDescent="0.2">
      <c r="A47" s="8" t="s">
        <v>481</v>
      </c>
      <c r="B47" s="8" t="s">
        <v>482</v>
      </c>
      <c r="C47" s="8" t="s">
        <v>483</v>
      </c>
      <c r="D47" s="8" t="s">
        <v>484</v>
      </c>
      <c r="E47" s="8" t="s">
        <v>485</v>
      </c>
    </row>
    <row r="48" spans="1:5" x14ac:dyDescent="0.2">
      <c r="A48" s="8" t="s">
        <v>486</v>
      </c>
      <c r="B48" s="8" t="s">
        <v>482</v>
      </c>
      <c r="C48" s="8" t="s">
        <v>483</v>
      </c>
      <c r="D48" s="8" t="s">
        <v>484</v>
      </c>
      <c r="E48" s="8" t="s">
        <v>487</v>
      </c>
    </row>
    <row r="49" spans="1:5" x14ac:dyDescent="0.2">
      <c r="A49" s="8" t="s">
        <v>488</v>
      </c>
      <c r="B49" s="8" t="s">
        <v>55</v>
      </c>
      <c r="C49" s="8" t="s">
        <v>55</v>
      </c>
      <c r="D49" s="8" t="s">
        <v>489</v>
      </c>
      <c r="E49" s="8" t="s">
        <v>490</v>
      </c>
    </row>
    <row r="50" spans="1:5" x14ac:dyDescent="0.2">
      <c r="A50" s="8" t="s">
        <v>491</v>
      </c>
      <c r="B50" s="8" t="s">
        <v>55</v>
      </c>
      <c r="C50" s="8" t="s">
        <v>492</v>
      </c>
      <c r="D50" s="8" t="s">
        <v>493</v>
      </c>
      <c r="E50" s="8" t="s">
        <v>494</v>
      </c>
    </row>
    <row r="51" spans="1:5" x14ac:dyDescent="0.2">
      <c r="A51" s="8" t="s">
        <v>495</v>
      </c>
      <c r="B51" s="8" t="s">
        <v>496</v>
      </c>
      <c r="C51" s="8" t="s">
        <v>497</v>
      </c>
      <c r="D51" s="8" t="s">
        <v>498</v>
      </c>
      <c r="E51" s="8" t="s">
        <v>499</v>
      </c>
    </row>
    <row r="52" spans="1:5" x14ac:dyDescent="0.2">
      <c r="A52" s="8" t="s">
        <v>500</v>
      </c>
      <c r="B52" s="8" t="s">
        <v>501</v>
      </c>
      <c r="C52" s="8" t="s">
        <v>502</v>
      </c>
      <c r="D52" s="8" t="s">
        <v>503</v>
      </c>
      <c r="E52" s="8" t="s">
        <v>504</v>
      </c>
    </row>
    <row r="53" spans="1:5" x14ac:dyDescent="0.2">
      <c r="A53" s="8" t="s">
        <v>505</v>
      </c>
      <c r="B53" s="8" t="s">
        <v>501</v>
      </c>
      <c r="C53" s="8" t="s">
        <v>502</v>
      </c>
      <c r="D53" s="8" t="s">
        <v>503</v>
      </c>
      <c r="E53" s="8" t="s">
        <v>504</v>
      </c>
    </row>
    <row r="54" spans="1:5" x14ac:dyDescent="0.2">
      <c r="A54" s="8" t="s">
        <v>506</v>
      </c>
      <c r="B54" s="8" t="s">
        <v>507</v>
      </c>
      <c r="C54" s="8" t="s">
        <v>508</v>
      </c>
      <c r="D54" s="8" t="s">
        <v>509</v>
      </c>
      <c r="E54" s="8" t="s">
        <v>510</v>
      </c>
    </row>
    <row r="55" spans="1:5" x14ac:dyDescent="0.2">
      <c r="A55" s="8" t="s">
        <v>511</v>
      </c>
      <c r="B55" s="8" t="s">
        <v>507</v>
      </c>
      <c r="C55" s="8" t="s">
        <v>508</v>
      </c>
      <c r="D55" s="8" t="s">
        <v>509</v>
      </c>
      <c r="E55" s="8" t="s">
        <v>510</v>
      </c>
    </row>
    <row r="56" spans="1:5" x14ac:dyDescent="0.2">
      <c r="A56" s="8" t="s">
        <v>512</v>
      </c>
      <c r="B56" s="8" t="s">
        <v>513</v>
      </c>
      <c r="C56" s="8" t="s">
        <v>514</v>
      </c>
      <c r="D56" s="8" t="s">
        <v>515</v>
      </c>
      <c r="E56" s="8" t="s">
        <v>516</v>
      </c>
    </row>
    <row r="57" spans="1:5" x14ac:dyDescent="0.2">
      <c r="A57" s="8" t="s">
        <v>517</v>
      </c>
      <c r="B57" s="8" t="s">
        <v>518</v>
      </c>
      <c r="C57" s="8" t="s">
        <v>519</v>
      </c>
      <c r="D57" s="8" t="s">
        <v>520</v>
      </c>
      <c r="E57" s="8" t="s">
        <v>521</v>
      </c>
    </row>
    <row r="58" spans="1:5" x14ac:dyDescent="0.2">
      <c r="A58" s="8" t="s">
        <v>522</v>
      </c>
      <c r="B58" s="8" t="s">
        <v>518</v>
      </c>
      <c r="C58" s="8" t="s">
        <v>519</v>
      </c>
      <c r="D58" s="8" t="s">
        <v>520</v>
      </c>
      <c r="E58" s="8" t="s">
        <v>521</v>
      </c>
    </row>
    <row r="59" spans="1:5" x14ac:dyDescent="0.2">
      <c r="A59" s="8" t="s">
        <v>523</v>
      </c>
      <c r="B59" s="8" t="s">
        <v>524</v>
      </c>
      <c r="C59" s="8" t="s">
        <v>525</v>
      </c>
      <c r="D59" s="8" t="s">
        <v>526</v>
      </c>
      <c r="E59" s="8" t="s">
        <v>527</v>
      </c>
    </row>
    <row r="60" spans="1:5" x14ac:dyDescent="0.2">
      <c r="A60" s="8" t="s">
        <v>528</v>
      </c>
      <c r="B60" s="8" t="s">
        <v>501</v>
      </c>
      <c r="C60" s="8" t="s">
        <v>502</v>
      </c>
      <c r="D60" s="8" t="s">
        <v>503</v>
      </c>
      <c r="E60" s="8" t="s">
        <v>504</v>
      </c>
    </row>
    <row r="61" spans="1:5" x14ac:dyDescent="0.2">
      <c r="A61" s="8" t="s">
        <v>529</v>
      </c>
      <c r="B61" s="8" t="s">
        <v>55</v>
      </c>
      <c r="C61" s="8" t="s">
        <v>55</v>
      </c>
      <c r="D61" s="8" t="s">
        <v>530</v>
      </c>
      <c r="E61" s="8" t="s">
        <v>531</v>
      </c>
    </row>
    <row r="62" spans="1:5" x14ac:dyDescent="0.2">
      <c r="A62" s="8" t="s">
        <v>532</v>
      </c>
      <c r="B62" s="8" t="s">
        <v>501</v>
      </c>
      <c r="C62" s="8" t="s">
        <v>502</v>
      </c>
      <c r="D62" s="8" t="s">
        <v>503</v>
      </c>
      <c r="E62" s="8" t="s">
        <v>504</v>
      </c>
    </row>
    <row r="63" spans="1:5" x14ac:dyDescent="0.2">
      <c r="A63" s="8" t="s">
        <v>533</v>
      </c>
      <c r="B63" s="8" t="s">
        <v>534</v>
      </c>
      <c r="C63" s="8" t="s">
        <v>535</v>
      </c>
      <c r="D63" s="8" t="s">
        <v>536</v>
      </c>
      <c r="E63" s="8" t="s">
        <v>537</v>
      </c>
    </row>
    <row r="64" spans="1:5" x14ac:dyDescent="0.2">
      <c r="A64" s="8" t="s">
        <v>538</v>
      </c>
      <c r="B64" s="8" t="s">
        <v>539</v>
      </c>
      <c r="C64" s="8" t="s">
        <v>540</v>
      </c>
      <c r="D64" s="8" t="s">
        <v>541</v>
      </c>
      <c r="E64" s="8" t="s">
        <v>542</v>
      </c>
    </row>
    <row r="65" spans="1:6" x14ac:dyDescent="0.2">
      <c r="A65" s="8" t="s">
        <v>543</v>
      </c>
      <c r="B65" s="8" t="s">
        <v>501</v>
      </c>
      <c r="C65" s="8" t="s">
        <v>502</v>
      </c>
      <c r="D65" s="8" t="s">
        <v>503</v>
      </c>
      <c r="E65" s="8" t="s">
        <v>504</v>
      </c>
    </row>
    <row r="66" spans="1:6" x14ac:dyDescent="0.2">
      <c r="A66" s="8" t="s">
        <v>544</v>
      </c>
      <c r="B66" s="8" t="s">
        <v>545</v>
      </c>
      <c r="C66" s="8" t="s">
        <v>546</v>
      </c>
      <c r="D66" s="8" t="s">
        <v>547</v>
      </c>
      <c r="E66" s="8" t="s">
        <v>548</v>
      </c>
      <c r="F66" s="8"/>
    </row>
    <row r="67" spans="1:6" x14ac:dyDescent="0.2">
      <c r="A67" s="8" t="s">
        <v>549</v>
      </c>
      <c r="B67" s="8" t="s">
        <v>550</v>
      </c>
      <c r="C67" s="8" t="s">
        <v>551</v>
      </c>
      <c r="D67" s="8" t="s">
        <v>552</v>
      </c>
      <c r="E67" s="8" t="s">
        <v>553</v>
      </c>
    </row>
    <row r="68" spans="1:6" x14ac:dyDescent="0.2">
      <c r="A68" s="8" t="s">
        <v>554</v>
      </c>
      <c r="B68" s="8" t="s">
        <v>555</v>
      </c>
      <c r="C68" s="8" t="s">
        <v>556</v>
      </c>
      <c r="D68" s="8" t="s">
        <v>557</v>
      </c>
      <c r="E68" s="8" t="s">
        <v>558</v>
      </c>
    </row>
    <row r="69" spans="1:6" x14ac:dyDescent="0.2">
      <c r="A69" s="8" t="s">
        <v>559</v>
      </c>
      <c r="B69" s="8" t="s">
        <v>555</v>
      </c>
      <c r="C69" s="8" t="s">
        <v>556</v>
      </c>
      <c r="D69" s="8" t="s">
        <v>557</v>
      </c>
      <c r="E69" s="8" t="s">
        <v>558</v>
      </c>
    </row>
    <row r="70" spans="1:6" x14ac:dyDescent="0.2">
      <c r="A70" s="8" t="s">
        <v>560</v>
      </c>
      <c r="B70" s="8" t="s">
        <v>55</v>
      </c>
      <c r="C70" s="8" t="s">
        <v>55</v>
      </c>
      <c r="D70" s="8" t="s">
        <v>139</v>
      </c>
      <c r="E70" s="8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72A07-46BE-324B-B584-ACDD256F7AFD}">
  <dimension ref="A1:G256"/>
  <sheetViews>
    <sheetView workbookViewId="0">
      <selection activeCell="I27" sqref="I27"/>
    </sheetView>
  </sheetViews>
  <sheetFormatPr baseColWidth="10" defaultRowHeight="15" x14ac:dyDescent="0.2"/>
  <sheetData>
    <row r="1" spans="1:7" x14ac:dyDescent="0.2">
      <c r="A1" s="8" t="s">
        <v>561</v>
      </c>
      <c r="B1" s="8" t="s">
        <v>562</v>
      </c>
      <c r="C1" s="8" t="s">
        <v>563</v>
      </c>
      <c r="D1" s="8" t="s">
        <v>564</v>
      </c>
      <c r="E1" s="8" t="s">
        <v>565</v>
      </c>
      <c r="F1" s="8" t="s">
        <v>566</v>
      </c>
      <c r="G1" s="8" t="s">
        <v>567</v>
      </c>
    </row>
    <row r="2" spans="1:7" x14ac:dyDescent="0.2">
      <c r="A2" s="8" t="s">
        <v>568</v>
      </c>
      <c r="B2" s="8" t="s">
        <v>569</v>
      </c>
      <c r="C2" s="8" t="s">
        <v>570</v>
      </c>
      <c r="D2" s="8" t="s">
        <v>571</v>
      </c>
      <c r="E2" s="8" t="s">
        <v>572</v>
      </c>
      <c r="F2" s="8" t="s">
        <v>572</v>
      </c>
      <c r="G2" s="8" t="s">
        <v>573</v>
      </c>
    </row>
    <row r="3" spans="1:7" x14ac:dyDescent="0.2">
      <c r="A3" s="8" t="s">
        <v>574</v>
      </c>
      <c r="B3" s="8" t="s">
        <v>575</v>
      </c>
      <c r="C3" s="8" t="s">
        <v>576</v>
      </c>
      <c r="D3" s="8" t="s">
        <v>577</v>
      </c>
      <c r="E3" s="8" t="s">
        <v>578</v>
      </c>
      <c r="F3" s="8" t="s">
        <v>578</v>
      </c>
      <c r="G3" s="8" t="s">
        <v>579</v>
      </c>
    </row>
    <row r="4" spans="1:7" x14ac:dyDescent="0.2">
      <c r="A4" s="8" t="s">
        <v>580</v>
      </c>
      <c r="B4" s="8" t="s">
        <v>581</v>
      </c>
      <c r="C4" s="8" t="s">
        <v>582</v>
      </c>
      <c r="D4" s="8" t="s">
        <v>583</v>
      </c>
      <c r="E4" s="8" t="s">
        <v>584</v>
      </c>
      <c r="F4" s="8" t="s">
        <v>584</v>
      </c>
      <c r="G4" s="8" t="s">
        <v>585</v>
      </c>
    </row>
    <row r="5" spans="1:7" x14ac:dyDescent="0.2">
      <c r="A5" s="8" t="s">
        <v>586</v>
      </c>
      <c r="B5" s="8" t="s">
        <v>587</v>
      </c>
      <c r="C5" s="8" t="s">
        <v>588</v>
      </c>
      <c r="D5" s="8" t="s">
        <v>589</v>
      </c>
      <c r="E5" s="8" t="s">
        <v>590</v>
      </c>
      <c r="F5" s="8" t="s">
        <v>590</v>
      </c>
      <c r="G5" s="8" t="s">
        <v>591</v>
      </c>
    </row>
    <row r="6" spans="1:7" x14ac:dyDescent="0.2">
      <c r="A6" s="8" t="s">
        <v>592</v>
      </c>
      <c r="B6" s="8" t="s">
        <v>593</v>
      </c>
      <c r="C6" s="8" t="s">
        <v>594</v>
      </c>
      <c r="D6" s="8" t="s">
        <v>595</v>
      </c>
      <c r="E6" s="8" t="s">
        <v>596</v>
      </c>
      <c r="F6" s="8" t="s">
        <v>596</v>
      </c>
      <c r="G6" s="8" t="s">
        <v>597</v>
      </c>
    </row>
    <row r="7" spans="1:7" x14ac:dyDescent="0.2">
      <c r="A7" s="8" t="s">
        <v>598</v>
      </c>
      <c r="B7" s="8" t="s">
        <v>599</v>
      </c>
      <c r="C7" s="8" t="s">
        <v>600</v>
      </c>
      <c r="D7" s="8" t="s">
        <v>601</v>
      </c>
      <c r="E7" s="8" t="s">
        <v>602</v>
      </c>
      <c r="F7" s="8" t="s">
        <v>602</v>
      </c>
      <c r="G7" s="8" t="s">
        <v>603</v>
      </c>
    </row>
    <row r="8" spans="1:7" x14ac:dyDescent="0.2">
      <c r="A8" s="8" t="s">
        <v>604</v>
      </c>
      <c r="B8" s="8" t="s">
        <v>605</v>
      </c>
      <c r="C8" s="8" t="s">
        <v>606</v>
      </c>
      <c r="D8" s="8" t="s">
        <v>607</v>
      </c>
      <c r="E8" s="8" t="s">
        <v>608</v>
      </c>
      <c r="F8" s="8" t="s">
        <v>608</v>
      </c>
      <c r="G8" s="8" t="s">
        <v>609</v>
      </c>
    </row>
    <row r="9" spans="1:7" x14ac:dyDescent="0.2">
      <c r="A9" s="8" t="s">
        <v>610</v>
      </c>
      <c r="B9" s="8" t="s">
        <v>611</v>
      </c>
      <c r="C9" s="8" t="s">
        <v>612</v>
      </c>
      <c r="D9" s="8" t="s">
        <v>613</v>
      </c>
      <c r="E9" s="8" t="s">
        <v>614</v>
      </c>
      <c r="F9" s="8" t="s">
        <v>614</v>
      </c>
      <c r="G9" s="8" t="s">
        <v>615</v>
      </c>
    </row>
    <row r="10" spans="1:7" x14ac:dyDescent="0.2">
      <c r="A10" s="8" t="s">
        <v>616</v>
      </c>
      <c r="B10" s="8" t="s">
        <v>617</v>
      </c>
      <c r="C10" s="8" t="s">
        <v>618</v>
      </c>
      <c r="D10" s="8" t="s">
        <v>619</v>
      </c>
      <c r="E10" s="8" t="s">
        <v>620</v>
      </c>
      <c r="F10" s="8" t="s">
        <v>620</v>
      </c>
      <c r="G10" s="8" t="s">
        <v>621</v>
      </c>
    </row>
    <row r="11" spans="1:7" x14ac:dyDescent="0.2">
      <c r="A11" s="8" t="s">
        <v>622</v>
      </c>
      <c r="B11" s="8" t="s">
        <v>623</v>
      </c>
      <c r="C11" s="8" t="s">
        <v>624</v>
      </c>
      <c r="D11" s="8" t="s">
        <v>625</v>
      </c>
      <c r="E11" s="8" t="s">
        <v>626</v>
      </c>
      <c r="F11" s="8" t="s">
        <v>626</v>
      </c>
      <c r="G11" s="8" t="s">
        <v>627</v>
      </c>
    </row>
    <row r="12" spans="1:7" x14ac:dyDescent="0.2">
      <c r="A12" s="8" t="s">
        <v>628</v>
      </c>
      <c r="B12" s="8" t="s">
        <v>629</v>
      </c>
      <c r="C12" s="8" t="s">
        <v>630</v>
      </c>
      <c r="D12" s="8" t="s">
        <v>631</v>
      </c>
      <c r="E12" s="8" t="s">
        <v>632</v>
      </c>
      <c r="F12" s="8" t="s">
        <v>632</v>
      </c>
      <c r="G12" s="8" t="s">
        <v>633</v>
      </c>
    </row>
    <row r="13" spans="1:7" x14ac:dyDescent="0.2">
      <c r="A13" s="8" t="s">
        <v>634</v>
      </c>
      <c r="B13" s="8" t="s">
        <v>635</v>
      </c>
      <c r="C13" s="8" t="s">
        <v>636</v>
      </c>
      <c r="D13" s="8" t="s">
        <v>637</v>
      </c>
      <c r="E13" s="8" t="s">
        <v>638</v>
      </c>
      <c r="F13" s="8" t="s">
        <v>638</v>
      </c>
      <c r="G13" s="8" t="s">
        <v>639</v>
      </c>
    </row>
    <row r="14" spans="1:7" x14ac:dyDescent="0.2">
      <c r="A14" s="8" t="s">
        <v>640</v>
      </c>
      <c r="B14" s="8" t="s">
        <v>641</v>
      </c>
      <c r="C14" s="8" t="s">
        <v>642</v>
      </c>
      <c r="D14" s="8" t="s">
        <v>643</v>
      </c>
      <c r="E14" s="8" t="s">
        <v>644</v>
      </c>
      <c r="F14" s="8" t="s">
        <v>644</v>
      </c>
      <c r="G14" s="8" t="s">
        <v>645</v>
      </c>
    </row>
    <row r="15" spans="1:7" x14ac:dyDescent="0.2">
      <c r="A15" s="8" t="s">
        <v>646</v>
      </c>
      <c r="B15" s="8" t="s">
        <v>647</v>
      </c>
      <c r="C15" s="8" t="s">
        <v>648</v>
      </c>
      <c r="D15" s="8" t="s">
        <v>649</v>
      </c>
      <c r="E15" s="8" t="s">
        <v>650</v>
      </c>
      <c r="F15" s="8" t="s">
        <v>650</v>
      </c>
      <c r="G15" s="8" t="s">
        <v>651</v>
      </c>
    </row>
    <row r="16" spans="1:7" x14ac:dyDescent="0.2">
      <c r="A16" s="8" t="s">
        <v>652</v>
      </c>
      <c r="B16" s="8" t="s">
        <v>582</v>
      </c>
      <c r="C16" s="8" t="s">
        <v>653</v>
      </c>
      <c r="D16" s="8" t="s">
        <v>654</v>
      </c>
      <c r="E16" s="8" t="s">
        <v>655</v>
      </c>
      <c r="F16" s="8" t="s">
        <v>655</v>
      </c>
      <c r="G16" s="8" t="s">
        <v>656</v>
      </c>
    </row>
    <row r="17" spans="1:7" x14ac:dyDescent="0.2">
      <c r="A17" s="8" t="s">
        <v>657</v>
      </c>
      <c r="B17" s="8" t="s">
        <v>658</v>
      </c>
      <c r="C17" s="8" t="s">
        <v>659</v>
      </c>
      <c r="D17" s="8" t="s">
        <v>660</v>
      </c>
      <c r="E17" s="8" t="s">
        <v>661</v>
      </c>
      <c r="F17" s="8" t="s">
        <v>661</v>
      </c>
      <c r="G17" s="8" t="s">
        <v>662</v>
      </c>
    </row>
    <row r="18" spans="1:7" x14ac:dyDescent="0.2">
      <c r="A18" s="8" t="s">
        <v>663</v>
      </c>
      <c r="B18" s="8" t="s">
        <v>664</v>
      </c>
      <c r="C18" s="8" t="s">
        <v>665</v>
      </c>
      <c r="D18" s="8" t="s">
        <v>666</v>
      </c>
      <c r="E18" s="8" t="s">
        <v>667</v>
      </c>
      <c r="F18" s="8" t="s">
        <v>667</v>
      </c>
      <c r="G18" s="8" t="s">
        <v>668</v>
      </c>
    </row>
    <row r="19" spans="1:7" x14ac:dyDescent="0.2">
      <c r="A19" s="8" t="s">
        <v>669</v>
      </c>
      <c r="B19" s="8" t="s">
        <v>670</v>
      </c>
      <c r="C19" s="8" t="s">
        <v>671</v>
      </c>
      <c r="D19" s="8" t="s">
        <v>672</v>
      </c>
      <c r="E19" s="8" t="s">
        <v>673</v>
      </c>
      <c r="F19" s="8" t="s">
        <v>673</v>
      </c>
      <c r="G19" s="8" t="s">
        <v>674</v>
      </c>
    </row>
    <row r="20" spans="1:7" x14ac:dyDescent="0.2">
      <c r="A20" s="8" t="s">
        <v>675</v>
      </c>
      <c r="B20" s="8" t="s">
        <v>676</v>
      </c>
      <c r="C20" s="8" t="s">
        <v>677</v>
      </c>
      <c r="D20" s="8" t="s">
        <v>678</v>
      </c>
      <c r="E20" s="8" t="s">
        <v>679</v>
      </c>
      <c r="F20" s="8" t="s">
        <v>679</v>
      </c>
      <c r="G20" s="8" t="s">
        <v>680</v>
      </c>
    </row>
    <row r="21" spans="1:7" x14ac:dyDescent="0.2">
      <c r="A21" s="8" t="s">
        <v>681</v>
      </c>
      <c r="B21" s="8" t="s">
        <v>682</v>
      </c>
      <c r="C21" s="8" t="s">
        <v>683</v>
      </c>
      <c r="D21" s="8" t="s">
        <v>684</v>
      </c>
      <c r="E21" s="8" t="s">
        <v>685</v>
      </c>
      <c r="F21" s="8" t="s">
        <v>685</v>
      </c>
      <c r="G21" s="8" t="s">
        <v>686</v>
      </c>
    </row>
    <row r="22" spans="1:7" x14ac:dyDescent="0.2">
      <c r="A22" s="8" t="s">
        <v>687</v>
      </c>
      <c r="B22" s="8" t="s">
        <v>688</v>
      </c>
      <c r="C22" s="8" t="s">
        <v>689</v>
      </c>
      <c r="D22" s="8" t="s">
        <v>690</v>
      </c>
      <c r="E22" s="8" t="s">
        <v>691</v>
      </c>
      <c r="F22" s="8" t="s">
        <v>691</v>
      </c>
      <c r="G22" s="8" t="s">
        <v>692</v>
      </c>
    </row>
    <row r="23" spans="1:7" x14ac:dyDescent="0.2">
      <c r="A23" s="8" t="s">
        <v>693</v>
      </c>
      <c r="B23" s="8" t="s">
        <v>694</v>
      </c>
      <c r="C23" s="8" t="s">
        <v>695</v>
      </c>
      <c r="D23" s="8" t="s">
        <v>696</v>
      </c>
      <c r="E23" s="8" t="s">
        <v>697</v>
      </c>
      <c r="F23" s="8" t="s">
        <v>697</v>
      </c>
      <c r="G23" s="8" t="s">
        <v>698</v>
      </c>
    </row>
    <row r="24" spans="1:7" x14ac:dyDescent="0.2">
      <c r="A24" s="8" t="s">
        <v>699</v>
      </c>
      <c r="B24" s="8" t="s">
        <v>700</v>
      </c>
      <c r="C24" s="8" t="s">
        <v>701</v>
      </c>
      <c r="D24" s="8" t="s">
        <v>702</v>
      </c>
      <c r="E24" s="8" t="s">
        <v>703</v>
      </c>
      <c r="F24" s="8" t="s">
        <v>703</v>
      </c>
      <c r="G24" s="8" t="s">
        <v>704</v>
      </c>
    </row>
    <row r="25" spans="1:7" x14ac:dyDescent="0.2">
      <c r="A25" s="8" t="s">
        <v>705</v>
      </c>
      <c r="B25" s="8" t="s">
        <v>706</v>
      </c>
      <c r="C25" s="8" t="s">
        <v>707</v>
      </c>
      <c r="D25" s="8" t="s">
        <v>708</v>
      </c>
      <c r="E25" s="8" t="s">
        <v>709</v>
      </c>
      <c r="F25" s="8" t="s">
        <v>709</v>
      </c>
      <c r="G25" s="8" t="s">
        <v>710</v>
      </c>
    </row>
    <row r="26" spans="1:7" x14ac:dyDescent="0.2">
      <c r="A26" s="8" t="s">
        <v>711</v>
      </c>
      <c r="B26" s="8" t="s">
        <v>712</v>
      </c>
      <c r="C26" s="8" t="s">
        <v>712</v>
      </c>
      <c r="D26" s="8" t="s">
        <v>713</v>
      </c>
      <c r="E26" s="8" t="s">
        <v>714</v>
      </c>
      <c r="F26" s="8" t="s">
        <v>714</v>
      </c>
      <c r="G26" s="8" t="s">
        <v>715</v>
      </c>
    </row>
    <row r="27" spans="1:7" x14ac:dyDescent="0.2">
      <c r="A27" s="8" t="s">
        <v>716</v>
      </c>
      <c r="B27" s="8" t="s">
        <v>717</v>
      </c>
      <c r="C27" s="8" t="s">
        <v>718</v>
      </c>
      <c r="D27" s="8" t="s">
        <v>719</v>
      </c>
      <c r="E27" s="8" t="s">
        <v>720</v>
      </c>
      <c r="F27" s="8" t="s">
        <v>720</v>
      </c>
      <c r="G27" s="8" t="s">
        <v>721</v>
      </c>
    </row>
    <row r="28" spans="1:7" x14ac:dyDescent="0.2">
      <c r="A28" s="8" t="s">
        <v>722</v>
      </c>
      <c r="B28" s="8" t="s">
        <v>723</v>
      </c>
      <c r="C28" s="8" t="s">
        <v>724</v>
      </c>
      <c r="D28" s="8" t="s">
        <v>725</v>
      </c>
      <c r="E28" s="8" t="s">
        <v>726</v>
      </c>
      <c r="F28" s="8" t="s">
        <v>726</v>
      </c>
      <c r="G28" s="8" t="s">
        <v>727</v>
      </c>
    </row>
    <row r="29" spans="1:7" x14ac:dyDescent="0.2">
      <c r="A29" s="8" t="s">
        <v>728</v>
      </c>
      <c r="B29" s="8" t="s">
        <v>729</v>
      </c>
      <c r="C29" s="8" t="s">
        <v>730</v>
      </c>
      <c r="D29" s="8" t="s">
        <v>731</v>
      </c>
      <c r="E29" s="8" t="s">
        <v>732</v>
      </c>
      <c r="F29" s="8" t="s">
        <v>732</v>
      </c>
      <c r="G29" s="8" t="s">
        <v>733</v>
      </c>
    </row>
    <row r="30" spans="1:7" x14ac:dyDescent="0.2">
      <c r="A30" s="8" t="s">
        <v>734</v>
      </c>
      <c r="B30" s="8" t="s">
        <v>735</v>
      </c>
      <c r="C30" s="8" t="s">
        <v>736</v>
      </c>
      <c r="D30" s="8" t="s">
        <v>737</v>
      </c>
      <c r="E30" s="8" t="s">
        <v>738</v>
      </c>
      <c r="F30" s="8" t="s">
        <v>738</v>
      </c>
      <c r="G30" s="8" t="s">
        <v>739</v>
      </c>
    </row>
    <row r="31" spans="1:7" x14ac:dyDescent="0.2">
      <c r="A31" s="8" t="s">
        <v>740</v>
      </c>
      <c r="B31" s="8" t="s">
        <v>741</v>
      </c>
      <c r="C31" s="8" t="s">
        <v>742</v>
      </c>
      <c r="D31" s="8" t="s">
        <v>743</v>
      </c>
      <c r="E31" s="8" t="s">
        <v>744</v>
      </c>
      <c r="F31" s="8" t="s">
        <v>744</v>
      </c>
      <c r="G31" s="8" t="s">
        <v>745</v>
      </c>
    </row>
    <row r="32" spans="1:7" x14ac:dyDescent="0.2">
      <c r="A32" s="8" t="s">
        <v>746</v>
      </c>
      <c r="B32" s="8" t="s">
        <v>747</v>
      </c>
      <c r="C32" s="8" t="s">
        <v>748</v>
      </c>
      <c r="D32" s="8" t="s">
        <v>749</v>
      </c>
      <c r="E32" s="8" t="s">
        <v>750</v>
      </c>
      <c r="F32" s="8" t="s">
        <v>750</v>
      </c>
      <c r="G32" s="8" t="s">
        <v>751</v>
      </c>
    </row>
    <row r="33" spans="1:7" x14ac:dyDescent="0.2">
      <c r="A33" s="8" t="s">
        <v>752</v>
      </c>
      <c r="B33" s="8" t="s">
        <v>753</v>
      </c>
      <c r="C33" s="8" t="s">
        <v>754</v>
      </c>
      <c r="D33" s="8" t="s">
        <v>755</v>
      </c>
      <c r="E33" s="8" t="s">
        <v>756</v>
      </c>
      <c r="F33" s="8" t="s">
        <v>756</v>
      </c>
      <c r="G33" s="8" t="s">
        <v>757</v>
      </c>
    </row>
    <row r="34" spans="1:7" x14ac:dyDescent="0.2">
      <c r="A34" s="8" t="s">
        <v>758</v>
      </c>
      <c r="B34" s="8" t="s">
        <v>759</v>
      </c>
      <c r="C34" s="8" t="s">
        <v>760</v>
      </c>
      <c r="D34" s="8" t="s">
        <v>761</v>
      </c>
      <c r="E34" s="8" t="s">
        <v>762</v>
      </c>
      <c r="F34" s="8" t="s">
        <v>762</v>
      </c>
      <c r="G34" s="8" t="s">
        <v>763</v>
      </c>
    </row>
    <row r="35" spans="1:7" x14ac:dyDescent="0.2">
      <c r="A35" s="8" t="s">
        <v>764</v>
      </c>
      <c r="B35" s="8" t="s">
        <v>765</v>
      </c>
      <c r="C35" s="8" t="s">
        <v>766</v>
      </c>
      <c r="D35" s="8" t="s">
        <v>767</v>
      </c>
      <c r="E35" s="8" t="s">
        <v>768</v>
      </c>
      <c r="F35" s="8" t="s">
        <v>768</v>
      </c>
      <c r="G35" s="8" t="s">
        <v>769</v>
      </c>
    </row>
    <row r="36" spans="1:7" x14ac:dyDescent="0.2">
      <c r="A36" s="8" t="s">
        <v>770</v>
      </c>
      <c r="B36" s="8" t="s">
        <v>771</v>
      </c>
      <c r="C36" s="8" t="s">
        <v>772</v>
      </c>
      <c r="D36" s="8" t="s">
        <v>773</v>
      </c>
      <c r="E36" s="8" t="s">
        <v>774</v>
      </c>
      <c r="F36" s="8" t="s">
        <v>774</v>
      </c>
      <c r="G36" s="8" t="s">
        <v>775</v>
      </c>
    </row>
    <row r="37" spans="1:7" x14ac:dyDescent="0.2">
      <c r="A37" s="8" t="s">
        <v>776</v>
      </c>
      <c r="B37" s="8" t="s">
        <v>777</v>
      </c>
      <c r="C37" s="8" t="s">
        <v>778</v>
      </c>
      <c r="D37" s="8" t="s">
        <v>779</v>
      </c>
      <c r="E37" s="8" t="s">
        <v>780</v>
      </c>
      <c r="F37" s="8" t="s">
        <v>780</v>
      </c>
      <c r="G37" s="8" t="s">
        <v>781</v>
      </c>
    </row>
    <row r="38" spans="1:7" x14ac:dyDescent="0.2">
      <c r="A38" s="8" t="s">
        <v>782</v>
      </c>
      <c r="B38" s="8" t="s">
        <v>730</v>
      </c>
      <c r="C38" s="8" t="s">
        <v>783</v>
      </c>
      <c r="D38" s="8" t="s">
        <v>784</v>
      </c>
      <c r="E38" s="8" t="s">
        <v>785</v>
      </c>
      <c r="F38" s="8" t="s">
        <v>785</v>
      </c>
      <c r="G38" s="8" t="s">
        <v>786</v>
      </c>
    </row>
    <row r="39" spans="1:7" x14ac:dyDescent="0.2">
      <c r="A39" s="8" t="s">
        <v>787</v>
      </c>
      <c r="B39" s="8" t="s">
        <v>788</v>
      </c>
      <c r="C39" s="8" t="s">
        <v>789</v>
      </c>
      <c r="D39" s="8" t="s">
        <v>789</v>
      </c>
      <c r="E39" s="8" t="s">
        <v>789</v>
      </c>
      <c r="F39" s="8" t="s">
        <v>789</v>
      </c>
      <c r="G39" s="8" t="s">
        <v>789</v>
      </c>
    </row>
    <row r="40" spans="1:7" x14ac:dyDescent="0.2">
      <c r="A40" s="8" t="s">
        <v>787</v>
      </c>
      <c r="B40" s="8" t="s">
        <v>790</v>
      </c>
      <c r="C40" s="8" t="s">
        <v>791</v>
      </c>
      <c r="D40" s="8" t="s">
        <v>792</v>
      </c>
      <c r="E40" s="8" t="s">
        <v>793</v>
      </c>
      <c r="F40" s="8" t="s">
        <v>793</v>
      </c>
      <c r="G40" s="8" t="s">
        <v>794</v>
      </c>
    </row>
    <row r="41" spans="1:7" x14ac:dyDescent="0.2">
      <c r="A41" s="8" t="s">
        <v>795</v>
      </c>
      <c r="B41" s="8" t="s">
        <v>796</v>
      </c>
      <c r="C41" s="8" t="s">
        <v>797</v>
      </c>
      <c r="D41" s="8" t="s">
        <v>798</v>
      </c>
      <c r="E41" s="8" t="s">
        <v>799</v>
      </c>
      <c r="F41" s="8" t="s">
        <v>800</v>
      </c>
      <c r="G41" s="8" t="s">
        <v>801</v>
      </c>
    </row>
    <row r="42" spans="1:7" x14ac:dyDescent="0.2">
      <c r="A42" s="8" t="s">
        <v>802</v>
      </c>
      <c r="B42" s="8" t="s">
        <v>803</v>
      </c>
      <c r="C42" s="8" t="s">
        <v>804</v>
      </c>
      <c r="D42" s="8" t="s">
        <v>805</v>
      </c>
      <c r="E42" s="8" t="s">
        <v>806</v>
      </c>
      <c r="F42" s="8" t="s">
        <v>807</v>
      </c>
      <c r="G42" s="8" t="s">
        <v>808</v>
      </c>
    </row>
    <row r="43" spans="1:7" x14ac:dyDescent="0.2">
      <c r="A43" s="8" t="s">
        <v>809</v>
      </c>
      <c r="B43" s="8" t="s">
        <v>810</v>
      </c>
      <c r="C43" s="8" t="s">
        <v>811</v>
      </c>
      <c r="D43" s="8" t="s">
        <v>810</v>
      </c>
      <c r="E43" s="8" t="s">
        <v>812</v>
      </c>
      <c r="F43" s="8" t="s">
        <v>813</v>
      </c>
      <c r="G43" s="8" t="s">
        <v>814</v>
      </c>
    </row>
    <row r="44" spans="1:7" x14ac:dyDescent="0.2">
      <c r="A44" s="8" t="s">
        <v>815</v>
      </c>
      <c r="B44" s="8" t="s">
        <v>816</v>
      </c>
      <c r="C44" s="8" t="s">
        <v>817</v>
      </c>
      <c r="D44" s="8" t="s">
        <v>818</v>
      </c>
      <c r="E44" s="8" t="s">
        <v>819</v>
      </c>
      <c r="F44" s="8" t="s">
        <v>820</v>
      </c>
      <c r="G44" s="8" t="s">
        <v>821</v>
      </c>
    </row>
    <row r="45" spans="1:7" x14ac:dyDescent="0.2">
      <c r="A45" s="8" t="s">
        <v>822</v>
      </c>
      <c r="B45" s="8" t="s">
        <v>823</v>
      </c>
      <c r="C45" s="8" t="s">
        <v>824</v>
      </c>
      <c r="D45" s="8" t="s">
        <v>825</v>
      </c>
      <c r="E45" s="8" t="s">
        <v>826</v>
      </c>
      <c r="F45" s="8" t="s">
        <v>827</v>
      </c>
      <c r="G45" s="8" t="s">
        <v>828</v>
      </c>
    </row>
    <row r="46" spans="1:7" x14ac:dyDescent="0.2">
      <c r="A46" s="8" t="s">
        <v>829</v>
      </c>
      <c r="B46" s="8" t="s">
        <v>830</v>
      </c>
      <c r="C46" s="8" t="s">
        <v>831</v>
      </c>
      <c r="D46" s="8" t="s">
        <v>643</v>
      </c>
      <c r="E46" s="8" t="s">
        <v>832</v>
      </c>
      <c r="F46" s="8" t="s">
        <v>833</v>
      </c>
      <c r="G46" s="8" t="s">
        <v>834</v>
      </c>
    </row>
    <row r="47" spans="1:7" x14ac:dyDescent="0.2">
      <c r="A47" s="8" t="s">
        <v>835</v>
      </c>
      <c r="B47" s="8" t="s">
        <v>836</v>
      </c>
      <c r="C47" s="8" t="s">
        <v>837</v>
      </c>
      <c r="D47" s="8" t="s">
        <v>838</v>
      </c>
      <c r="E47" s="8" t="s">
        <v>839</v>
      </c>
      <c r="F47" s="8" t="s">
        <v>840</v>
      </c>
      <c r="G47" s="8" t="s">
        <v>841</v>
      </c>
    </row>
    <row r="48" spans="1:7" x14ac:dyDescent="0.2">
      <c r="A48" s="8" t="s">
        <v>842</v>
      </c>
      <c r="B48" s="8" t="s">
        <v>670</v>
      </c>
      <c r="C48" s="8" t="s">
        <v>843</v>
      </c>
      <c r="D48" s="8" t="s">
        <v>844</v>
      </c>
      <c r="E48" s="8" t="s">
        <v>845</v>
      </c>
      <c r="F48" s="8" t="s">
        <v>846</v>
      </c>
      <c r="G48" s="8" t="s">
        <v>847</v>
      </c>
    </row>
    <row r="49" spans="1:7" x14ac:dyDescent="0.2">
      <c r="A49" s="8" t="s">
        <v>848</v>
      </c>
      <c r="B49" s="8" t="s">
        <v>849</v>
      </c>
      <c r="C49" s="8" t="s">
        <v>850</v>
      </c>
      <c r="D49" s="8" t="s">
        <v>851</v>
      </c>
      <c r="E49" s="8" t="s">
        <v>852</v>
      </c>
      <c r="F49" s="8" t="s">
        <v>853</v>
      </c>
      <c r="G49" s="8" t="s">
        <v>854</v>
      </c>
    </row>
    <row r="50" spans="1:7" x14ac:dyDescent="0.2">
      <c r="A50" s="8" t="s">
        <v>855</v>
      </c>
      <c r="B50" s="8" t="s">
        <v>856</v>
      </c>
      <c r="C50" s="8" t="s">
        <v>857</v>
      </c>
      <c r="D50" s="8" t="s">
        <v>858</v>
      </c>
      <c r="E50" s="8" t="s">
        <v>859</v>
      </c>
      <c r="F50" s="8" t="s">
        <v>830</v>
      </c>
      <c r="G50" s="8" t="s">
        <v>860</v>
      </c>
    </row>
    <row r="51" spans="1:7" x14ac:dyDescent="0.2">
      <c r="A51" s="8" t="s">
        <v>861</v>
      </c>
      <c r="B51" s="8" t="s">
        <v>862</v>
      </c>
      <c r="C51" s="8" t="s">
        <v>863</v>
      </c>
      <c r="D51" s="8" t="s">
        <v>864</v>
      </c>
      <c r="E51" s="8" t="s">
        <v>865</v>
      </c>
      <c r="F51" s="8" t="s">
        <v>866</v>
      </c>
      <c r="G51" s="8" t="s">
        <v>867</v>
      </c>
    </row>
    <row r="52" spans="1:7" x14ac:dyDescent="0.2">
      <c r="A52" s="8" t="s">
        <v>868</v>
      </c>
      <c r="B52" s="8" t="s">
        <v>624</v>
      </c>
      <c r="C52" s="8" t="s">
        <v>869</v>
      </c>
      <c r="D52" s="8" t="s">
        <v>870</v>
      </c>
      <c r="E52" s="8" t="s">
        <v>871</v>
      </c>
      <c r="F52" s="8" t="s">
        <v>872</v>
      </c>
      <c r="G52" s="8" t="s">
        <v>873</v>
      </c>
    </row>
    <row r="53" spans="1:7" x14ac:dyDescent="0.2">
      <c r="A53" s="8" t="s">
        <v>874</v>
      </c>
      <c r="B53" s="8" t="s">
        <v>875</v>
      </c>
      <c r="C53" s="8" t="s">
        <v>876</v>
      </c>
      <c r="D53" s="8" t="s">
        <v>877</v>
      </c>
      <c r="E53" s="8" t="s">
        <v>878</v>
      </c>
      <c r="F53" s="8" t="s">
        <v>879</v>
      </c>
      <c r="G53" s="8" t="s">
        <v>880</v>
      </c>
    </row>
    <row r="54" spans="1:7" x14ac:dyDescent="0.2">
      <c r="A54" s="8" t="s">
        <v>881</v>
      </c>
      <c r="B54" s="8" t="s">
        <v>882</v>
      </c>
      <c r="C54" s="8" t="s">
        <v>883</v>
      </c>
      <c r="D54" s="8" t="s">
        <v>884</v>
      </c>
      <c r="E54" s="8" t="s">
        <v>885</v>
      </c>
      <c r="F54" s="8" t="s">
        <v>886</v>
      </c>
      <c r="G54" s="8" t="s">
        <v>887</v>
      </c>
    </row>
    <row r="55" spans="1:7" x14ac:dyDescent="0.2">
      <c r="A55" s="8" t="s">
        <v>888</v>
      </c>
      <c r="B55" s="8" t="s">
        <v>889</v>
      </c>
      <c r="C55" s="8" t="s">
        <v>890</v>
      </c>
      <c r="D55" s="8" t="s">
        <v>891</v>
      </c>
      <c r="E55" s="8" t="s">
        <v>892</v>
      </c>
      <c r="F55" s="8" t="s">
        <v>893</v>
      </c>
      <c r="G55" s="8" t="s">
        <v>894</v>
      </c>
    </row>
    <row r="56" spans="1:7" x14ac:dyDescent="0.2">
      <c r="A56" s="8" t="s">
        <v>895</v>
      </c>
      <c r="B56" s="8" t="s">
        <v>896</v>
      </c>
      <c r="C56" s="8" t="s">
        <v>897</v>
      </c>
      <c r="D56" s="8" t="s">
        <v>898</v>
      </c>
      <c r="E56" s="8" t="s">
        <v>851</v>
      </c>
      <c r="F56" s="8" t="s">
        <v>899</v>
      </c>
      <c r="G56" s="8" t="s">
        <v>900</v>
      </c>
    </row>
    <row r="57" spans="1:7" x14ac:dyDescent="0.2">
      <c r="A57" s="8" t="s">
        <v>901</v>
      </c>
      <c r="B57" s="8" t="s">
        <v>902</v>
      </c>
      <c r="C57" s="8" t="s">
        <v>903</v>
      </c>
      <c r="D57" s="8" t="s">
        <v>904</v>
      </c>
      <c r="E57" s="8" t="s">
        <v>905</v>
      </c>
      <c r="F57" s="8" t="s">
        <v>906</v>
      </c>
      <c r="G57" s="8" t="s">
        <v>907</v>
      </c>
    </row>
    <row r="58" spans="1:7" x14ac:dyDescent="0.2">
      <c r="A58" s="8" t="s">
        <v>908</v>
      </c>
      <c r="B58" s="8" t="s">
        <v>909</v>
      </c>
      <c r="C58" s="8" t="s">
        <v>910</v>
      </c>
      <c r="D58" s="8" t="s">
        <v>911</v>
      </c>
      <c r="E58" s="8" t="s">
        <v>912</v>
      </c>
      <c r="F58" s="8" t="s">
        <v>667</v>
      </c>
      <c r="G58" s="8" t="s">
        <v>913</v>
      </c>
    </row>
    <row r="59" spans="1:7" x14ac:dyDescent="0.2">
      <c r="A59" s="8" t="s">
        <v>914</v>
      </c>
      <c r="B59" s="8" t="s">
        <v>915</v>
      </c>
      <c r="C59" s="8" t="s">
        <v>916</v>
      </c>
      <c r="D59" s="8" t="s">
        <v>917</v>
      </c>
      <c r="E59" s="8" t="s">
        <v>918</v>
      </c>
      <c r="F59" s="8" t="s">
        <v>919</v>
      </c>
      <c r="G59" s="8" t="s">
        <v>920</v>
      </c>
    </row>
    <row r="60" spans="1:7" x14ac:dyDescent="0.2">
      <c r="A60" s="8" t="s">
        <v>921</v>
      </c>
      <c r="B60" s="8" t="s">
        <v>922</v>
      </c>
      <c r="C60" s="8" t="s">
        <v>923</v>
      </c>
      <c r="D60" s="8" t="s">
        <v>924</v>
      </c>
      <c r="E60" s="8" t="s">
        <v>925</v>
      </c>
      <c r="F60" s="8" t="s">
        <v>926</v>
      </c>
      <c r="G60" s="8" t="s">
        <v>927</v>
      </c>
    </row>
    <row r="61" spans="1:7" x14ac:dyDescent="0.2">
      <c r="A61" s="8" t="s">
        <v>928</v>
      </c>
      <c r="B61" s="8" t="s">
        <v>929</v>
      </c>
      <c r="C61" s="8" t="s">
        <v>930</v>
      </c>
      <c r="D61" s="8" t="s">
        <v>931</v>
      </c>
      <c r="E61" s="8" t="s">
        <v>932</v>
      </c>
      <c r="F61" s="8" t="s">
        <v>933</v>
      </c>
      <c r="G61" s="8" t="s">
        <v>934</v>
      </c>
    </row>
    <row r="62" spans="1:7" x14ac:dyDescent="0.2">
      <c r="A62" s="8" t="s">
        <v>935</v>
      </c>
      <c r="B62" s="8" t="s">
        <v>936</v>
      </c>
      <c r="C62" s="8" t="s">
        <v>937</v>
      </c>
      <c r="D62" s="8" t="s">
        <v>938</v>
      </c>
      <c r="E62" s="8" t="s">
        <v>939</v>
      </c>
      <c r="F62" s="8" t="s">
        <v>940</v>
      </c>
      <c r="G62" s="8" t="s">
        <v>941</v>
      </c>
    </row>
    <row r="63" spans="1:7" x14ac:dyDescent="0.2">
      <c r="A63" s="8" t="s">
        <v>942</v>
      </c>
      <c r="B63" s="8" t="s">
        <v>943</v>
      </c>
      <c r="C63" s="8" t="s">
        <v>944</v>
      </c>
      <c r="D63" s="8" t="s">
        <v>945</v>
      </c>
      <c r="E63" s="8" t="s">
        <v>946</v>
      </c>
      <c r="F63" s="8" t="s">
        <v>947</v>
      </c>
      <c r="G63" s="8" t="s">
        <v>948</v>
      </c>
    </row>
    <row r="64" spans="1:7" x14ac:dyDescent="0.2">
      <c r="A64" s="8" t="s">
        <v>949</v>
      </c>
      <c r="B64" s="8" t="s">
        <v>950</v>
      </c>
      <c r="C64" s="8" t="s">
        <v>951</v>
      </c>
      <c r="D64" s="8" t="s">
        <v>952</v>
      </c>
      <c r="E64" s="8" t="s">
        <v>953</v>
      </c>
      <c r="F64" s="8" t="s">
        <v>954</v>
      </c>
      <c r="G64" s="8" t="s">
        <v>955</v>
      </c>
    </row>
    <row r="65" spans="1:7" x14ac:dyDescent="0.2">
      <c r="A65" s="8" t="s">
        <v>956</v>
      </c>
      <c r="B65" s="8" t="s">
        <v>957</v>
      </c>
      <c r="C65" s="8" t="s">
        <v>958</v>
      </c>
      <c r="D65" s="8" t="s">
        <v>959</v>
      </c>
      <c r="E65" s="8" t="s">
        <v>960</v>
      </c>
      <c r="F65" s="8" t="s">
        <v>961</v>
      </c>
      <c r="G65" s="8" t="s">
        <v>962</v>
      </c>
    </row>
    <row r="66" spans="1:7" x14ac:dyDescent="0.2">
      <c r="A66" s="8" t="s">
        <v>963</v>
      </c>
      <c r="B66" s="8" t="s">
        <v>964</v>
      </c>
      <c r="C66" s="8" t="s">
        <v>785</v>
      </c>
      <c r="D66" s="8" t="s">
        <v>965</v>
      </c>
      <c r="E66" s="8" t="s">
        <v>966</v>
      </c>
      <c r="F66" s="8" t="s">
        <v>967</v>
      </c>
      <c r="G66" s="8" t="s">
        <v>968</v>
      </c>
    </row>
    <row r="67" spans="1:7" x14ac:dyDescent="0.2">
      <c r="A67" s="8" t="s">
        <v>969</v>
      </c>
      <c r="B67" s="8" t="s">
        <v>712</v>
      </c>
      <c r="C67" s="8" t="s">
        <v>970</v>
      </c>
      <c r="D67" s="8" t="s">
        <v>971</v>
      </c>
      <c r="E67" s="8" t="s">
        <v>972</v>
      </c>
      <c r="F67" s="8" t="s">
        <v>973</v>
      </c>
      <c r="G67" s="8" t="s">
        <v>974</v>
      </c>
    </row>
    <row r="68" spans="1:7" x14ac:dyDescent="0.2">
      <c r="A68" s="8" t="s">
        <v>975</v>
      </c>
      <c r="B68" s="8" t="s">
        <v>976</v>
      </c>
      <c r="C68" s="8" t="s">
        <v>977</v>
      </c>
      <c r="D68" s="8" t="s">
        <v>978</v>
      </c>
      <c r="E68" s="8" t="s">
        <v>979</v>
      </c>
      <c r="F68" s="8" t="s">
        <v>980</v>
      </c>
      <c r="G68" s="8" t="s">
        <v>981</v>
      </c>
    </row>
    <row r="69" spans="1:7" x14ac:dyDescent="0.2">
      <c r="A69" s="8" t="s">
        <v>982</v>
      </c>
      <c r="B69" s="8" t="s">
        <v>983</v>
      </c>
      <c r="C69" s="8" t="s">
        <v>783</v>
      </c>
      <c r="D69" s="8" t="s">
        <v>984</v>
      </c>
      <c r="E69" s="8" t="s">
        <v>985</v>
      </c>
      <c r="F69" s="8" t="s">
        <v>986</v>
      </c>
      <c r="G69" s="8" t="s">
        <v>987</v>
      </c>
    </row>
    <row r="70" spans="1:7" x14ac:dyDescent="0.2">
      <c r="A70" s="8" t="s">
        <v>988</v>
      </c>
      <c r="B70" s="8" t="s">
        <v>989</v>
      </c>
      <c r="C70" s="8" t="s">
        <v>990</v>
      </c>
      <c r="D70" s="8" t="s">
        <v>991</v>
      </c>
      <c r="E70" s="8" t="s">
        <v>992</v>
      </c>
      <c r="F70" s="8" t="s">
        <v>993</v>
      </c>
      <c r="G70" s="8" t="s">
        <v>994</v>
      </c>
    </row>
    <row r="71" spans="1:7" x14ac:dyDescent="0.2">
      <c r="A71" s="8" t="s">
        <v>995</v>
      </c>
      <c r="B71" s="8" t="s">
        <v>996</v>
      </c>
      <c r="C71" s="8" t="s">
        <v>997</v>
      </c>
      <c r="D71" s="8" t="s">
        <v>998</v>
      </c>
      <c r="E71" s="8" t="s">
        <v>999</v>
      </c>
      <c r="F71" s="8" t="s">
        <v>1000</v>
      </c>
      <c r="G71" s="8" t="s">
        <v>1001</v>
      </c>
    </row>
    <row r="72" spans="1:7" x14ac:dyDescent="0.2">
      <c r="A72" s="8" t="s">
        <v>1002</v>
      </c>
      <c r="B72" s="8" t="s">
        <v>984</v>
      </c>
      <c r="C72" s="8" t="s">
        <v>1003</v>
      </c>
      <c r="D72" s="8" t="s">
        <v>1004</v>
      </c>
      <c r="E72" s="8" t="s">
        <v>1005</v>
      </c>
      <c r="F72" s="8" t="s">
        <v>1006</v>
      </c>
      <c r="G72" s="8" t="s">
        <v>1007</v>
      </c>
    </row>
    <row r="73" spans="1:7" x14ac:dyDescent="0.2">
      <c r="A73" s="8" t="s">
        <v>1008</v>
      </c>
      <c r="B73" s="8" t="s">
        <v>1009</v>
      </c>
      <c r="C73" s="8" t="s">
        <v>1010</v>
      </c>
      <c r="D73" s="8" t="s">
        <v>1011</v>
      </c>
      <c r="E73" s="8" t="s">
        <v>1012</v>
      </c>
      <c r="F73" s="8" t="s">
        <v>1013</v>
      </c>
      <c r="G73" s="8" t="s">
        <v>1014</v>
      </c>
    </row>
    <row r="74" spans="1:7" x14ac:dyDescent="0.2">
      <c r="A74" s="8" t="s">
        <v>1015</v>
      </c>
      <c r="B74" s="8" t="s">
        <v>1016</v>
      </c>
      <c r="C74" s="8" t="s">
        <v>1017</v>
      </c>
      <c r="D74" s="8" t="s">
        <v>1018</v>
      </c>
      <c r="E74" s="8" t="s">
        <v>1019</v>
      </c>
      <c r="F74" s="8" t="s">
        <v>1020</v>
      </c>
      <c r="G74" s="8" t="s">
        <v>1021</v>
      </c>
    </row>
    <row r="75" spans="1:7" x14ac:dyDescent="0.2">
      <c r="A75" s="8" t="s">
        <v>1022</v>
      </c>
      <c r="B75" s="8" t="s">
        <v>1023</v>
      </c>
      <c r="C75" s="8" t="s">
        <v>1024</v>
      </c>
      <c r="D75" s="8" t="s">
        <v>1025</v>
      </c>
      <c r="E75" s="8" t="s">
        <v>1026</v>
      </c>
      <c r="F75" s="8" t="s">
        <v>1027</v>
      </c>
      <c r="G75" s="8" t="s">
        <v>1028</v>
      </c>
    </row>
    <row r="76" spans="1:7" x14ac:dyDescent="0.2">
      <c r="A76" s="8" t="s">
        <v>1029</v>
      </c>
      <c r="B76" s="8" t="s">
        <v>973</v>
      </c>
      <c r="C76" s="8" t="s">
        <v>780</v>
      </c>
      <c r="D76" s="8" t="s">
        <v>1030</v>
      </c>
      <c r="E76" s="8" t="s">
        <v>1031</v>
      </c>
      <c r="F76" s="8" t="s">
        <v>1032</v>
      </c>
      <c r="G76" s="8" t="s">
        <v>1033</v>
      </c>
    </row>
    <row r="77" spans="1:7" x14ac:dyDescent="0.2">
      <c r="A77" s="8" t="s">
        <v>1034</v>
      </c>
      <c r="B77" s="8" t="s">
        <v>1035</v>
      </c>
      <c r="C77" s="8" t="s">
        <v>1035</v>
      </c>
      <c r="D77" s="8" t="s">
        <v>1036</v>
      </c>
      <c r="E77" s="8" t="s">
        <v>1037</v>
      </c>
      <c r="F77" s="8" t="s">
        <v>1038</v>
      </c>
      <c r="G77" s="8" t="s">
        <v>1039</v>
      </c>
    </row>
    <row r="78" spans="1:7" x14ac:dyDescent="0.2">
      <c r="A78" s="8" t="s">
        <v>1040</v>
      </c>
      <c r="B78" s="8" t="s">
        <v>1041</v>
      </c>
      <c r="C78" s="8" t="s">
        <v>1042</v>
      </c>
      <c r="D78" s="8" t="s">
        <v>1043</v>
      </c>
      <c r="E78" s="8" t="s">
        <v>1044</v>
      </c>
      <c r="F78" s="8" t="s">
        <v>1045</v>
      </c>
      <c r="G78" s="8" t="s">
        <v>1046</v>
      </c>
    </row>
    <row r="79" spans="1:7" x14ac:dyDescent="0.2">
      <c r="A79" s="8" t="s">
        <v>1047</v>
      </c>
      <c r="B79" s="8" t="s">
        <v>1048</v>
      </c>
      <c r="C79" s="8" t="s">
        <v>1049</v>
      </c>
      <c r="D79" s="8" t="s">
        <v>992</v>
      </c>
      <c r="E79" s="8" t="s">
        <v>1050</v>
      </c>
      <c r="F79" s="8" t="s">
        <v>1051</v>
      </c>
      <c r="G79" s="8" t="s">
        <v>1052</v>
      </c>
    </row>
    <row r="80" spans="1:7" x14ac:dyDescent="0.2">
      <c r="A80" s="8" t="s">
        <v>1053</v>
      </c>
      <c r="B80" s="8" t="s">
        <v>1054</v>
      </c>
      <c r="C80" s="8" t="s">
        <v>1055</v>
      </c>
      <c r="D80" s="8" t="s">
        <v>1056</v>
      </c>
      <c r="E80" s="8" t="s">
        <v>1057</v>
      </c>
      <c r="F80" s="8" t="s">
        <v>1058</v>
      </c>
      <c r="G80" s="8" t="s">
        <v>1059</v>
      </c>
    </row>
    <row r="81" spans="1:7" x14ac:dyDescent="0.2">
      <c r="A81" s="8" t="s">
        <v>1060</v>
      </c>
      <c r="B81" s="8" t="s">
        <v>1061</v>
      </c>
      <c r="C81" s="8" t="s">
        <v>1062</v>
      </c>
      <c r="D81" s="8" t="s">
        <v>1063</v>
      </c>
      <c r="E81" s="8" t="s">
        <v>1064</v>
      </c>
      <c r="F81" s="8" t="s">
        <v>1063</v>
      </c>
      <c r="G81" s="8" t="s">
        <v>1065</v>
      </c>
    </row>
    <row r="82" spans="1:7" x14ac:dyDescent="0.2">
      <c r="A82" s="8" t="s">
        <v>1066</v>
      </c>
      <c r="B82" s="8" t="s">
        <v>803</v>
      </c>
      <c r="C82" s="8" t="s">
        <v>1067</v>
      </c>
      <c r="D82" s="8" t="s">
        <v>1068</v>
      </c>
      <c r="E82" s="8" t="s">
        <v>1069</v>
      </c>
      <c r="F82" s="8" t="s">
        <v>1070</v>
      </c>
      <c r="G82" s="8" t="s">
        <v>1071</v>
      </c>
    </row>
    <row r="83" spans="1:7" x14ac:dyDescent="0.2">
      <c r="A83" s="8" t="s">
        <v>1072</v>
      </c>
      <c r="B83" s="8" t="s">
        <v>1073</v>
      </c>
      <c r="C83" s="8" t="s">
        <v>1074</v>
      </c>
      <c r="D83" s="8" t="s">
        <v>1075</v>
      </c>
      <c r="E83" s="8" t="s">
        <v>1057</v>
      </c>
      <c r="F83" s="8" t="s">
        <v>1058</v>
      </c>
      <c r="G83" s="8" t="s">
        <v>1076</v>
      </c>
    </row>
    <row r="84" spans="1:7" x14ac:dyDescent="0.2">
      <c r="A84" s="8" t="s">
        <v>1077</v>
      </c>
      <c r="B84" s="8" t="s">
        <v>1078</v>
      </c>
      <c r="C84" s="8" t="s">
        <v>1079</v>
      </c>
      <c r="D84" s="8" t="s">
        <v>1080</v>
      </c>
      <c r="E84" s="8" t="s">
        <v>1081</v>
      </c>
      <c r="F84" s="8" t="s">
        <v>1082</v>
      </c>
      <c r="G84" s="8" t="s">
        <v>1083</v>
      </c>
    </row>
    <row r="85" spans="1:7" x14ac:dyDescent="0.2">
      <c r="A85" s="8" t="s">
        <v>1084</v>
      </c>
      <c r="B85" s="8" t="s">
        <v>1085</v>
      </c>
      <c r="C85" s="8" t="s">
        <v>1086</v>
      </c>
      <c r="D85" s="8" t="s">
        <v>1087</v>
      </c>
      <c r="E85" s="8" t="s">
        <v>1088</v>
      </c>
      <c r="F85" s="8" t="s">
        <v>1089</v>
      </c>
      <c r="G85" s="8" t="s">
        <v>1090</v>
      </c>
    </row>
    <row r="86" spans="1:7" x14ac:dyDescent="0.2">
      <c r="A86" s="8" t="s">
        <v>1091</v>
      </c>
      <c r="B86" s="8" t="s">
        <v>1092</v>
      </c>
      <c r="C86" s="8" t="s">
        <v>1093</v>
      </c>
      <c r="D86" s="8" t="s">
        <v>1094</v>
      </c>
      <c r="E86" s="8" t="s">
        <v>1095</v>
      </c>
      <c r="F86" s="8" t="s">
        <v>1096</v>
      </c>
      <c r="G86" s="8" t="s">
        <v>1097</v>
      </c>
    </row>
    <row r="87" spans="1:7" x14ac:dyDescent="0.2">
      <c r="A87" s="8" t="s">
        <v>1098</v>
      </c>
      <c r="B87" s="8" t="s">
        <v>1099</v>
      </c>
      <c r="C87" s="8" t="s">
        <v>1100</v>
      </c>
      <c r="D87" s="8" t="s">
        <v>1101</v>
      </c>
      <c r="E87" s="8" t="s">
        <v>1102</v>
      </c>
      <c r="F87" s="8" t="s">
        <v>1103</v>
      </c>
      <c r="G87" s="8" t="s">
        <v>1104</v>
      </c>
    </row>
    <row r="88" spans="1:7" x14ac:dyDescent="0.2">
      <c r="A88" s="8" t="s">
        <v>1105</v>
      </c>
      <c r="B88" s="8" t="s">
        <v>1106</v>
      </c>
      <c r="C88" s="8" t="s">
        <v>1107</v>
      </c>
      <c r="D88" s="8" t="s">
        <v>1108</v>
      </c>
      <c r="E88" s="8" t="s">
        <v>1109</v>
      </c>
      <c r="F88" s="8" t="s">
        <v>1080</v>
      </c>
      <c r="G88" s="8" t="s">
        <v>1110</v>
      </c>
    </row>
    <row r="89" spans="1:7" x14ac:dyDescent="0.2">
      <c r="A89" s="8" t="s">
        <v>1111</v>
      </c>
      <c r="B89" s="8" t="s">
        <v>1112</v>
      </c>
      <c r="C89" s="8" t="s">
        <v>1113</v>
      </c>
      <c r="D89" s="8" t="s">
        <v>1114</v>
      </c>
      <c r="E89" s="8" t="s">
        <v>1115</v>
      </c>
      <c r="F89" s="8" t="s">
        <v>1116</v>
      </c>
      <c r="G89" s="8" t="s">
        <v>1117</v>
      </c>
    </row>
    <row r="90" spans="1:7" x14ac:dyDescent="0.2">
      <c r="A90" s="8" t="s">
        <v>1118</v>
      </c>
      <c r="B90" s="8" t="s">
        <v>1119</v>
      </c>
      <c r="C90" s="8" t="s">
        <v>1120</v>
      </c>
      <c r="D90" s="8" t="s">
        <v>1121</v>
      </c>
      <c r="E90" s="8" t="s">
        <v>1122</v>
      </c>
      <c r="F90" s="8" t="s">
        <v>1123</v>
      </c>
      <c r="G90" s="8" t="s">
        <v>1124</v>
      </c>
    </row>
    <row r="91" spans="1:7" x14ac:dyDescent="0.2">
      <c r="A91" s="8" t="s">
        <v>1125</v>
      </c>
      <c r="B91" s="8" t="s">
        <v>1126</v>
      </c>
      <c r="C91" s="8" t="s">
        <v>1127</v>
      </c>
      <c r="D91" s="8" t="s">
        <v>1126</v>
      </c>
      <c r="E91" s="8" t="s">
        <v>1128</v>
      </c>
      <c r="F91" s="8" t="s">
        <v>1129</v>
      </c>
      <c r="G91" s="8" t="s">
        <v>1130</v>
      </c>
    </row>
    <row r="92" spans="1:7" x14ac:dyDescent="0.2">
      <c r="A92" s="8" t="s">
        <v>1131</v>
      </c>
      <c r="B92" s="8" t="s">
        <v>1132</v>
      </c>
      <c r="C92" s="8" t="s">
        <v>1133</v>
      </c>
      <c r="D92" s="8" t="s">
        <v>1134</v>
      </c>
      <c r="E92" s="8" t="s">
        <v>1135</v>
      </c>
      <c r="F92" s="8" t="s">
        <v>1136</v>
      </c>
      <c r="G92" s="8" t="s">
        <v>1137</v>
      </c>
    </row>
    <row r="93" spans="1:7" x14ac:dyDescent="0.2">
      <c r="A93" s="8" t="s">
        <v>1138</v>
      </c>
      <c r="B93" s="8" t="s">
        <v>1139</v>
      </c>
      <c r="C93" s="8" t="s">
        <v>990</v>
      </c>
      <c r="D93" s="8" t="s">
        <v>1140</v>
      </c>
      <c r="E93" s="8" t="s">
        <v>1141</v>
      </c>
      <c r="F93" s="8" t="s">
        <v>1142</v>
      </c>
      <c r="G93" s="8" t="s">
        <v>1143</v>
      </c>
    </row>
    <row r="94" spans="1:7" x14ac:dyDescent="0.2">
      <c r="A94" s="8" t="s">
        <v>1144</v>
      </c>
      <c r="B94" s="8" t="s">
        <v>1145</v>
      </c>
      <c r="C94" s="8" t="s">
        <v>1146</v>
      </c>
      <c r="D94" s="8" t="s">
        <v>1147</v>
      </c>
      <c r="E94" s="8" t="s">
        <v>1148</v>
      </c>
      <c r="F94" s="8" t="s">
        <v>1149</v>
      </c>
      <c r="G94" s="8" t="s">
        <v>1150</v>
      </c>
    </row>
    <row r="95" spans="1:7" x14ac:dyDescent="0.2">
      <c r="A95" s="8" t="s">
        <v>1151</v>
      </c>
      <c r="B95" s="8" t="s">
        <v>1152</v>
      </c>
      <c r="C95" s="8" t="s">
        <v>1153</v>
      </c>
      <c r="D95" s="8" t="s">
        <v>1154</v>
      </c>
      <c r="E95" s="8" t="s">
        <v>1155</v>
      </c>
      <c r="F95" s="8" t="s">
        <v>1156</v>
      </c>
      <c r="G95" s="8" t="s">
        <v>1157</v>
      </c>
    </row>
    <row r="96" spans="1:7" x14ac:dyDescent="0.2">
      <c r="A96" s="8" t="s">
        <v>1158</v>
      </c>
      <c r="B96" s="8" t="s">
        <v>1159</v>
      </c>
      <c r="C96" s="8" t="s">
        <v>824</v>
      </c>
      <c r="D96" s="8" t="s">
        <v>1160</v>
      </c>
      <c r="E96" s="8" t="s">
        <v>1161</v>
      </c>
      <c r="F96" s="8" t="s">
        <v>1162</v>
      </c>
      <c r="G96" s="8" t="s">
        <v>1163</v>
      </c>
    </row>
    <row r="97" spans="1:7" x14ac:dyDescent="0.2">
      <c r="A97" s="8" t="s">
        <v>1164</v>
      </c>
      <c r="B97" s="8" t="s">
        <v>725</v>
      </c>
      <c r="C97" s="8" t="s">
        <v>1165</v>
      </c>
      <c r="D97" s="8" t="s">
        <v>1166</v>
      </c>
      <c r="E97" s="8" t="s">
        <v>1167</v>
      </c>
      <c r="F97" s="8" t="s">
        <v>1168</v>
      </c>
      <c r="G97" s="8" t="s">
        <v>1169</v>
      </c>
    </row>
    <row r="98" spans="1:7" x14ac:dyDescent="0.2">
      <c r="A98" s="8" t="s">
        <v>1170</v>
      </c>
      <c r="B98" s="8" t="s">
        <v>1037</v>
      </c>
      <c r="C98" s="8" t="s">
        <v>1171</v>
      </c>
      <c r="D98" s="8" t="s">
        <v>1172</v>
      </c>
      <c r="E98" s="8" t="s">
        <v>720</v>
      </c>
      <c r="F98" s="8" t="s">
        <v>976</v>
      </c>
      <c r="G98" s="8" t="s">
        <v>1173</v>
      </c>
    </row>
    <row r="99" spans="1:7" x14ac:dyDescent="0.2">
      <c r="A99" s="8" t="s">
        <v>1174</v>
      </c>
      <c r="B99" s="8" t="s">
        <v>1175</v>
      </c>
      <c r="C99" s="8" t="s">
        <v>1176</v>
      </c>
      <c r="D99" s="8" t="s">
        <v>792</v>
      </c>
      <c r="E99" s="8" t="s">
        <v>1177</v>
      </c>
      <c r="F99" s="8" t="s">
        <v>1178</v>
      </c>
      <c r="G99" s="8" t="s">
        <v>1179</v>
      </c>
    </row>
    <row r="100" spans="1:7" x14ac:dyDescent="0.2">
      <c r="A100" s="8" t="s">
        <v>1180</v>
      </c>
      <c r="B100" s="8" t="s">
        <v>1181</v>
      </c>
      <c r="C100" s="8" t="s">
        <v>806</v>
      </c>
      <c r="D100" s="8" t="s">
        <v>1182</v>
      </c>
      <c r="E100" s="8" t="s">
        <v>1121</v>
      </c>
      <c r="F100" s="8" t="s">
        <v>1183</v>
      </c>
      <c r="G100" s="8" t="s">
        <v>1184</v>
      </c>
    </row>
    <row r="101" spans="1:7" x14ac:dyDescent="0.2">
      <c r="A101" s="8" t="s">
        <v>1185</v>
      </c>
      <c r="B101" s="8" t="s">
        <v>788</v>
      </c>
      <c r="C101" s="8" t="s">
        <v>789</v>
      </c>
      <c r="D101" s="8" t="s">
        <v>789</v>
      </c>
      <c r="E101" s="8" t="s">
        <v>789</v>
      </c>
      <c r="F101" s="8" t="s">
        <v>789</v>
      </c>
      <c r="G101" s="8" t="s">
        <v>789</v>
      </c>
    </row>
    <row r="102" spans="1:7" x14ac:dyDescent="0.2">
      <c r="A102" s="8" t="s">
        <v>1185</v>
      </c>
      <c r="B102" s="8" t="s">
        <v>1186</v>
      </c>
      <c r="C102" s="8" t="s">
        <v>1187</v>
      </c>
      <c r="D102" s="8" t="s">
        <v>1161</v>
      </c>
      <c r="E102" s="8" t="s">
        <v>736</v>
      </c>
      <c r="F102" s="8" t="s">
        <v>1188</v>
      </c>
      <c r="G102" s="8" t="s">
        <v>1189</v>
      </c>
    </row>
    <row r="103" spans="1:7" x14ac:dyDescent="0.2">
      <c r="A103" s="8" t="s">
        <v>1190</v>
      </c>
      <c r="B103" s="8" t="s">
        <v>1182</v>
      </c>
      <c r="C103" s="8" t="s">
        <v>810</v>
      </c>
      <c r="D103" s="8" t="s">
        <v>1191</v>
      </c>
      <c r="E103" s="8" t="s">
        <v>1192</v>
      </c>
      <c r="F103" s="8" t="s">
        <v>1193</v>
      </c>
      <c r="G103" s="8" t="s">
        <v>1194</v>
      </c>
    </row>
    <row r="104" spans="1:7" x14ac:dyDescent="0.2">
      <c r="A104" s="8" t="s">
        <v>1195</v>
      </c>
      <c r="B104" s="8" t="s">
        <v>1196</v>
      </c>
      <c r="C104" s="8" t="s">
        <v>985</v>
      </c>
      <c r="D104" s="8" t="s">
        <v>1196</v>
      </c>
      <c r="E104" s="8" t="s">
        <v>1197</v>
      </c>
      <c r="F104" s="8" t="s">
        <v>1198</v>
      </c>
      <c r="G104" s="8" t="s">
        <v>1199</v>
      </c>
    </row>
    <row r="105" spans="1:7" x14ac:dyDescent="0.2">
      <c r="A105" s="8" t="s">
        <v>1200</v>
      </c>
      <c r="B105" s="8" t="s">
        <v>1201</v>
      </c>
      <c r="C105" s="8" t="s">
        <v>792</v>
      </c>
      <c r="D105" s="8" t="s">
        <v>1202</v>
      </c>
      <c r="E105" s="8" t="s">
        <v>1203</v>
      </c>
      <c r="F105" s="8" t="s">
        <v>1204</v>
      </c>
      <c r="G105" s="8" t="s">
        <v>1205</v>
      </c>
    </row>
    <row r="106" spans="1:7" x14ac:dyDescent="0.2">
      <c r="A106" s="8" t="s">
        <v>1206</v>
      </c>
      <c r="B106" s="8" t="s">
        <v>1207</v>
      </c>
      <c r="C106" s="8" t="s">
        <v>1135</v>
      </c>
      <c r="D106" s="8" t="s">
        <v>1208</v>
      </c>
      <c r="E106" s="8" t="s">
        <v>1209</v>
      </c>
      <c r="F106" s="8" t="s">
        <v>1210</v>
      </c>
      <c r="G106" s="8" t="s">
        <v>1211</v>
      </c>
    </row>
    <row r="107" spans="1:7" x14ac:dyDescent="0.2">
      <c r="A107" s="8" t="s">
        <v>1212</v>
      </c>
      <c r="B107" s="8" t="s">
        <v>1213</v>
      </c>
      <c r="C107" s="8" t="s">
        <v>1214</v>
      </c>
      <c r="D107" s="8" t="s">
        <v>1141</v>
      </c>
      <c r="E107" s="8" t="s">
        <v>1215</v>
      </c>
      <c r="F107" s="8" t="s">
        <v>1216</v>
      </c>
      <c r="G107" s="8" t="s">
        <v>1217</v>
      </c>
    </row>
    <row r="108" spans="1:7" x14ac:dyDescent="0.2">
      <c r="A108" s="8" t="s">
        <v>1218</v>
      </c>
      <c r="B108" s="8" t="s">
        <v>1219</v>
      </c>
      <c r="C108" s="8" t="s">
        <v>1220</v>
      </c>
      <c r="D108" s="8" t="s">
        <v>1221</v>
      </c>
      <c r="E108" s="8" t="s">
        <v>1222</v>
      </c>
      <c r="F108" s="8" t="s">
        <v>1223</v>
      </c>
      <c r="G108" s="8" t="s">
        <v>1224</v>
      </c>
    </row>
    <row r="109" spans="1:7" x14ac:dyDescent="0.2">
      <c r="A109" s="8" t="s">
        <v>1225</v>
      </c>
      <c r="B109" s="8" t="s">
        <v>1226</v>
      </c>
      <c r="C109" s="8" t="s">
        <v>1227</v>
      </c>
      <c r="D109" s="8" t="s">
        <v>1228</v>
      </c>
      <c r="E109" s="8" t="s">
        <v>1229</v>
      </c>
      <c r="F109" s="8" t="s">
        <v>1230</v>
      </c>
      <c r="G109" s="8" t="s">
        <v>1231</v>
      </c>
    </row>
    <row r="110" spans="1:7" x14ac:dyDescent="0.2">
      <c r="A110" s="8" t="s">
        <v>1232</v>
      </c>
      <c r="B110" s="8" t="s">
        <v>1233</v>
      </c>
      <c r="C110" s="8" t="s">
        <v>1234</v>
      </c>
      <c r="D110" s="8" t="s">
        <v>1235</v>
      </c>
      <c r="E110" s="8" t="s">
        <v>1236</v>
      </c>
      <c r="F110" s="8" t="s">
        <v>1237</v>
      </c>
      <c r="G110" s="8" t="s">
        <v>1238</v>
      </c>
    </row>
    <row r="111" spans="1:7" x14ac:dyDescent="0.2">
      <c r="A111" s="8" t="s">
        <v>1239</v>
      </c>
      <c r="B111" s="8" t="s">
        <v>1240</v>
      </c>
      <c r="C111" s="8" t="s">
        <v>1241</v>
      </c>
      <c r="D111" s="8" t="s">
        <v>1242</v>
      </c>
      <c r="E111" s="8" t="s">
        <v>959</v>
      </c>
      <c r="F111" s="8" t="s">
        <v>1243</v>
      </c>
      <c r="G111" s="8" t="s">
        <v>1244</v>
      </c>
    </row>
    <row r="112" spans="1:7" x14ac:dyDescent="0.2">
      <c r="A112" s="8" t="s">
        <v>1245</v>
      </c>
      <c r="B112" s="8" t="s">
        <v>1246</v>
      </c>
      <c r="C112" s="8" t="s">
        <v>1247</v>
      </c>
      <c r="D112" s="8" t="s">
        <v>694</v>
      </c>
      <c r="E112" s="8" t="s">
        <v>1248</v>
      </c>
      <c r="F112" s="8" t="s">
        <v>1249</v>
      </c>
      <c r="G112" s="8" t="s">
        <v>1250</v>
      </c>
    </row>
    <row r="113" spans="1:7" x14ac:dyDescent="0.2">
      <c r="A113" s="8" t="s">
        <v>1251</v>
      </c>
      <c r="B113" s="8" t="s">
        <v>1252</v>
      </c>
      <c r="C113" s="8" t="s">
        <v>1253</v>
      </c>
      <c r="D113" s="8" t="s">
        <v>1254</v>
      </c>
      <c r="E113" s="8" t="s">
        <v>1255</v>
      </c>
      <c r="F113" s="8" t="s">
        <v>1256</v>
      </c>
      <c r="G113" s="8" t="s">
        <v>1257</v>
      </c>
    </row>
    <row r="114" spans="1:7" x14ac:dyDescent="0.2">
      <c r="A114" s="8" t="s">
        <v>1258</v>
      </c>
      <c r="B114" s="8" t="s">
        <v>1259</v>
      </c>
      <c r="C114" s="8" t="s">
        <v>1260</v>
      </c>
      <c r="D114" s="8" t="s">
        <v>1261</v>
      </c>
      <c r="E114" s="8" t="s">
        <v>1262</v>
      </c>
      <c r="F114" s="8" t="s">
        <v>1263</v>
      </c>
      <c r="G114" s="8" t="s">
        <v>1264</v>
      </c>
    </row>
    <row r="115" spans="1:7" x14ac:dyDescent="0.2">
      <c r="A115" s="8" t="s">
        <v>1265</v>
      </c>
      <c r="B115" s="8" t="s">
        <v>1266</v>
      </c>
      <c r="C115" s="8" t="s">
        <v>1267</v>
      </c>
      <c r="D115" s="8" t="s">
        <v>1268</v>
      </c>
      <c r="E115" s="8" t="s">
        <v>1269</v>
      </c>
      <c r="F115" s="8" t="s">
        <v>1270</v>
      </c>
      <c r="G115" s="8" t="s">
        <v>1271</v>
      </c>
    </row>
    <row r="116" spans="1:7" x14ac:dyDescent="0.2">
      <c r="A116" s="8" t="s">
        <v>1272</v>
      </c>
      <c r="B116" s="8" t="s">
        <v>1273</v>
      </c>
      <c r="C116" s="8" t="s">
        <v>1274</v>
      </c>
      <c r="D116" s="8" t="s">
        <v>1275</v>
      </c>
      <c r="E116" s="8" t="s">
        <v>1276</v>
      </c>
      <c r="F116" s="8" t="s">
        <v>1277</v>
      </c>
      <c r="G116" s="8" t="s">
        <v>1278</v>
      </c>
    </row>
    <row r="117" spans="1:7" x14ac:dyDescent="0.2">
      <c r="A117" s="8" t="s">
        <v>1279</v>
      </c>
      <c r="B117" s="8" t="s">
        <v>1280</v>
      </c>
      <c r="C117" s="8" t="s">
        <v>1281</v>
      </c>
      <c r="D117" s="8" t="s">
        <v>578</v>
      </c>
      <c r="E117" s="8" t="s">
        <v>1282</v>
      </c>
      <c r="F117" s="8" t="s">
        <v>1283</v>
      </c>
      <c r="G117" s="8" t="s">
        <v>1284</v>
      </c>
    </row>
    <row r="118" spans="1:7" x14ac:dyDescent="0.2">
      <c r="A118" s="8" t="s">
        <v>1285</v>
      </c>
      <c r="B118" s="8" t="s">
        <v>1286</v>
      </c>
      <c r="C118" s="8" t="s">
        <v>1287</v>
      </c>
      <c r="D118" s="8" t="s">
        <v>1288</v>
      </c>
      <c r="E118" s="8" t="s">
        <v>1289</v>
      </c>
      <c r="F118" s="8" t="s">
        <v>1290</v>
      </c>
      <c r="G118" s="8" t="s">
        <v>1291</v>
      </c>
    </row>
    <row r="119" spans="1:7" x14ac:dyDescent="0.2">
      <c r="A119" s="8" t="s">
        <v>1292</v>
      </c>
      <c r="B119" s="8" t="s">
        <v>1293</v>
      </c>
      <c r="C119" s="8" t="s">
        <v>1294</v>
      </c>
      <c r="D119" s="8" t="s">
        <v>1295</v>
      </c>
      <c r="E119" s="8" t="s">
        <v>1296</v>
      </c>
      <c r="F119" s="8" t="s">
        <v>1297</v>
      </c>
      <c r="G119" s="8" t="s">
        <v>337</v>
      </c>
    </row>
    <row r="120" spans="1:7" x14ac:dyDescent="0.2">
      <c r="A120" s="8" t="s">
        <v>1298</v>
      </c>
      <c r="B120" s="8" t="s">
        <v>1299</v>
      </c>
      <c r="C120" s="8" t="s">
        <v>1300</v>
      </c>
      <c r="D120" s="8" t="s">
        <v>1301</v>
      </c>
      <c r="E120" s="8" t="s">
        <v>1302</v>
      </c>
      <c r="F120" s="8" t="s">
        <v>1303</v>
      </c>
      <c r="G120" s="8" t="s">
        <v>1304</v>
      </c>
    </row>
    <row r="121" spans="1:7" x14ac:dyDescent="0.2">
      <c r="A121" s="8" t="s">
        <v>1305</v>
      </c>
      <c r="B121" s="8" t="s">
        <v>1306</v>
      </c>
      <c r="C121" s="8" t="s">
        <v>1307</v>
      </c>
      <c r="D121" s="8" t="s">
        <v>1308</v>
      </c>
      <c r="E121" s="8" t="s">
        <v>1309</v>
      </c>
      <c r="F121" s="8" t="s">
        <v>631</v>
      </c>
      <c r="G121" s="8" t="s">
        <v>1310</v>
      </c>
    </row>
    <row r="122" spans="1:7" x14ac:dyDescent="0.2">
      <c r="A122" s="8" t="s">
        <v>1311</v>
      </c>
      <c r="B122" s="8" t="s">
        <v>1312</v>
      </c>
      <c r="C122" s="8" t="s">
        <v>1313</v>
      </c>
      <c r="D122" s="8" t="s">
        <v>1314</v>
      </c>
      <c r="E122" s="8" t="s">
        <v>1315</v>
      </c>
      <c r="F122" s="8" t="s">
        <v>1316</v>
      </c>
      <c r="G122" s="8" t="s">
        <v>1317</v>
      </c>
    </row>
    <row r="123" spans="1:7" x14ac:dyDescent="0.2">
      <c r="A123" s="8" t="s">
        <v>1318</v>
      </c>
      <c r="B123" s="8" t="s">
        <v>636</v>
      </c>
      <c r="C123" s="8" t="s">
        <v>1319</v>
      </c>
      <c r="D123" s="8" t="s">
        <v>1320</v>
      </c>
      <c r="E123" s="8" t="s">
        <v>1321</v>
      </c>
      <c r="F123" s="8" t="s">
        <v>1322</v>
      </c>
      <c r="G123" s="8" t="s">
        <v>1323</v>
      </c>
    </row>
    <row r="124" spans="1:7" x14ac:dyDescent="0.2">
      <c r="A124" s="8" t="s">
        <v>1324</v>
      </c>
      <c r="B124" s="8" t="s">
        <v>1325</v>
      </c>
      <c r="C124" s="8" t="s">
        <v>836</v>
      </c>
      <c r="D124" s="8" t="s">
        <v>1326</v>
      </c>
      <c r="E124" s="8" t="s">
        <v>1327</v>
      </c>
      <c r="F124" s="8" t="s">
        <v>1328</v>
      </c>
      <c r="G124" s="8" t="s">
        <v>1329</v>
      </c>
    </row>
    <row r="125" spans="1:7" x14ac:dyDescent="0.2">
      <c r="A125" s="8" t="s">
        <v>1330</v>
      </c>
      <c r="B125" s="8" t="s">
        <v>1331</v>
      </c>
      <c r="C125" s="8" t="s">
        <v>1332</v>
      </c>
      <c r="D125" s="8" t="s">
        <v>1333</v>
      </c>
      <c r="E125" s="8" t="s">
        <v>1334</v>
      </c>
      <c r="F125" s="8" t="s">
        <v>1335</v>
      </c>
      <c r="G125" s="8" t="s">
        <v>1336</v>
      </c>
    </row>
    <row r="126" spans="1:7" x14ac:dyDescent="0.2">
      <c r="A126" s="8" t="s">
        <v>1337</v>
      </c>
      <c r="B126" s="8" t="s">
        <v>1338</v>
      </c>
      <c r="C126" s="8" t="s">
        <v>1339</v>
      </c>
      <c r="D126" s="8" t="s">
        <v>1268</v>
      </c>
      <c r="E126" s="8" t="s">
        <v>1340</v>
      </c>
      <c r="F126" s="8" t="s">
        <v>1341</v>
      </c>
      <c r="G126" s="8" t="s">
        <v>1342</v>
      </c>
    </row>
    <row r="127" spans="1:7" x14ac:dyDescent="0.2">
      <c r="A127" s="8" t="s">
        <v>1343</v>
      </c>
      <c r="B127" s="8" t="s">
        <v>1344</v>
      </c>
      <c r="C127" s="8" t="s">
        <v>1345</v>
      </c>
      <c r="D127" s="8" t="s">
        <v>1346</v>
      </c>
      <c r="E127" s="8" t="s">
        <v>1347</v>
      </c>
      <c r="F127" s="8" t="s">
        <v>846</v>
      </c>
      <c r="G127" s="8" t="s">
        <v>1348</v>
      </c>
    </row>
    <row r="128" spans="1:7" x14ac:dyDescent="0.2">
      <c r="A128" s="8" t="s">
        <v>1349</v>
      </c>
      <c r="B128" s="8" t="s">
        <v>1350</v>
      </c>
      <c r="C128" s="8" t="s">
        <v>833</v>
      </c>
      <c r="D128" s="8" t="s">
        <v>1351</v>
      </c>
      <c r="E128" s="8" t="s">
        <v>1352</v>
      </c>
      <c r="F128" s="8" t="s">
        <v>1353</v>
      </c>
      <c r="G128" s="8" t="s">
        <v>1354</v>
      </c>
    </row>
    <row r="129" spans="1:7" x14ac:dyDescent="0.2">
      <c r="A129" s="8" t="s">
        <v>1355</v>
      </c>
      <c r="B129" s="8" t="s">
        <v>1356</v>
      </c>
      <c r="C129" s="8" t="s">
        <v>1357</v>
      </c>
      <c r="D129" s="8" t="s">
        <v>1358</v>
      </c>
      <c r="E129" s="8" t="s">
        <v>1359</v>
      </c>
      <c r="F129" s="8" t="s">
        <v>1360</v>
      </c>
      <c r="G129" s="8" t="s">
        <v>1361</v>
      </c>
    </row>
    <row r="130" spans="1:7" x14ac:dyDescent="0.2">
      <c r="A130" s="8" t="s">
        <v>1362</v>
      </c>
      <c r="B130" s="8" t="s">
        <v>1363</v>
      </c>
      <c r="C130" s="8" t="s">
        <v>1364</v>
      </c>
      <c r="D130" s="8" t="s">
        <v>891</v>
      </c>
      <c r="E130" s="8" t="s">
        <v>767</v>
      </c>
      <c r="F130" s="8" t="s">
        <v>1365</v>
      </c>
      <c r="G130" s="8" t="s">
        <v>1366</v>
      </c>
    </row>
    <row r="131" spans="1:7" x14ac:dyDescent="0.2">
      <c r="A131" s="8" t="s">
        <v>1367</v>
      </c>
      <c r="B131" s="8" t="s">
        <v>1368</v>
      </c>
      <c r="C131" s="8" t="s">
        <v>572</v>
      </c>
      <c r="D131" s="8" t="s">
        <v>1369</v>
      </c>
      <c r="E131" s="8" t="s">
        <v>1370</v>
      </c>
      <c r="F131" s="8" t="s">
        <v>1358</v>
      </c>
      <c r="G131" s="8" t="s">
        <v>1371</v>
      </c>
    </row>
    <row r="132" spans="1:7" x14ac:dyDescent="0.2">
      <c r="A132" s="8" t="s">
        <v>1372</v>
      </c>
      <c r="B132" s="8" t="s">
        <v>1373</v>
      </c>
      <c r="C132" s="8" t="s">
        <v>606</v>
      </c>
      <c r="D132" s="8" t="s">
        <v>1374</v>
      </c>
      <c r="E132" s="8" t="s">
        <v>1375</v>
      </c>
      <c r="F132" s="8" t="s">
        <v>1351</v>
      </c>
      <c r="G132" s="8" t="s">
        <v>1376</v>
      </c>
    </row>
    <row r="133" spans="1:7" x14ac:dyDescent="0.2">
      <c r="A133" s="8" t="s">
        <v>1377</v>
      </c>
      <c r="B133" s="8" t="s">
        <v>605</v>
      </c>
      <c r="C133" s="8" t="s">
        <v>1378</v>
      </c>
      <c r="D133" s="8" t="s">
        <v>1379</v>
      </c>
      <c r="E133" s="8" t="s">
        <v>1380</v>
      </c>
      <c r="F133" s="8" t="s">
        <v>1381</v>
      </c>
      <c r="G133" s="8" t="s">
        <v>1382</v>
      </c>
    </row>
    <row r="134" spans="1:7" x14ac:dyDescent="0.2">
      <c r="A134" s="8" t="s">
        <v>1383</v>
      </c>
      <c r="B134" s="8" t="s">
        <v>1384</v>
      </c>
      <c r="C134" s="8" t="s">
        <v>1385</v>
      </c>
      <c r="D134" s="8" t="s">
        <v>1386</v>
      </c>
      <c r="E134" s="8" t="s">
        <v>1387</v>
      </c>
      <c r="F134" s="8" t="s">
        <v>1319</v>
      </c>
      <c r="G134" s="8" t="s">
        <v>1388</v>
      </c>
    </row>
    <row r="135" spans="1:7" x14ac:dyDescent="0.2">
      <c r="A135" s="8" t="s">
        <v>1389</v>
      </c>
      <c r="B135" s="8" t="s">
        <v>1390</v>
      </c>
      <c r="C135" s="8" t="s">
        <v>1391</v>
      </c>
      <c r="D135" s="8" t="s">
        <v>1392</v>
      </c>
      <c r="E135" s="8" t="s">
        <v>1393</v>
      </c>
      <c r="F135" s="8" t="s">
        <v>630</v>
      </c>
      <c r="G135" s="8" t="s">
        <v>1394</v>
      </c>
    </row>
    <row r="136" spans="1:7" x14ac:dyDescent="0.2">
      <c r="A136" s="8" t="s">
        <v>1395</v>
      </c>
      <c r="B136" s="8" t="s">
        <v>1396</v>
      </c>
      <c r="C136" s="8" t="s">
        <v>1397</v>
      </c>
      <c r="D136" s="8" t="s">
        <v>1398</v>
      </c>
      <c r="E136" s="8" t="s">
        <v>1375</v>
      </c>
      <c r="F136" s="8" t="s">
        <v>1351</v>
      </c>
      <c r="G136" s="8" t="s">
        <v>1399</v>
      </c>
    </row>
    <row r="137" spans="1:7" x14ac:dyDescent="0.2">
      <c r="A137" s="8" t="s">
        <v>1400</v>
      </c>
      <c r="B137" s="8" t="s">
        <v>1401</v>
      </c>
      <c r="C137" s="8" t="s">
        <v>1360</v>
      </c>
      <c r="D137" s="8" t="s">
        <v>872</v>
      </c>
      <c r="E137" s="8" t="s">
        <v>1402</v>
      </c>
      <c r="F137" s="8" t="s">
        <v>1403</v>
      </c>
      <c r="G137" s="8" t="s">
        <v>1404</v>
      </c>
    </row>
    <row r="138" spans="1:7" x14ac:dyDescent="0.2">
      <c r="A138" s="8" t="s">
        <v>1405</v>
      </c>
      <c r="B138" s="8" t="s">
        <v>1406</v>
      </c>
      <c r="C138" s="8" t="s">
        <v>1407</v>
      </c>
      <c r="D138" s="8" t="s">
        <v>1408</v>
      </c>
      <c r="E138" s="8" t="s">
        <v>1409</v>
      </c>
      <c r="F138" s="8" t="s">
        <v>1410</v>
      </c>
      <c r="G138" s="8" t="s">
        <v>1411</v>
      </c>
    </row>
    <row r="139" spans="1:7" x14ac:dyDescent="0.2">
      <c r="A139" s="8" t="s">
        <v>1412</v>
      </c>
      <c r="B139" s="8" t="s">
        <v>1413</v>
      </c>
      <c r="C139" s="8" t="s">
        <v>1414</v>
      </c>
      <c r="D139" s="8" t="s">
        <v>1415</v>
      </c>
      <c r="E139" s="8" t="s">
        <v>1416</v>
      </c>
      <c r="F139" s="8" t="s">
        <v>1417</v>
      </c>
      <c r="G139" s="8" t="s">
        <v>1418</v>
      </c>
    </row>
    <row r="140" spans="1:7" x14ac:dyDescent="0.2">
      <c r="A140" s="8" t="s">
        <v>1419</v>
      </c>
      <c r="B140" s="8" t="s">
        <v>1420</v>
      </c>
      <c r="C140" s="8" t="s">
        <v>1421</v>
      </c>
      <c r="D140" s="8" t="s">
        <v>1422</v>
      </c>
      <c r="E140" s="8" t="s">
        <v>1423</v>
      </c>
      <c r="F140" s="8" t="s">
        <v>1424</v>
      </c>
      <c r="G140" s="8" t="s">
        <v>1425</v>
      </c>
    </row>
    <row r="141" spans="1:7" x14ac:dyDescent="0.2">
      <c r="A141" s="8" t="s">
        <v>1426</v>
      </c>
      <c r="B141" s="8" t="s">
        <v>1427</v>
      </c>
      <c r="C141" s="8" t="s">
        <v>1428</v>
      </c>
      <c r="D141" s="8" t="s">
        <v>1429</v>
      </c>
      <c r="E141" s="8" t="s">
        <v>1430</v>
      </c>
      <c r="F141" s="8" t="s">
        <v>1431</v>
      </c>
      <c r="G141" s="8" t="s">
        <v>1432</v>
      </c>
    </row>
    <row r="142" spans="1:7" x14ac:dyDescent="0.2">
      <c r="A142" s="8" t="s">
        <v>1433</v>
      </c>
      <c r="B142" s="8" t="s">
        <v>1434</v>
      </c>
      <c r="C142" s="8" t="s">
        <v>1435</v>
      </c>
      <c r="D142" s="8" t="s">
        <v>1436</v>
      </c>
      <c r="E142" s="8" t="s">
        <v>1437</v>
      </c>
      <c r="F142" s="8" t="s">
        <v>1438</v>
      </c>
      <c r="G142" s="8" t="s">
        <v>1439</v>
      </c>
    </row>
    <row r="143" spans="1:7" x14ac:dyDescent="0.2">
      <c r="A143" s="8" t="s">
        <v>1440</v>
      </c>
      <c r="B143" s="8" t="s">
        <v>1441</v>
      </c>
      <c r="C143" s="8" t="s">
        <v>1442</v>
      </c>
      <c r="D143" s="8" t="s">
        <v>1443</v>
      </c>
      <c r="E143" s="8" t="s">
        <v>1444</v>
      </c>
      <c r="F143" s="8" t="s">
        <v>1445</v>
      </c>
      <c r="G143" s="8" t="s">
        <v>1446</v>
      </c>
    </row>
    <row r="144" spans="1:7" x14ac:dyDescent="0.2">
      <c r="A144" s="8" t="s">
        <v>1447</v>
      </c>
      <c r="B144" s="8" t="s">
        <v>1448</v>
      </c>
      <c r="C144" s="8" t="s">
        <v>1449</v>
      </c>
      <c r="D144" s="8" t="s">
        <v>1450</v>
      </c>
      <c r="E144" s="8" t="s">
        <v>1451</v>
      </c>
      <c r="F144" s="8" t="s">
        <v>1452</v>
      </c>
      <c r="G144" s="8" t="s">
        <v>1453</v>
      </c>
    </row>
    <row r="145" spans="1:7" x14ac:dyDescent="0.2">
      <c r="A145" s="8" t="s">
        <v>1454</v>
      </c>
      <c r="B145" s="8" t="s">
        <v>1455</v>
      </c>
      <c r="C145" s="8" t="s">
        <v>1456</v>
      </c>
      <c r="D145" s="8" t="s">
        <v>1457</v>
      </c>
      <c r="E145" s="8" t="s">
        <v>1458</v>
      </c>
      <c r="F145" s="8" t="s">
        <v>1459</v>
      </c>
      <c r="G145" s="8" t="s">
        <v>1460</v>
      </c>
    </row>
    <row r="146" spans="1:7" x14ac:dyDescent="0.2">
      <c r="A146" s="8" t="s">
        <v>1461</v>
      </c>
      <c r="B146" s="8" t="s">
        <v>1434</v>
      </c>
      <c r="C146" s="8" t="s">
        <v>1462</v>
      </c>
      <c r="D146" s="8" t="s">
        <v>1463</v>
      </c>
      <c r="E146" s="8" t="s">
        <v>1464</v>
      </c>
      <c r="F146" s="8" t="s">
        <v>1465</v>
      </c>
      <c r="G146" s="8" t="s">
        <v>1466</v>
      </c>
    </row>
    <row r="147" spans="1:7" x14ac:dyDescent="0.2">
      <c r="A147" s="8" t="s">
        <v>1467</v>
      </c>
      <c r="B147" s="8" t="s">
        <v>1468</v>
      </c>
      <c r="C147" s="8" t="s">
        <v>1469</v>
      </c>
      <c r="D147" s="8" t="s">
        <v>1470</v>
      </c>
      <c r="E147" s="8" t="s">
        <v>1416</v>
      </c>
      <c r="F147" s="8" t="s">
        <v>1417</v>
      </c>
      <c r="G147" s="8" t="s">
        <v>1471</v>
      </c>
    </row>
    <row r="148" spans="1:7" x14ac:dyDescent="0.2">
      <c r="A148" s="8" t="s">
        <v>1472</v>
      </c>
      <c r="B148" s="8" t="s">
        <v>1473</v>
      </c>
      <c r="C148" s="8" t="s">
        <v>1474</v>
      </c>
      <c r="D148" s="8" t="s">
        <v>1475</v>
      </c>
      <c r="E148" s="8" t="s">
        <v>1476</v>
      </c>
      <c r="F148" s="8" t="s">
        <v>1477</v>
      </c>
      <c r="G148" s="8" t="s">
        <v>1478</v>
      </c>
    </row>
    <row r="149" spans="1:7" x14ac:dyDescent="0.2">
      <c r="A149" s="8" t="s">
        <v>1479</v>
      </c>
      <c r="B149" s="8" t="s">
        <v>1480</v>
      </c>
      <c r="C149" s="8" t="s">
        <v>1481</v>
      </c>
      <c r="D149" s="8" t="s">
        <v>1482</v>
      </c>
      <c r="E149" s="8" t="s">
        <v>1483</v>
      </c>
      <c r="F149" s="8" t="s">
        <v>1484</v>
      </c>
      <c r="G149" s="8" t="s">
        <v>1485</v>
      </c>
    </row>
    <row r="150" spans="1:7" x14ac:dyDescent="0.2">
      <c r="A150" s="8" t="s">
        <v>1486</v>
      </c>
      <c r="B150" s="8" t="s">
        <v>1487</v>
      </c>
      <c r="C150" s="8" t="s">
        <v>1488</v>
      </c>
      <c r="D150" s="8" t="s">
        <v>1489</v>
      </c>
      <c r="E150" s="8" t="s">
        <v>1490</v>
      </c>
      <c r="F150" s="8" t="s">
        <v>1491</v>
      </c>
      <c r="G150" s="8" t="s">
        <v>1492</v>
      </c>
    </row>
    <row r="151" spans="1:7" x14ac:dyDescent="0.2">
      <c r="A151" s="8" t="s">
        <v>1493</v>
      </c>
      <c r="B151" s="8" t="s">
        <v>1494</v>
      </c>
      <c r="C151" s="8" t="s">
        <v>1495</v>
      </c>
      <c r="D151" s="8" t="s">
        <v>1496</v>
      </c>
      <c r="E151" s="8" t="s">
        <v>1497</v>
      </c>
      <c r="F151" s="8" t="s">
        <v>1498</v>
      </c>
      <c r="G151" s="8" t="s">
        <v>1499</v>
      </c>
    </row>
    <row r="152" spans="1:7" x14ac:dyDescent="0.2">
      <c r="A152" s="8" t="s">
        <v>1500</v>
      </c>
      <c r="B152" s="8" t="s">
        <v>1501</v>
      </c>
      <c r="C152" s="8" t="s">
        <v>1502</v>
      </c>
      <c r="D152" s="8" t="s">
        <v>1503</v>
      </c>
      <c r="E152" s="8" t="s">
        <v>1504</v>
      </c>
      <c r="F152" s="8" t="s">
        <v>1505</v>
      </c>
      <c r="G152" s="8" t="s">
        <v>1506</v>
      </c>
    </row>
    <row r="153" spans="1:7" x14ac:dyDescent="0.2">
      <c r="A153" s="8" t="s">
        <v>1507</v>
      </c>
      <c r="B153" s="8" t="s">
        <v>1508</v>
      </c>
      <c r="C153" s="8" t="s">
        <v>1509</v>
      </c>
      <c r="D153" s="8" t="s">
        <v>1510</v>
      </c>
      <c r="E153" s="8" t="s">
        <v>1511</v>
      </c>
      <c r="F153" s="8" t="s">
        <v>1512</v>
      </c>
      <c r="G153" s="8" t="s">
        <v>1513</v>
      </c>
    </row>
    <row r="154" spans="1:7" x14ac:dyDescent="0.2">
      <c r="A154" s="8" t="s">
        <v>1514</v>
      </c>
      <c r="B154" s="8" t="s">
        <v>1515</v>
      </c>
      <c r="C154" s="8" t="s">
        <v>1516</v>
      </c>
      <c r="D154" s="8" t="s">
        <v>1517</v>
      </c>
      <c r="E154" s="8" t="s">
        <v>1518</v>
      </c>
      <c r="F154" s="8" t="s">
        <v>1519</v>
      </c>
      <c r="G154" s="8" t="s">
        <v>1520</v>
      </c>
    </row>
    <row r="155" spans="1:7" x14ac:dyDescent="0.2">
      <c r="A155" s="8" t="s">
        <v>1521</v>
      </c>
      <c r="B155" s="8" t="s">
        <v>1522</v>
      </c>
      <c r="C155" s="8" t="s">
        <v>1523</v>
      </c>
      <c r="D155" s="8" t="s">
        <v>1524</v>
      </c>
      <c r="E155" s="8" t="s">
        <v>1525</v>
      </c>
      <c r="F155" s="8" t="s">
        <v>1526</v>
      </c>
      <c r="G155" s="8" t="s">
        <v>1527</v>
      </c>
    </row>
    <row r="156" spans="1:7" x14ac:dyDescent="0.2">
      <c r="A156" s="8" t="s">
        <v>1528</v>
      </c>
      <c r="B156" s="8" t="s">
        <v>1529</v>
      </c>
      <c r="C156" s="8" t="s">
        <v>1530</v>
      </c>
      <c r="D156" s="8" t="s">
        <v>1531</v>
      </c>
      <c r="E156" s="8" t="s">
        <v>1532</v>
      </c>
      <c r="F156" s="8" t="s">
        <v>1533</v>
      </c>
      <c r="G156" s="8" t="s">
        <v>1534</v>
      </c>
    </row>
    <row r="157" spans="1:7" x14ac:dyDescent="0.2">
      <c r="A157" s="8" t="s">
        <v>1535</v>
      </c>
      <c r="B157" s="8" t="s">
        <v>1536</v>
      </c>
      <c r="C157" s="8" t="s">
        <v>1537</v>
      </c>
      <c r="D157" s="8" t="s">
        <v>1538</v>
      </c>
      <c r="E157" s="8" t="s">
        <v>1539</v>
      </c>
      <c r="F157" s="8" t="s">
        <v>1540</v>
      </c>
      <c r="G157" s="8" t="s">
        <v>1541</v>
      </c>
    </row>
    <row r="158" spans="1:7" x14ac:dyDescent="0.2">
      <c r="A158" s="8" t="s">
        <v>1542</v>
      </c>
      <c r="B158" s="8" t="s">
        <v>1543</v>
      </c>
      <c r="C158" s="8" t="s">
        <v>1544</v>
      </c>
      <c r="D158" s="8" t="s">
        <v>1545</v>
      </c>
      <c r="E158" s="8" t="s">
        <v>1546</v>
      </c>
      <c r="F158" s="8" t="s">
        <v>1547</v>
      </c>
      <c r="G158" s="8" t="s">
        <v>1548</v>
      </c>
    </row>
    <row r="159" spans="1:7" x14ac:dyDescent="0.2">
      <c r="A159" s="8" t="s">
        <v>1549</v>
      </c>
      <c r="B159" s="8" t="s">
        <v>1550</v>
      </c>
      <c r="C159" s="8" t="s">
        <v>1551</v>
      </c>
      <c r="D159" s="8" t="s">
        <v>1552</v>
      </c>
      <c r="E159" s="8" t="s">
        <v>1553</v>
      </c>
      <c r="F159" s="8" t="s">
        <v>1554</v>
      </c>
      <c r="G159" s="8" t="s">
        <v>1555</v>
      </c>
    </row>
    <row r="160" spans="1:7" x14ac:dyDescent="0.2">
      <c r="A160" s="8" t="s">
        <v>1556</v>
      </c>
      <c r="B160" s="8" t="s">
        <v>1557</v>
      </c>
      <c r="C160" s="8" t="s">
        <v>1558</v>
      </c>
      <c r="D160" s="8" t="s">
        <v>1559</v>
      </c>
      <c r="E160" s="8" t="s">
        <v>1560</v>
      </c>
      <c r="F160" s="8" t="s">
        <v>1561</v>
      </c>
      <c r="G160" s="8" t="s">
        <v>1562</v>
      </c>
    </row>
    <row r="161" spans="1:7" x14ac:dyDescent="0.2">
      <c r="A161" s="8" t="s">
        <v>1563</v>
      </c>
      <c r="B161" s="8" t="s">
        <v>1505</v>
      </c>
      <c r="C161" s="8" t="s">
        <v>1564</v>
      </c>
      <c r="D161" s="8" t="s">
        <v>1565</v>
      </c>
      <c r="E161" s="8" t="s">
        <v>1566</v>
      </c>
      <c r="F161" s="8" t="s">
        <v>1449</v>
      </c>
      <c r="G161" s="8" t="s">
        <v>1567</v>
      </c>
    </row>
    <row r="162" spans="1:7" x14ac:dyDescent="0.2">
      <c r="A162" s="8" t="s">
        <v>1568</v>
      </c>
      <c r="B162" s="8" t="s">
        <v>1569</v>
      </c>
      <c r="C162" s="8" t="s">
        <v>1570</v>
      </c>
      <c r="D162" s="8" t="s">
        <v>1510</v>
      </c>
      <c r="E162" s="8" t="s">
        <v>1571</v>
      </c>
      <c r="F162" s="8" t="s">
        <v>1572</v>
      </c>
      <c r="G162" s="8" t="s">
        <v>1573</v>
      </c>
    </row>
    <row r="163" spans="1:7" x14ac:dyDescent="0.2">
      <c r="A163" s="8" t="s">
        <v>1574</v>
      </c>
      <c r="B163" s="8" t="s">
        <v>1575</v>
      </c>
      <c r="C163" s="8" t="s">
        <v>1576</v>
      </c>
      <c r="D163" s="8" t="s">
        <v>1495</v>
      </c>
      <c r="E163" s="8" t="s">
        <v>1577</v>
      </c>
      <c r="F163" s="8" t="s">
        <v>1578</v>
      </c>
      <c r="G163" s="8" t="s">
        <v>1579</v>
      </c>
    </row>
    <row r="164" spans="1:7" x14ac:dyDescent="0.2">
      <c r="A164" s="8" t="s">
        <v>1580</v>
      </c>
      <c r="B164" s="8" t="s">
        <v>1581</v>
      </c>
      <c r="C164" s="8" t="s">
        <v>1582</v>
      </c>
      <c r="D164" s="8" t="s">
        <v>1583</v>
      </c>
      <c r="E164" s="8" t="s">
        <v>1584</v>
      </c>
      <c r="F164" s="8" t="s">
        <v>1585</v>
      </c>
      <c r="G164" s="8" t="s">
        <v>1586</v>
      </c>
    </row>
    <row r="165" spans="1:7" x14ac:dyDescent="0.2">
      <c r="A165" s="8" t="s">
        <v>1587</v>
      </c>
      <c r="B165" s="8" t="s">
        <v>1588</v>
      </c>
      <c r="C165" s="8" t="s">
        <v>1589</v>
      </c>
      <c r="D165" s="8" t="s">
        <v>1590</v>
      </c>
      <c r="E165" s="8" t="s">
        <v>1591</v>
      </c>
      <c r="F165" s="8" t="s">
        <v>1592</v>
      </c>
      <c r="G165" s="8" t="s">
        <v>1593</v>
      </c>
    </row>
    <row r="166" spans="1:7" x14ac:dyDescent="0.2">
      <c r="A166" s="8" t="s">
        <v>1594</v>
      </c>
      <c r="B166" s="8" t="s">
        <v>788</v>
      </c>
      <c r="C166" s="8" t="s">
        <v>789</v>
      </c>
      <c r="D166" s="8" t="s">
        <v>789</v>
      </c>
      <c r="E166" s="8" t="s">
        <v>789</v>
      </c>
      <c r="F166" s="8" t="s">
        <v>789</v>
      </c>
      <c r="G166" s="8" t="s">
        <v>789</v>
      </c>
    </row>
    <row r="167" spans="1:7" x14ac:dyDescent="0.2">
      <c r="A167" s="8" t="s">
        <v>1594</v>
      </c>
      <c r="B167" s="8" t="s">
        <v>1595</v>
      </c>
      <c r="C167" s="8" t="s">
        <v>1596</v>
      </c>
      <c r="D167" s="8" t="s">
        <v>1597</v>
      </c>
      <c r="E167" s="8" t="s">
        <v>1598</v>
      </c>
      <c r="F167" s="8" t="s">
        <v>1599</v>
      </c>
      <c r="G167" s="8" t="s">
        <v>1600</v>
      </c>
    </row>
    <row r="168" spans="1:7" x14ac:dyDescent="0.2">
      <c r="A168" s="8" t="s">
        <v>1601</v>
      </c>
      <c r="B168" s="8" t="s">
        <v>1602</v>
      </c>
      <c r="C168" s="8" t="s">
        <v>1603</v>
      </c>
      <c r="D168" s="8" t="s">
        <v>1604</v>
      </c>
      <c r="E168" s="8" t="s">
        <v>1559</v>
      </c>
      <c r="F168" s="8" t="s">
        <v>1605</v>
      </c>
      <c r="G168" s="8" t="s">
        <v>1606</v>
      </c>
    </row>
    <row r="169" spans="1:7" x14ac:dyDescent="0.2">
      <c r="A169" s="8" t="s">
        <v>1607</v>
      </c>
      <c r="B169" s="8" t="s">
        <v>1608</v>
      </c>
      <c r="C169" s="8" t="s">
        <v>1609</v>
      </c>
      <c r="D169" s="8" t="s">
        <v>1610</v>
      </c>
      <c r="E169" s="8" t="s">
        <v>1611</v>
      </c>
      <c r="F169" s="8" t="s">
        <v>1612</v>
      </c>
      <c r="G169" s="8" t="s">
        <v>1613</v>
      </c>
    </row>
    <row r="170" spans="1:7" x14ac:dyDescent="0.2">
      <c r="A170" s="8" t="s">
        <v>1614</v>
      </c>
      <c r="B170" s="8" t="s">
        <v>1615</v>
      </c>
      <c r="C170" s="8" t="s">
        <v>1616</v>
      </c>
      <c r="D170" s="8" t="s">
        <v>1617</v>
      </c>
      <c r="E170" s="8" t="s">
        <v>1618</v>
      </c>
      <c r="F170" s="8" t="s">
        <v>1619</v>
      </c>
      <c r="G170" s="8" t="s">
        <v>1620</v>
      </c>
    </row>
    <row r="171" spans="1:7" x14ac:dyDescent="0.2">
      <c r="A171" s="8" t="s">
        <v>1621</v>
      </c>
      <c r="B171" s="8" t="s">
        <v>1622</v>
      </c>
      <c r="C171" s="8" t="s">
        <v>1623</v>
      </c>
      <c r="D171" s="8" t="s">
        <v>1624</v>
      </c>
      <c r="E171" s="8" t="s">
        <v>1625</v>
      </c>
      <c r="F171" s="8" t="s">
        <v>1626</v>
      </c>
      <c r="G171" s="8" t="s">
        <v>1627</v>
      </c>
    </row>
    <row r="172" spans="1:7" x14ac:dyDescent="0.2">
      <c r="A172" s="8" t="s">
        <v>1628</v>
      </c>
      <c r="B172" s="8" t="s">
        <v>1629</v>
      </c>
      <c r="C172" s="8" t="s">
        <v>1630</v>
      </c>
      <c r="D172" s="8" t="s">
        <v>1631</v>
      </c>
      <c r="E172" s="8" t="s">
        <v>1632</v>
      </c>
      <c r="F172" s="8" t="s">
        <v>1633</v>
      </c>
      <c r="G172" s="8" t="s">
        <v>1634</v>
      </c>
    </row>
    <row r="173" spans="1:7" x14ac:dyDescent="0.2">
      <c r="A173" s="8" t="s">
        <v>1635</v>
      </c>
      <c r="B173" s="8" t="s">
        <v>1636</v>
      </c>
      <c r="C173" s="8" t="s">
        <v>1637</v>
      </c>
      <c r="D173" s="8" t="s">
        <v>1638</v>
      </c>
      <c r="E173" s="8" t="s">
        <v>1639</v>
      </c>
      <c r="F173" s="8" t="s">
        <v>1640</v>
      </c>
      <c r="G173" s="8" t="s">
        <v>1641</v>
      </c>
    </row>
    <row r="174" spans="1:7" x14ac:dyDescent="0.2">
      <c r="A174" s="8" t="s">
        <v>1642</v>
      </c>
      <c r="B174" s="8" t="s">
        <v>1643</v>
      </c>
      <c r="C174" s="8" t="s">
        <v>1644</v>
      </c>
      <c r="D174" s="8" t="s">
        <v>1645</v>
      </c>
      <c r="E174" s="8" t="s">
        <v>1646</v>
      </c>
      <c r="F174" s="8" t="s">
        <v>1647</v>
      </c>
      <c r="G174" s="8" t="s">
        <v>1648</v>
      </c>
    </row>
    <row r="175" spans="1:7" x14ac:dyDescent="0.2">
      <c r="A175" s="8" t="s">
        <v>1649</v>
      </c>
      <c r="B175" s="8" t="s">
        <v>1650</v>
      </c>
      <c r="C175" s="8" t="s">
        <v>1651</v>
      </c>
      <c r="D175" s="8" t="s">
        <v>1652</v>
      </c>
      <c r="E175" s="8" t="s">
        <v>1653</v>
      </c>
      <c r="F175" s="8" t="s">
        <v>1654</v>
      </c>
      <c r="G175" s="8" t="s">
        <v>1655</v>
      </c>
    </row>
    <row r="176" spans="1:7" x14ac:dyDescent="0.2">
      <c r="A176" s="8" t="s">
        <v>1656</v>
      </c>
      <c r="B176" s="8" t="s">
        <v>1657</v>
      </c>
      <c r="C176" s="8" t="s">
        <v>1658</v>
      </c>
      <c r="D176" s="8" t="s">
        <v>1659</v>
      </c>
      <c r="E176" s="8" t="s">
        <v>1660</v>
      </c>
      <c r="F176" s="8" t="s">
        <v>1661</v>
      </c>
      <c r="G176" s="8" t="s">
        <v>1662</v>
      </c>
    </row>
    <row r="177" spans="1:7" x14ac:dyDescent="0.2">
      <c r="A177" s="8" t="s">
        <v>1663</v>
      </c>
      <c r="B177" s="8" t="s">
        <v>1664</v>
      </c>
      <c r="C177" s="8" t="s">
        <v>1665</v>
      </c>
      <c r="D177" s="8" t="s">
        <v>1666</v>
      </c>
      <c r="E177" s="8" t="s">
        <v>1667</v>
      </c>
      <c r="F177" s="8" t="s">
        <v>1668</v>
      </c>
      <c r="G177" s="8" t="s">
        <v>1669</v>
      </c>
    </row>
    <row r="178" spans="1:7" x14ac:dyDescent="0.2">
      <c r="A178" s="8" t="s">
        <v>1670</v>
      </c>
      <c r="B178" s="8" t="s">
        <v>1671</v>
      </c>
      <c r="C178" s="8" t="s">
        <v>1672</v>
      </c>
      <c r="D178" s="8" t="s">
        <v>1668</v>
      </c>
      <c r="E178" s="8" t="s">
        <v>1673</v>
      </c>
      <c r="F178" s="8" t="s">
        <v>1674</v>
      </c>
      <c r="G178" s="8" t="s">
        <v>1675</v>
      </c>
    </row>
    <row r="179" spans="1:7" x14ac:dyDescent="0.2">
      <c r="A179" s="8" t="s">
        <v>1676</v>
      </c>
      <c r="B179" s="8" t="s">
        <v>1677</v>
      </c>
      <c r="C179" s="8" t="s">
        <v>1678</v>
      </c>
      <c r="D179" s="8" t="s">
        <v>1679</v>
      </c>
      <c r="E179" s="8" t="s">
        <v>1680</v>
      </c>
      <c r="F179" s="8" t="s">
        <v>1681</v>
      </c>
      <c r="G179" s="8" t="s">
        <v>1682</v>
      </c>
    </row>
    <row r="180" spans="1:7" x14ac:dyDescent="0.2">
      <c r="A180" s="8" t="s">
        <v>1683</v>
      </c>
      <c r="B180" s="8" t="s">
        <v>1684</v>
      </c>
      <c r="C180" s="8" t="s">
        <v>1685</v>
      </c>
      <c r="D180" s="8" t="s">
        <v>1686</v>
      </c>
      <c r="E180" s="8" t="s">
        <v>1687</v>
      </c>
      <c r="F180" s="8" t="s">
        <v>1688</v>
      </c>
      <c r="G180" s="8" t="s">
        <v>1689</v>
      </c>
    </row>
    <row r="181" spans="1:7" x14ac:dyDescent="0.2">
      <c r="A181" s="8" t="s">
        <v>1690</v>
      </c>
      <c r="B181" s="8" t="s">
        <v>1691</v>
      </c>
      <c r="C181" s="8" t="s">
        <v>1692</v>
      </c>
      <c r="D181" s="8" t="s">
        <v>1693</v>
      </c>
      <c r="E181" s="8" t="s">
        <v>1694</v>
      </c>
      <c r="F181" s="8" t="s">
        <v>1695</v>
      </c>
      <c r="G181" s="8" t="s">
        <v>1696</v>
      </c>
    </row>
    <row r="182" spans="1:7" x14ac:dyDescent="0.2">
      <c r="A182" s="8" t="s">
        <v>1697</v>
      </c>
      <c r="B182" s="8" t="s">
        <v>1698</v>
      </c>
      <c r="C182" s="8" t="s">
        <v>1699</v>
      </c>
      <c r="D182" s="8" t="s">
        <v>1700</v>
      </c>
      <c r="E182" s="8" t="s">
        <v>1701</v>
      </c>
      <c r="F182" s="8" t="s">
        <v>1702</v>
      </c>
      <c r="G182" s="8" t="s">
        <v>1703</v>
      </c>
    </row>
    <row r="183" spans="1:7" x14ac:dyDescent="0.2">
      <c r="A183" s="8" t="s">
        <v>1704</v>
      </c>
      <c r="B183" s="8" t="s">
        <v>1636</v>
      </c>
      <c r="C183" s="8" t="s">
        <v>1705</v>
      </c>
      <c r="D183" s="8" t="s">
        <v>1706</v>
      </c>
      <c r="E183" s="8" t="s">
        <v>1707</v>
      </c>
      <c r="F183" s="8" t="s">
        <v>1708</v>
      </c>
      <c r="G183" s="8" t="s">
        <v>1709</v>
      </c>
    </row>
    <row r="184" spans="1:7" x14ac:dyDescent="0.2">
      <c r="A184" s="8" t="s">
        <v>1710</v>
      </c>
      <c r="B184" s="8" t="s">
        <v>1711</v>
      </c>
      <c r="C184" s="8" t="s">
        <v>1712</v>
      </c>
      <c r="D184" s="8" t="s">
        <v>1713</v>
      </c>
      <c r="E184" s="8" t="s">
        <v>1714</v>
      </c>
      <c r="F184" s="8" t="s">
        <v>1715</v>
      </c>
      <c r="G184" s="8" t="s">
        <v>1716</v>
      </c>
    </row>
    <row r="185" spans="1:7" x14ac:dyDescent="0.2">
      <c r="A185" s="8" t="s">
        <v>1717</v>
      </c>
      <c r="B185" s="8" t="s">
        <v>1718</v>
      </c>
      <c r="C185" s="8" t="s">
        <v>1719</v>
      </c>
      <c r="D185" s="8" t="s">
        <v>1720</v>
      </c>
      <c r="E185" s="8" t="s">
        <v>1721</v>
      </c>
      <c r="F185" s="8" t="s">
        <v>1722</v>
      </c>
      <c r="G185" s="8" t="s">
        <v>1723</v>
      </c>
    </row>
    <row r="186" spans="1:7" x14ac:dyDescent="0.2">
      <c r="A186" s="8" t="s">
        <v>1724</v>
      </c>
      <c r="B186" s="8" t="s">
        <v>1725</v>
      </c>
      <c r="C186" s="8" t="s">
        <v>1726</v>
      </c>
      <c r="D186" s="8" t="s">
        <v>1727</v>
      </c>
      <c r="E186" s="8" t="s">
        <v>1728</v>
      </c>
      <c r="F186" s="8" t="s">
        <v>1729</v>
      </c>
      <c r="G186" s="8" t="s">
        <v>1730</v>
      </c>
    </row>
    <row r="187" spans="1:7" x14ac:dyDescent="0.2">
      <c r="A187" s="8" t="s">
        <v>1731</v>
      </c>
      <c r="B187" s="8" t="s">
        <v>1732</v>
      </c>
      <c r="C187" s="8" t="s">
        <v>1733</v>
      </c>
      <c r="D187" s="8" t="s">
        <v>1734</v>
      </c>
      <c r="E187" s="8" t="s">
        <v>1735</v>
      </c>
      <c r="F187" s="8" t="s">
        <v>1736</v>
      </c>
      <c r="G187" s="8" t="s">
        <v>1737</v>
      </c>
    </row>
    <row r="188" spans="1:7" x14ac:dyDescent="0.2">
      <c r="A188" s="8" t="s">
        <v>1738</v>
      </c>
      <c r="B188" s="8" t="s">
        <v>1711</v>
      </c>
      <c r="C188" s="8" t="s">
        <v>1739</v>
      </c>
      <c r="D188" s="8" t="s">
        <v>1740</v>
      </c>
      <c r="E188" s="8" t="s">
        <v>1741</v>
      </c>
      <c r="F188" s="8" t="s">
        <v>1742</v>
      </c>
      <c r="G188" s="8" t="s">
        <v>1743</v>
      </c>
    </row>
    <row r="189" spans="1:7" x14ac:dyDescent="0.2">
      <c r="A189" s="8" t="s">
        <v>1744</v>
      </c>
      <c r="B189" s="8" t="s">
        <v>1745</v>
      </c>
      <c r="C189" s="8" t="s">
        <v>1746</v>
      </c>
      <c r="D189" s="8" t="s">
        <v>1747</v>
      </c>
      <c r="E189" s="8" t="s">
        <v>1686</v>
      </c>
      <c r="F189" s="8" t="s">
        <v>1748</v>
      </c>
      <c r="G189" s="8" t="s">
        <v>1749</v>
      </c>
    </row>
    <row r="190" spans="1:7" x14ac:dyDescent="0.2">
      <c r="A190" s="8" t="s">
        <v>1750</v>
      </c>
      <c r="B190" s="8" t="s">
        <v>1751</v>
      </c>
      <c r="C190" s="8" t="s">
        <v>1752</v>
      </c>
      <c r="D190" s="8" t="s">
        <v>1753</v>
      </c>
      <c r="E190" s="8" t="s">
        <v>1754</v>
      </c>
      <c r="F190" s="8" t="s">
        <v>1755</v>
      </c>
      <c r="G190" s="8" t="s">
        <v>1756</v>
      </c>
    </row>
    <row r="191" spans="1:7" x14ac:dyDescent="0.2">
      <c r="A191" s="8" t="s">
        <v>1757</v>
      </c>
      <c r="B191" s="8" t="s">
        <v>1758</v>
      </c>
      <c r="C191" s="8" t="s">
        <v>1759</v>
      </c>
      <c r="D191" s="8" t="s">
        <v>1760</v>
      </c>
      <c r="E191" s="8" t="s">
        <v>1761</v>
      </c>
      <c r="F191" s="8" t="s">
        <v>1762</v>
      </c>
      <c r="G191" s="8" t="s">
        <v>1763</v>
      </c>
    </row>
    <row r="192" spans="1:7" x14ac:dyDescent="0.2">
      <c r="A192" s="8" t="s">
        <v>1764</v>
      </c>
      <c r="B192" s="8" t="s">
        <v>1765</v>
      </c>
      <c r="C192" s="8" t="s">
        <v>1766</v>
      </c>
      <c r="D192" s="8" t="s">
        <v>1767</v>
      </c>
      <c r="E192" s="8" t="s">
        <v>1768</v>
      </c>
      <c r="F192" s="8" t="s">
        <v>1769</v>
      </c>
      <c r="G192" s="8" t="s">
        <v>1770</v>
      </c>
    </row>
    <row r="193" spans="1:7" x14ac:dyDescent="0.2">
      <c r="A193" s="8" t="s">
        <v>1771</v>
      </c>
      <c r="B193" s="8" t="s">
        <v>1772</v>
      </c>
      <c r="C193" s="8" t="s">
        <v>1773</v>
      </c>
      <c r="D193" s="8" t="s">
        <v>1774</v>
      </c>
      <c r="E193" s="8" t="s">
        <v>1775</v>
      </c>
      <c r="F193" s="8" t="s">
        <v>1776</v>
      </c>
      <c r="G193" s="8" t="s">
        <v>1777</v>
      </c>
    </row>
    <row r="194" spans="1:7" x14ac:dyDescent="0.2">
      <c r="A194" s="8" t="s">
        <v>1778</v>
      </c>
      <c r="B194" s="8" t="s">
        <v>1779</v>
      </c>
      <c r="C194" s="8" t="s">
        <v>1780</v>
      </c>
      <c r="D194" s="8" t="s">
        <v>1781</v>
      </c>
      <c r="E194" s="8" t="s">
        <v>1782</v>
      </c>
      <c r="F194" s="8" t="s">
        <v>1712</v>
      </c>
      <c r="G194" s="8" t="s">
        <v>1783</v>
      </c>
    </row>
    <row r="195" spans="1:7" x14ac:dyDescent="0.2">
      <c r="A195" s="8" t="s">
        <v>1784</v>
      </c>
      <c r="B195" s="8" t="s">
        <v>1785</v>
      </c>
      <c r="C195" s="8" t="s">
        <v>1786</v>
      </c>
      <c r="D195" s="8" t="s">
        <v>1787</v>
      </c>
      <c r="E195" s="8" t="s">
        <v>1788</v>
      </c>
      <c r="F195" s="8" t="s">
        <v>1789</v>
      </c>
      <c r="G195" s="8" t="s">
        <v>1790</v>
      </c>
    </row>
    <row r="196" spans="1:7" x14ac:dyDescent="0.2">
      <c r="A196" s="8" t="s">
        <v>1791</v>
      </c>
      <c r="B196" s="8" t="s">
        <v>1792</v>
      </c>
      <c r="C196" s="8" t="s">
        <v>1793</v>
      </c>
      <c r="D196" s="8" t="s">
        <v>1794</v>
      </c>
      <c r="E196" s="8" t="s">
        <v>1795</v>
      </c>
      <c r="F196" s="8" t="s">
        <v>1796</v>
      </c>
      <c r="G196" s="8" t="s">
        <v>1797</v>
      </c>
    </row>
    <row r="197" spans="1:7" x14ac:dyDescent="0.2">
      <c r="A197" s="8" t="s">
        <v>1798</v>
      </c>
      <c r="B197" s="8" t="s">
        <v>1799</v>
      </c>
      <c r="C197" s="8" t="s">
        <v>1800</v>
      </c>
      <c r="D197" s="8" t="s">
        <v>1801</v>
      </c>
      <c r="E197" s="8" t="s">
        <v>1802</v>
      </c>
      <c r="F197" s="8" t="s">
        <v>1803</v>
      </c>
      <c r="G197" s="8" t="s">
        <v>1804</v>
      </c>
    </row>
    <row r="198" spans="1:7" x14ac:dyDescent="0.2">
      <c r="A198" s="8" t="s">
        <v>1805</v>
      </c>
      <c r="B198" s="8" t="s">
        <v>1806</v>
      </c>
      <c r="C198" s="8" t="s">
        <v>1807</v>
      </c>
      <c r="D198" s="8" t="s">
        <v>1808</v>
      </c>
      <c r="E198" s="8" t="s">
        <v>1809</v>
      </c>
      <c r="F198" s="8" t="s">
        <v>1810</v>
      </c>
      <c r="G198" s="8" t="s">
        <v>1811</v>
      </c>
    </row>
    <row r="199" spans="1:7" x14ac:dyDescent="0.2">
      <c r="A199" s="8" t="s">
        <v>1812</v>
      </c>
      <c r="B199" s="8" t="s">
        <v>1813</v>
      </c>
      <c r="C199" s="8" t="s">
        <v>1814</v>
      </c>
      <c r="D199" s="8" t="s">
        <v>1815</v>
      </c>
      <c r="E199" s="8" t="s">
        <v>1816</v>
      </c>
      <c r="F199" s="8" t="s">
        <v>1817</v>
      </c>
      <c r="G199" s="8" t="s">
        <v>1818</v>
      </c>
    </row>
    <row r="200" spans="1:7" x14ac:dyDescent="0.2">
      <c r="A200" s="8" t="s">
        <v>1819</v>
      </c>
      <c r="B200" s="8" t="s">
        <v>1820</v>
      </c>
      <c r="C200" s="8" t="s">
        <v>1821</v>
      </c>
      <c r="D200" s="8" t="s">
        <v>1822</v>
      </c>
      <c r="E200" s="8" t="s">
        <v>1823</v>
      </c>
      <c r="F200" s="8" t="s">
        <v>1824</v>
      </c>
      <c r="G200" s="8" t="s">
        <v>1825</v>
      </c>
    </row>
    <row r="201" spans="1:7" x14ac:dyDescent="0.2">
      <c r="A201" s="8" t="s">
        <v>1826</v>
      </c>
      <c r="B201" s="8" t="s">
        <v>1827</v>
      </c>
      <c r="C201" s="8" t="s">
        <v>1626</v>
      </c>
      <c r="D201" s="8" t="s">
        <v>1828</v>
      </c>
      <c r="E201" s="8" t="s">
        <v>1638</v>
      </c>
      <c r="F201" s="8" t="s">
        <v>1829</v>
      </c>
      <c r="G201" s="8" t="s">
        <v>1830</v>
      </c>
    </row>
    <row r="202" spans="1:7" x14ac:dyDescent="0.2">
      <c r="A202" s="8" t="s">
        <v>1831</v>
      </c>
      <c r="B202" s="8" t="s">
        <v>1832</v>
      </c>
      <c r="C202" s="8" t="s">
        <v>1833</v>
      </c>
      <c r="D202" s="8" t="s">
        <v>1834</v>
      </c>
      <c r="E202" s="8" t="s">
        <v>1809</v>
      </c>
      <c r="F202" s="8" t="s">
        <v>1810</v>
      </c>
      <c r="G202" s="8" t="s">
        <v>1835</v>
      </c>
    </row>
    <row r="203" spans="1:7" x14ac:dyDescent="0.2">
      <c r="A203" s="8" t="s">
        <v>1836</v>
      </c>
      <c r="B203" s="8" t="s">
        <v>1837</v>
      </c>
      <c r="C203" s="8" t="s">
        <v>1838</v>
      </c>
      <c r="D203" s="8" t="s">
        <v>1839</v>
      </c>
      <c r="E203" s="8" t="s">
        <v>1840</v>
      </c>
      <c r="F203" s="8" t="s">
        <v>1841</v>
      </c>
      <c r="G203" s="8" t="s">
        <v>1842</v>
      </c>
    </row>
    <row r="204" spans="1:7" x14ac:dyDescent="0.2">
      <c r="A204" s="8" t="s">
        <v>1843</v>
      </c>
      <c r="B204" s="8" t="s">
        <v>1844</v>
      </c>
      <c r="C204" s="8" t="s">
        <v>1845</v>
      </c>
      <c r="D204" s="8" t="s">
        <v>1846</v>
      </c>
      <c r="E204" s="8" t="s">
        <v>1847</v>
      </c>
      <c r="F204" s="8" t="s">
        <v>1848</v>
      </c>
      <c r="G204" s="8" t="s">
        <v>1849</v>
      </c>
    </row>
    <row r="205" spans="1:7" x14ac:dyDescent="0.2">
      <c r="A205" s="8" t="s">
        <v>1850</v>
      </c>
      <c r="B205" s="8" t="s">
        <v>1851</v>
      </c>
      <c r="C205" s="8" t="s">
        <v>1852</v>
      </c>
      <c r="D205" s="8" t="s">
        <v>1853</v>
      </c>
      <c r="E205" s="8" t="s">
        <v>1854</v>
      </c>
      <c r="F205" s="8" t="s">
        <v>1855</v>
      </c>
      <c r="G205" s="8" t="s">
        <v>1856</v>
      </c>
    </row>
    <row r="206" spans="1:7" x14ac:dyDescent="0.2">
      <c r="A206" s="8" t="s">
        <v>1857</v>
      </c>
      <c r="B206" s="8" t="s">
        <v>1858</v>
      </c>
      <c r="C206" s="8" t="s">
        <v>1859</v>
      </c>
      <c r="D206" s="8" t="s">
        <v>1860</v>
      </c>
      <c r="E206" s="8" t="s">
        <v>1861</v>
      </c>
      <c r="F206" s="8" t="s">
        <v>1862</v>
      </c>
      <c r="G206" s="8" t="s">
        <v>1863</v>
      </c>
    </row>
    <row r="207" spans="1:7" x14ac:dyDescent="0.2">
      <c r="A207" s="8" t="s">
        <v>1864</v>
      </c>
      <c r="B207" s="8" t="s">
        <v>1865</v>
      </c>
      <c r="C207" s="8" t="s">
        <v>1866</v>
      </c>
      <c r="D207" s="8" t="s">
        <v>1867</v>
      </c>
      <c r="E207" s="8" t="s">
        <v>1868</v>
      </c>
      <c r="F207" s="8" t="s">
        <v>1869</v>
      </c>
      <c r="G207" s="8" t="s">
        <v>1870</v>
      </c>
    </row>
    <row r="208" spans="1:7" x14ac:dyDescent="0.2">
      <c r="A208" s="8" t="s">
        <v>1871</v>
      </c>
      <c r="B208" s="8" t="s">
        <v>1872</v>
      </c>
      <c r="C208" s="8" t="s">
        <v>1873</v>
      </c>
      <c r="D208" s="8" t="s">
        <v>1874</v>
      </c>
      <c r="E208" s="8" t="s">
        <v>1875</v>
      </c>
      <c r="F208" s="8" t="s">
        <v>1876</v>
      </c>
      <c r="G208" s="8" t="s">
        <v>1877</v>
      </c>
    </row>
    <row r="209" spans="1:7" x14ac:dyDescent="0.2">
      <c r="A209" s="8" t="s">
        <v>1878</v>
      </c>
      <c r="B209" s="8" t="s">
        <v>1879</v>
      </c>
      <c r="C209" s="8" t="s">
        <v>1880</v>
      </c>
      <c r="D209" s="8" t="s">
        <v>1881</v>
      </c>
      <c r="E209" s="8" t="s">
        <v>1882</v>
      </c>
      <c r="F209" s="8" t="s">
        <v>1883</v>
      </c>
      <c r="G209" s="8" t="s">
        <v>1884</v>
      </c>
    </row>
    <row r="210" spans="1:7" x14ac:dyDescent="0.2">
      <c r="A210" s="8" t="s">
        <v>1885</v>
      </c>
      <c r="B210" s="8" t="s">
        <v>1886</v>
      </c>
      <c r="C210" s="8" t="s">
        <v>1887</v>
      </c>
      <c r="D210" s="8" t="s">
        <v>1888</v>
      </c>
      <c r="E210" s="8" t="s">
        <v>1813</v>
      </c>
      <c r="F210" s="8" t="s">
        <v>1889</v>
      </c>
      <c r="G210" s="8" t="s">
        <v>1890</v>
      </c>
    </row>
    <row r="211" spans="1:7" x14ac:dyDescent="0.2">
      <c r="A211" s="8" t="s">
        <v>1891</v>
      </c>
      <c r="B211" s="8" t="s">
        <v>1892</v>
      </c>
      <c r="C211" s="8" t="s">
        <v>1893</v>
      </c>
      <c r="D211" s="8" t="s">
        <v>1894</v>
      </c>
      <c r="E211" s="8" t="s">
        <v>1895</v>
      </c>
      <c r="F211" s="8" t="s">
        <v>1896</v>
      </c>
      <c r="G211" s="8" t="s">
        <v>1897</v>
      </c>
    </row>
    <row r="212" spans="1:7" x14ac:dyDescent="0.2">
      <c r="A212" s="8" t="s">
        <v>1898</v>
      </c>
      <c r="B212" s="8" t="s">
        <v>1872</v>
      </c>
      <c r="C212" s="8" t="s">
        <v>1899</v>
      </c>
      <c r="D212" s="8" t="s">
        <v>1900</v>
      </c>
      <c r="E212" s="8" t="s">
        <v>1901</v>
      </c>
      <c r="F212" s="8" t="s">
        <v>1888</v>
      </c>
      <c r="G212" s="8" t="s">
        <v>1902</v>
      </c>
    </row>
    <row r="213" spans="1:7" x14ac:dyDescent="0.2">
      <c r="A213" s="8" t="s">
        <v>1903</v>
      </c>
      <c r="B213" s="8" t="s">
        <v>1904</v>
      </c>
      <c r="C213" s="8" t="s">
        <v>1905</v>
      </c>
      <c r="D213" s="8" t="s">
        <v>1906</v>
      </c>
      <c r="E213" s="8" t="s">
        <v>1907</v>
      </c>
      <c r="F213" s="8" t="s">
        <v>1908</v>
      </c>
      <c r="G213" s="8" t="s">
        <v>1909</v>
      </c>
    </row>
    <row r="214" spans="1:7" x14ac:dyDescent="0.2">
      <c r="A214" s="8" t="s">
        <v>1910</v>
      </c>
      <c r="B214" s="8" t="s">
        <v>1911</v>
      </c>
      <c r="C214" s="8" t="s">
        <v>1912</v>
      </c>
      <c r="D214" s="8" t="s">
        <v>1913</v>
      </c>
      <c r="E214" s="8" t="s">
        <v>1914</v>
      </c>
      <c r="F214" s="8" t="s">
        <v>1915</v>
      </c>
      <c r="G214" s="8" t="s">
        <v>1916</v>
      </c>
    </row>
    <row r="215" spans="1:7" x14ac:dyDescent="0.2">
      <c r="A215" s="8" t="s">
        <v>1917</v>
      </c>
      <c r="B215" s="8" t="s">
        <v>1918</v>
      </c>
      <c r="C215" s="8" t="s">
        <v>1919</v>
      </c>
      <c r="D215" s="8" t="s">
        <v>1920</v>
      </c>
      <c r="E215" s="8" t="s">
        <v>1833</v>
      </c>
      <c r="F215" s="8" t="s">
        <v>1921</v>
      </c>
      <c r="G215" s="8" t="s">
        <v>1922</v>
      </c>
    </row>
    <row r="216" spans="1:7" x14ac:dyDescent="0.2">
      <c r="A216" s="8" t="s">
        <v>1923</v>
      </c>
      <c r="B216" s="8" t="s">
        <v>1924</v>
      </c>
      <c r="C216" s="8" t="s">
        <v>1925</v>
      </c>
      <c r="D216" s="8" t="s">
        <v>1926</v>
      </c>
      <c r="E216" s="8" t="s">
        <v>1927</v>
      </c>
      <c r="F216" s="8" t="s">
        <v>1928</v>
      </c>
      <c r="G216" s="8" t="s">
        <v>1929</v>
      </c>
    </row>
    <row r="217" spans="1:7" x14ac:dyDescent="0.2">
      <c r="A217" s="8" t="s">
        <v>1930</v>
      </c>
      <c r="B217" s="8" t="s">
        <v>1931</v>
      </c>
      <c r="C217" s="8" t="s">
        <v>1932</v>
      </c>
      <c r="D217" s="8" t="s">
        <v>1933</v>
      </c>
      <c r="E217" s="8" t="s">
        <v>1934</v>
      </c>
      <c r="F217" s="8" t="s">
        <v>1935</v>
      </c>
      <c r="G217" s="8" t="s">
        <v>1936</v>
      </c>
    </row>
    <row r="218" spans="1:7" x14ac:dyDescent="0.2">
      <c r="A218" s="8" t="s">
        <v>1937</v>
      </c>
      <c r="B218" s="8" t="s">
        <v>1938</v>
      </c>
      <c r="C218" s="8" t="s">
        <v>1633</v>
      </c>
      <c r="D218" s="8" t="s">
        <v>1939</v>
      </c>
      <c r="E218" s="8" t="s">
        <v>1940</v>
      </c>
      <c r="F218" s="8" t="s">
        <v>1941</v>
      </c>
      <c r="G218" s="8" t="s">
        <v>1942</v>
      </c>
    </row>
    <row r="219" spans="1:7" x14ac:dyDescent="0.2">
      <c r="A219" s="8" t="s">
        <v>1943</v>
      </c>
      <c r="B219" s="8" t="s">
        <v>1944</v>
      </c>
      <c r="C219" s="8" t="s">
        <v>1945</v>
      </c>
      <c r="D219" s="8" t="s">
        <v>1946</v>
      </c>
      <c r="E219" s="8" t="s">
        <v>1947</v>
      </c>
      <c r="F219" s="8" t="s">
        <v>1948</v>
      </c>
      <c r="G219" s="8" t="s">
        <v>1949</v>
      </c>
    </row>
    <row r="220" spans="1:7" x14ac:dyDescent="0.2">
      <c r="A220" s="8" t="s">
        <v>1950</v>
      </c>
      <c r="B220" s="8" t="s">
        <v>1951</v>
      </c>
      <c r="C220" s="8" t="s">
        <v>1952</v>
      </c>
      <c r="D220" s="8" t="s">
        <v>1953</v>
      </c>
      <c r="E220" s="8" t="s">
        <v>1954</v>
      </c>
      <c r="F220" s="8" t="s">
        <v>1955</v>
      </c>
      <c r="G220" s="8" t="s">
        <v>1956</v>
      </c>
    </row>
    <row r="221" spans="1:7" x14ac:dyDescent="0.2">
      <c r="A221" s="8" t="s">
        <v>1957</v>
      </c>
      <c r="B221" s="8" t="s">
        <v>1958</v>
      </c>
      <c r="C221" s="8" t="s">
        <v>1959</v>
      </c>
      <c r="D221" s="8" t="s">
        <v>1960</v>
      </c>
      <c r="E221" s="8" t="s">
        <v>1961</v>
      </c>
      <c r="F221" s="8" t="s">
        <v>1962</v>
      </c>
      <c r="G221" s="8" t="s">
        <v>1963</v>
      </c>
    </row>
    <row r="222" spans="1:7" x14ac:dyDescent="0.2">
      <c r="A222" s="8" t="s">
        <v>1964</v>
      </c>
      <c r="B222" s="8" t="s">
        <v>1795</v>
      </c>
      <c r="C222" s="8" t="s">
        <v>1965</v>
      </c>
      <c r="D222" s="8" t="s">
        <v>1958</v>
      </c>
      <c r="E222" s="8" t="s">
        <v>1966</v>
      </c>
      <c r="F222" s="8" t="s">
        <v>1967</v>
      </c>
      <c r="G222" s="8" t="s">
        <v>1968</v>
      </c>
    </row>
    <row r="223" spans="1:7" x14ac:dyDescent="0.2">
      <c r="A223" s="8" t="s">
        <v>1969</v>
      </c>
      <c r="B223" s="8" t="s">
        <v>1970</v>
      </c>
      <c r="C223" s="8" t="s">
        <v>1971</v>
      </c>
      <c r="D223" s="8" t="s">
        <v>1972</v>
      </c>
      <c r="E223" s="8" t="s">
        <v>1973</v>
      </c>
      <c r="F223" s="8" t="s">
        <v>1974</v>
      </c>
      <c r="G223" s="8" t="s">
        <v>1975</v>
      </c>
    </row>
    <row r="224" spans="1:7" x14ac:dyDescent="0.2">
      <c r="A224" s="8" t="s">
        <v>1976</v>
      </c>
      <c r="B224" s="8" t="s">
        <v>1977</v>
      </c>
      <c r="C224" s="8" t="s">
        <v>1978</v>
      </c>
      <c r="D224" s="8" t="s">
        <v>1979</v>
      </c>
      <c r="E224" s="8" t="s">
        <v>1980</v>
      </c>
      <c r="F224" s="8" t="s">
        <v>1981</v>
      </c>
      <c r="G224" s="8" t="s">
        <v>1982</v>
      </c>
    </row>
    <row r="225" spans="1:7" x14ac:dyDescent="0.2">
      <c r="A225" s="8" t="s">
        <v>1983</v>
      </c>
      <c r="B225" s="8" t="s">
        <v>1984</v>
      </c>
      <c r="C225" s="8" t="s">
        <v>1985</v>
      </c>
      <c r="D225" s="8" t="s">
        <v>1986</v>
      </c>
      <c r="E225" s="8" t="s">
        <v>1987</v>
      </c>
      <c r="F225" s="8" t="s">
        <v>1988</v>
      </c>
      <c r="G225" s="8" t="s">
        <v>1989</v>
      </c>
    </row>
    <row r="226" spans="1:7" x14ac:dyDescent="0.2">
      <c r="A226" s="8" t="s">
        <v>1990</v>
      </c>
      <c r="B226" s="8" t="s">
        <v>1991</v>
      </c>
      <c r="C226" s="8" t="s">
        <v>1992</v>
      </c>
      <c r="D226" s="8" t="s">
        <v>1993</v>
      </c>
      <c r="E226" s="8" t="s">
        <v>1994</v>
      </c>
      <c r="F226" s="8" t="s">
        <v>1995</v>
      </c>
      <c r="G226" s="8" t="s">
        <v>1996</v>
      </c>
    </row>
    <row r="227" spans="1:7" x14ac:dyDescent="0.2">
      <c r="A227" s="8" t="s">
        <v>1997</v>
      </c>
      <c r="B227" s="8" t="s">
        <v>1998</v>
      </c>
      <c r="C227" s="8" t="s">
        <v>1999</v>
      </c>
      <c r="D227" s="8" t="s">
        <v>2000</v>
      </c>
      <c r="E227" s="8" t="s">
        <v>2001</v>
      </c>
      <c r="F227" s="8" t="s">
        <v>2002</v>
      </c>
      <c r="G227" s="8" t="s">
        <v>2003</v>
      </c>
    </row>
    <row r="228" spans="1:7" x14ac:dyDescent="0.2">
      <c r="A228" s="8" t="s">
        <v>2004</v>
      </c>
      <c r="B228" s="8" t="s">
        <v>2005</v>
      </c>
      <c r="C228" s="8" t="s">
        <v>1668</v>
      </c>
      <c r="D228" s="8" t="s">
        <v>2006</v>
      </c>
      <c r="E228" s="8" t="s">
        <v>2007</v>
      </c>
      <c r="F228" s="8" t="s">
        <v>2008</v>
      </c>
      <c r="G228" s="8" t="s">
        <v>2009</v>
      </c>
    </row>
    <row r="229" spans="1:7" x14ac:dyDescent="0.2">
      <c r="A229" s="8" t="s">
        <v>2010</v>
      </c>
      <c r="B229" s="8" t="s">
        <v>788</v>
      </c>
      <c r="C229" s="8" t="s">
        <v>789</v>
      </c>
      <c r="D229" s="8" t="s">
        <v>789</v>
      </c>
      <c r="E229" s="8" t="s">
        <v>789</v>
      </c>
      <c r="F229" s="8" t="s">
        <v>789</v>
      </c>
      <c r="G229" s="8" t="s">
        <v>789</v>
      </c>
    </row>
    <row r="230" spans="1:7" x14ac:dyDescent="0.2">
      <c r="A230" s="8" t="s">
        <v>2010</v>
      </c>
      <c r="B230" s="8" t="s">
        <v>2011</v>
      </c>
      <c r="C230" s="8" t="s">
        <v>1660</v>
      </c>
      <c r="D230" s="8" t="s">
        <v>2012</v>
      </c>
      <c r="E230" s="8" t="s">
        <v>2013</v>
      </c>
      <c r="F230" s="8" t="s">
        <v>2014</v>
      </c>
      <c r="G230" s="8" t="s">
        <v>2015</v>
      </c>
    </row>
    <row r="231" spans="1:7" x14ac:dyDescent="0.2">
      <c r="A231" s="8" t="s">
        <v>2016</v>
      </c>
      <c r="B231" s="8" t="s">
        <v>2017</v>
      </c>
      <c r="C231" s="8" t="s">
        <v>2018</v>
      </c>
      <c r="D231" s="8" t="s">
        <v>2019</v>
      </c>
      <c r="E231" s="8" t="s">
        <v>2020</v>
      </c>
      <c r="F231" s="8" t="s">
        <v>2021</v>
      </c>
      <c r="G231" s="8" t="s">
        <v>2022</v>
      </c>
    </row>
    <row r="232" spans="1:7" x14ac:dyDescent="0.2">
      <c r="A232" s="8" t="s">
        <v>2023</v>
      </c>
      <c r="B232" s="8" t="s">
        <v>2024</v>
      </c>
      <c r="C232" s="8" t="s">
        <v>2025</v>
      </c>
      <c r="D232" s="8" t="s">
        <v>1955</v>
      </c>
      <c r="E232" s="8" t="s">
        <v>2026</v>
      </c>
      <c r="F232" s="8" t="s">
        <v>2027</v>
      </c>
      <c r="G232" s="8" t="s">
        <v>2028</v>
      </c>
    </row>
    <row r="233" spans="1:7" x14ac:dyDescent="0.2">
      <c r="A233" s="8" t="s">
        <v>2029</v>
      </c>
      <c r="B233" s="8" t="s">
        <v>2030</v>
      </c>
      <c r="C233" s="8" t="s">
        <v>2031</v>
      </c>
      <c r="D233" s="8" t="s">
        <v>2032</v>
      </c>
      <c r="E233" s="8" t="s">
        <v>2033</v>
      </c>
      <c r="F233" s="8" t="s">
        <v>2034</v>
      </c>
      <c r="G233" s="8" t="s">
        <v>2035</v>
      </c>
    </row>
    <row r="234" spans="1:7" x14ac:dyDescent="0.2">
      <c r="A234" s="8" t="s">
        <v>2036</v>
      </c>
      <c r="B234" s="8" t="s">
        <v>2037</v>
      </c>
      <c r="C234" s="8" t="s">
        <v>2038</v>
      </c>
      <c r="D234" s="8" t="s">
        <v>2039</v>
      </c>
      <c r="E234" s="8" t="s">
        <v>1933</v>
      </c>
      <c r="F234" s="8" t="s">
        <v>2040</v>
      </c>
      <c r="G234" s="8" t="s">
        <v>2041</v>
      </c>
    </row>
    <row r="235" spans="1:7" x14ac:dyDescent="0.2">
      <c r="A235" s="8" t="s">
        <v>2042</v>
      </c>
      <c r="B235" s="8" t="s">
        <v>2043</v>
      </c>
      <c r="C235" s="8" t="s">
        <v>2044</v>
      </c>
      <c r="D235" s="8" t="s">
        <v>2037</v>
      </c>
      <c r="E235" s="8" t="s">
        <v>2045</v>
      </c>
      <c r="F235" s="8" t="s">
        <v>2046</v>
      </c>
      <c r="G235" s="8" t="s">
        <v>2047</v>
      </c>
    </row>
    <row r="236" spans="1:7" x14ac:dyDescent="0.2">
      <c r="A236" s="8" t="s">
        <v>2048</v>
      </c>
      <c r="B236" s="8" t="s">
        <v>2049</v>
      </c>
      <c r="C236" s="8" t="s">
        <v>2050</v>
      </c>
      <c r="D236" s="8" t="s">
        <v>1624</v>
      </c>
      <c r="E236" s="8" t="s">
        <v>2051</v>
      </c>
      <c r="F236" s="8" t="s">
        <v>2052</v>
      </c>
      <c r="G236" s="8" t="s">
        <v>2053</v>
      </c>
    </row>
    <row r="237" spans="1:7" x14ac:dyDescent="0.2">
      <c r="A237" s="8" t="s">
        <v>2054</v>
      </c>
      <c r="B237" s="8" t="s">
        <v>2055</v>
      </c>
      <c r="C237" s="8" t="s">
        <v>2056</v>
      </c>
      <c r="D237" s="8" t="s">
        <v>2057</v>
      </c>
      <c r="E237" s="8" t="s">
        <v>2058</v>
      </c>
      <c r="F237" s="8" t="s">
        <v>1651</v>
      </c>
      <c r="G237" s="8" t="s">
        <v>2059</v>
      </c>
    </row>
    <row r="238" spans="1:7" x14ac:dyDescent="0.2">
      <c r="A238" s="8" t="s">
        <v>2060</v>
      </c>
      <c r="B238" s="8" t="s">
        <v>2061</v>
      </c>
      <c r="C238" s="8" t="s">
        <v>1637</v>
      </c>
      <c r="D238" s="8" t="s">
        <v>1785</v>
      </c>
      <c r="E238" s="8" t="s">
        <v>2062</v>
      </c>
      <c r="F238" s="8" t="s">
        <v>2063</v>
      </c>
      <c r="G238" s="8" t="s">
        <v>2064</v>
      </c>
    </row>
    <row r="239" spans="1:7" x14ac:dyDescent="0.2">
      <c r="A239" s="8" t="s">
        <v>2065</v>
      </c>
      <c r="B239" s="8" t="s">
        <v>2066</v>
      </c>
      <c r="C239" s="8" t="s">
        <v>2067</v>
      </c>
      <c r="D239" s="8" t="s">
        <v>2068</v>
      </c>
      <c r="E239" s="8" t="s">
        <v>2069</v>
      </c>
      <c r="F239" s="8" t="s">
        <v>2070</v>
      </c>
      <c r="G239" s="8" t="s">
        <v>2071</v>
      </c>
    </row>
    <row r="240" spans="1:7" x14ac:dyDescent="0.2">
      <c r="A240" s="8" t="s">
        <v>2072</v>
      </c>
      <c r="B240" s="8" t="s">
        <v>2073</v>
      </c>
      <c r="C240" s="8" t="s">
        <v>2074</v>
      </c>
      <c r="D240" s="8" t="s">
        <v>2075</v>
      </c>
      <c r="E240" s="8" t="s">
        <v>2076</v>
      </c>
      <c r="F240" s="8" t="s">
        <v>2077</v>
      </c>
      <c r="G240" s="8" t="s">
        <v>2078</v>
      </c>
    </row>
    <row r="241" spans="1:7" x14ac:dyDescent="0.2">
      <c r="A241" s="8" t="s">
        <v>2079</v>
      </c>
      <c r="B241" s="8" t="s">
        <v>2080</v>
      </c>
      <c r="C241" s="8" t="s">
        <v>2081</v>
      </c>
      <c r="D241" s="8" t="s">
        <v>2082</v>
      </c>
      <c r="E241" s="8" t="s">
        <v>2083</v>
      </c>
      <c r="F241" s="8" t="s">
        <v>2068</v>
      </c>
      <c r="G241" s="8" t="s">
        <v>2084</v>
      </c>
    </row>
    <row r="242" spans="1:7" x14ac:dyDescent="0.2">
      <c r="A242" s="8" t="s">
        <v>2085</v>
      </c>
      <c r="B242" s="8" t="s">
        <v>2086</v>
      </c>
      <c r="C242" s="8" t="s">
        <v>2087</v>
      </c>
      <c r="D242" s="8" t="s">
        <v>2088</v>
      </c>
      <c r="E242" s="8" t="s">
        <v>2068</v>
      </c>
      <c r="F242" s="8" t="s">
        <v>2089</v>
      </c>
      <c r="G242" s="8" t="s">
        <v>2090</v>
      </c>
    </row>
    <row r="243" spans="1:7" x14ac:dyDescent="0.2">
      <c r="A243" s="8" t="s">
        <v>2091</v>
      </c>
      <c r="B243" s="8" t="s">
        <v>1887</v>
      </c>
      <c r="C243" s="8" t="s">
        <v>2092</v>
      </c>
      <c r="D243" s="8" t="s">
        <v>2093</v>
      </c>
      <c r="E243" s="8" t="s">
        <v>2094</v>
      </c>
      <c r="F243" s="8" t="s">
        <v>2095</v>
      </c>
      <c r="G243" s="8" t="s">
        <v>2096</v>
      </c>
    </row>
    <row r="244" spans="1:7" x14ac:dyDescent="0.2">
      <c r="A244" s="8" t="s">
        <v>2097</v>
      </c>
      <c r="B244" s="8" t="s">
        <v>2098</v>
      </c>
      <c r="C244" s="8" t="s">
        <v>2099</v>
      </c>
      <c r="D244" s="8" t="s">
        <v>2100</v>
      </c>
      <c r="E244" s="8" t="s">
        <v>2101</v>
      </c>
      <c r="F244" s="8" t="s">
        <v>2102</v>
      </c>
      <c r="G244" s="8" t="s">
        <v>2103</v>
      </c>
    </row>
    <row r="245" spans="1:7" x14ac:dyDescent="0.2">
      <c r="A245" s="8" t="s">
        <v>2104</v>
      </c>
      <c r="B245" s="8" t="s">
        <v>2105</v>
      </c>
      <c r="C245" s="8" t="s">
        <v>2106</v>
      </c>
      <c r="D245" s="8" t="s">
        <v>2107</v>
      </c>
      <c r="E245" s="8" t="s">
        <v>2108</v>
      </c>
      <c r="F245" s="8" t="s">
        <v>2109</v>
      </c>
      <c r="G245" s="8" t="s">
        <v>2110</v>
      </c>
    </row>
    <row r="246" spans="1:7" x14ac:dyDescent="0.2">
      <c r="A246" s="8" t="s">
        <v>2111</v>
      </c>
      <c r="B246" s="8" t="s">
        <v>1844</v>
      </c>
      <c r="C246" s="8" t="s">
        <v>2112</v>
      </c>
      <c r="D246" s="8" t="s">
        <v>2113</v>
      </c>
      <c r="E246" s="8" t="s">
        <v>2114</v>
      </c>
      <c r="F246" s="8" t="s">
        <v>2115</v>
      </c>
      <c r="G246" s="8" t="s">
        <v>2116</v>
      </c>
    </row>
    <row r="247" spans="1:7" x14ac:dyDescent="0.2">
      <c r="A247" s="8" t="s">
        <v>2117</v>
      </c>
      <c r="B247" s="8" t="s">
        <v>2118</v>
      </c>
      <c r="C247" s="8" t="s">
        <v>2119</v>
      </c>
      <c r="D247" s="8" t="s">
        <v>2120</v>
      </c>
      <c r="E247" s="8" t="s">
        <v>2121</v>
      </c>
      <c r="F247" s="8" t="s">
        <v>2122</v>
      </c>
      <c r="G247" s="8" t="s">
        <v>2123</v>
      </c>
    </row>
    <row r="248" spans="1:7" x14ac:dyDescent="0.2">
      <c r="A248" s="8" t="s">
        <v>2124</v>
      </c>
      <c r="B248" s="8" t="s">
        <v>2125</v>
      </c>
      <c r="C248" s="8" t="s">
        <v>2126</v>
      </c>
      <c r="D248" s="8" t="s">
        <v>2127</v>
      </c>
      <c r="E248" s="8" t="s">
        <v>2128</v>
      </c>
      <c r="F248" s="8" t="s">
        <v>2129</v>
      </c>
      <c r="G248" s="8" t="s">
        <v>2130</v>
      </c>
    </row>
    <row r="249" spans="1:7" x14ac:dyDescent="0.2">
      <c r="A249" s="8" t="s">
        <v>2131</v>
      </c>
      <c r="B249" s="8" t="s">
        <v>2132</v>
      </c>
      <c r="C249" s="8" t="s">
        <v>2133</v>
      </c>
      <c r="D249" s="8" t="s">
        <v>2134</v>
      </c>
      <c r="E249" s="8" t="s">
        <v>2135</v>
      </c>
      <c r="F249" s="8" t="s">
        <v>2136</v>
      </c>
      <c r="G249" s="8" t="s">
        <v>2137</v>
      </c>
    </row>
    <row r="250" spans="1:7" x14ac:dyDescent="0.2">
      <c r="A250" s="8" t="s">
        <v>2138</v>
      </c>
      <c r="B250" s="8" t="s">
        <v>2139</v>
      </c>
      <c r="C250" s="8" t="s">
        <v>2140</v>
      </c>
      <c r="D250" s="8" t="s">
        <v>2141</v>
      </c>
      <c r="E250" s="8" t="s">
        <v>2142</v>
      </c>
      <c r="F250" s="8" t="s">
        <v>2143</v>
      </c>
      <c r="G250" s="8" t="s">
        <v>2144</v>
      </c>
    </row>
    <row r="251" spans="1:7" x14ac:dyDescent="0.2">
      <c r="A251" s="8" t="s">
        <v>2145</v>
      </c>
      <c r="B251" s="8" t="s">
        <v>2146</v>
      </c>
      <c r="C251" s="8" t="s">
        <v>2147</v>
      </c>
      <c r="D251" s="8" t="s">
        <v>2148</v>
      </c>
      <c r="E251" s="8" t="s">
        <v>2149</v>
      </c>
      <c r="F251" s="8" t="s">
        <v>2150</v>
      </c>
      <c r="G251" s="8" t="s">
        <v>2151</v>
      </c>
    </row>
    <row r="252" spans="1:7" x14ac:dyDescent="0.2">
      <c r="A252" s="8" t="s">
        <v>2152</v>
      </c>
      <c r="B252" s="8" t="s">
        <v>2153</v>
      </c>
      <c r="C252" s="8" t="s">
        <v>2154</v>
      </c>
      <c r="D252" s="8" t="s">
        <v>2155</v>
      </c>
      <c r="E252" s="8" t="s">
        <v>2156</v>
      </c>
      <c r="F252" s="8" t="s">
        <v>2157</v>
      </c>
      <c r="G252" s="8" t="s">
        <v>2158</v>
      </c>
    </row>
    <row r="253" spans="1:7" x14ac:dyDescent="0.2">
      <c r="A253" s="8" t="s">
        <v>2159</v>
      </c>
      <c r="B253" s="8" t="s">
        <v>2160</v>
      </c>
      <c r="C253" s="8" t="s">
        <v>2161</v>
      </c>
      <c r="D253" s="8" t="s">
        <v>2162</v>
      </c>
      <c r="E253" s="8" t="s">
        <v>2163</v>
      </c>
      <c r="F253" s="8" t="s">
        <v>2164</v>
      </c>
      <c r="G253" s="8" t="s">
        <v>2165</v>
      </c>
    </row>
    <row r="254" spans="1:7" x14ac:dyDescent="0.2">
      <c r="A254" s="8" t="s">
        <v>2166</v>
      </c>
      <c r="B254" s="8" t="s">
        <v>2167</v>
      </c>
      <c r="C254" s="8" t="s">
        <v>2168</v>
      </c>
      <c r="D254" s="8" t="s">
        <v>2169</v>
      </c>
      <c r="E254" s="8" t="s">
        <v>2170</v>
      </c>
      <c r="F254" s="8" t="s">
        <v>2171</v>
      </c>
      <c r="G254" s="8" t="s">
        <v>2172</v>
      </c>
    </row>
    <row r="255" spans="1:7" x14ac:dyDescent="0.2">
      <c r="A255" s="8" t="s">
        <v>2173</v>
      </c>
      <c r="B255" s="8" t="s">
        <v>2174</v>
      </c>
      <c r="C255" s="8" t="s">
        <v>2175</v>
      </c>
      <c r="D255" s="8" t="s">
        <v>2176</v>
      </c>
      <c r="E255" s="8" t="s">
        <v>2177</v>
      </c>
      <c r="F255" s="8" t="s">
        <v>2178</v>
      </c>
      <c r="G255" s="8" t="s">
        <v>2179</v>
      </c>
    </row>
    <row r="256" spans="1:7" x14ac:dyDescent="0.2">
      <c r="A256" s="8" t="s">
        <v>2180</v>
      </c>
      <c r="B256" s="8" t="s">
        <v>2181</v>
      </c>
      <c r="C256" s="8" t="s">
        <v>2182</v>
      </c>
      <c r="D256" s="8" t="s">
        <v>2183</v>
      </c>
      <c r="E256" s="8" t="s">
        <v>2184</v>
      </c>
      <c r="F256" s="8" t="s">
        <v>2185</v>
      </c>
      <c r="G256" s="8" t="s">
        <v>2186</v>
      </c>
    </row>
  </sheetData>
  <autoFilter ref="A1:A256" xr:uid="{53872A07-46BE-324B-B584-ACDD256F7AFD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58368-C603-A14F-ACDC-E5FEEAFA7610}">
  <dimension ref="A1:C252"/>
  <sheetViews>
    <sheetView workbookViewId="0">
      <selection activeCell="F36" sqref="F36"/>
    </sheetView>
  </sheetViews>
  <sheetFormatPr baseColWidth="10" defaultColWidth="8.83203125" defaultRowHeight="15" x14ac:dyDescent="0.2"/>
  <cols>
    <col min="1" max="1" width="17.6640625" bestFit="1" customWidth="1"/>
  </cols>
  <sheetData>
    <row r="1" spans="1:3" x14ac:dyDescent="0.2">
      <c r="A1" s="19" t="s">
        <v>0</v>
      </c>
      <c r="B1" s="19" t="s">
        <v>2215</v>
      </c>
      <c r="C1" s="19" t="s">
        <v>2214</v>
      </c>
    </row>
    <row r="2" spans="1:3" x14ac:dyDescent="0.2">
      <c r="A2" s="18">
        <v>45750</v>
      </c>
      <c r="B2">
        <v>5396.52001953125</v>
      </c>
      <c r="C2">
        <v>202.31</v>
      </c>
    </row>
    <row r="3" spans="1:3" x14ac:dyDescent="0.2">
      <c r="A3" s="18">
        <v>45751</v>
      </c>
      <c r="B3">
        <v>5074.080078125</v>
      </c>
      <c r="C3">
        <v>187.56</v>
      </c>
    </row>
    <row r="4" spans="1:3" x14ac:dyDescent="0.2">
      <c r="A4" s="18">
        <v>45754</v>
      </c>
      <c r="B4">
        <v>5062.25</v>
      </c>
      <c r="C4">
        <v>180.67</v>
      </c>
    </row>
    <row r="5" spans="1:3" x14ac:dyDescent="0.2">
      <c r="A5" s="18">
        <v>45755</v>
      </c>
      <c r="B5">
        <v>4982.77001953125</v>
      </c>
      <c r="C5">
        <v>171.67</v>
      </c>
    </row>
    <row r="6" spans="1:3" x14ac:dyDescent="0.2">
      <c r="A6" s="18">
        <v>45756</v>
      </c>
      <c r="B6">
        <v>5456.89990234375</v>
      </c>
      <c r="C6">
        <v>197.99</v>
      </c>
    </row>
    <row r="7" spans="1:3" x14ac:dyDescent="0.2">
      <c r="A7" s="18">
        <v>45757</v>
      </c>
      <c r="B7">
        <v>5268.0498046875</v>
      </c>
      <c r="C7">
        <v>189.59</v>
      </c>
    </row>
    <row r="8" spans="1:3" x14ac:dyDescent="0.2">
      <c r="A8" s="18">
        <v>45758</v>
      </c>
      <c r="B8">
        <v>5363.35986328125</v>
      </c>
      <c r="C8">
        <v>197.29</v>
      </c>
    </row>
    <row r="9" spans="1:3" x14ac:dyDescent="0.2">
      <c r="A9" s="18">
        <v>45761</v>
      </c>
      <c r="B9">
        <v>5405.97021484375</v>
      </c>
      <c r="C9">
        <v>201.64</v>
      </c>
    </row>
    <row r="10" spans="1:3" x14ac:dyDescent="0.2">
      <c r="A10" s="18">
        <v>45762</v>
      </c>
      <c r="B10">
        <v>5396.6298828125</v>
      </c>
      <c r="C10">
        <v>201.26</v>
      </c>
    </row>
    <row r="11" spans="1:3" x14ac:dyDescent="0.2">
      <c r="A11" s="18">
        <v>45763</v>
      </c>
      <c r="B11">
        <v>5275.7001953125</v>
      </c>
      <c r="C11">
        <v>193.43</v>
      </c>
    </row>
    <row r="12" spans="1:3" x14ac:dyDescent="0.2">
      <c r="A12" s="18">
        <v>45764</v>
      </c>
      <c r="B12">
        <v>5282.7001953125</v>
      </c>
      <c r="C12">
        <v>196.13</v>
      </c>
    </row>
    <row r="13" spans="1:3" x14ac:dyDescent="0.2">
      <c r="A13" s="18">
        <v>45768</v>
      </c>
      <c r="B13">
        <v>5158.2001953125</v>
      </c>
      <c r="C13">
        <v>192.32</v>
      </c>
    </row>
    <row r="14" spans="1:3" x14ac:dyDescent="0.2">
      <c r="A14" s="18">
        <v>45769</v>
      </c>
      <c r="B14">
        <v>5287.759765625</v>
      </c>
      <c r="C14">
        <v>198.87</v>
      </c>
    </row>
    <row r="15" spans="1:3" x14ac:dyDescent="0.2">
      <c r="A15" s="18">
        <v>45770</v>
      </c>
      <c r="B15">
        <v>5375.85986328125</v>
      </c>
      <c r="C15">
        <v>203.71</v>
      </c>
    </row>
    <row r="16" spans="1:3" x14ac:dyDescent="0.2">
      <c r="A16" s="18">
        <v>45771</v>
      </c>
      <c r="B16">
        <v>5484.77001953125</v>
      </c>
      <c r="C16">
        <v>207.47</v>
      </c>
    </row>
    <row r="17" spans="1:3" x14ac:dyDescent="0.2">
      <c r="A17" s="18">
        <v>45772</v>
      </c>
      <c r="B17">
        <v>5525.2099609375</v>
      </c>
      <c r="C17">
        <v>208.37</v>
      </c>
    </row>
    <row r="18" spans="1:3" x14ac:dyDescent="0.2">
      <c r="A18" s="18">
        <v>45775</v>
      </c>
      <c r="B18">
        <v>5528.75</v>
      </c>
      <c r="C18">
        <v>209.23</v>
      </c>
    </row>
    <row r="19" spans="1:3" x14ac:dyDescent="0.2">
      <c r="A19" s="18">
        <v>45776</v>
      </c>
      <c r="B19">
        <v>5560.830078125</v>
      </c>
      <c r="C19">
        <v>210.29</v>
      </c>
    </row>
    <row r="20" spans="1:3" x14ac:dyDescent="0.2">
      <c r="A20" s="18">
        <v>45777</v>
      </c>
      <c r="B20">
        <v>5569.06005859375</v>
      </c>
      <c r="C20">
        <v>211.58</v>
      </c>
    </row>
    <row r="21" spans="1:3" x14ac:dyDescent="0.2">
      <c r="A21" s="18">
        <v>45778</v>
      </c>
      <c r="B21">
        <v>5604.14013671875</v>
      </c>
      <c r="C21">
        <v>212.39</v>
      </c>
    </row>
    <row r="22" spans="1:3" x14ac:dyDescent="0.2">
      <c r="A22" s="18">
        <v>45779</v>
      </c>
      <c r="B22">
        <v>5686.669921875</v>
      </c>
      <c r="C22">
        <v>204.46</v>
      </c>
    </row>
    <row r="23" spans="1:3" x14ac:dyDescent="0.2">
      <c r="A23" s="18">
        <v>45782</v>
      </c>
      <c r="B23">
        <v>5650.3798828125</v>
      </c>
      <c r="C23">
        <v>198.03</v>
      </c>
    </row>
    <row r="24" spans="1:3" x14ac:dyDescent="0.2">
      <c r="A24" s="18">
        <v>45783</v>
      </c>
      <c r="B24">
        <v>5606.91015625</v>
      </c>
      <c r="C24">
        <v>197.65</v>
      </c>
    </row>
    <row r="25" spans="1:3" x14ac:dyDescent="0.2">
      <c r="A25" s="18">
        <v>45784</v>
      </c>
      <c r="B25">
        <v>5631.27978515625</v>
      </c>
      <c r="C25">
        <v>195.4</v>
      </c>
    </row>
    <row r="26" spans="1:3" x14ac:dyDescent="0.2">
      <c r="A26" s="18">
        <v>45785</v>
      </c>
      <c r="B26">
        <v>5663.93994140625</v>
      </c>
      <c r="C26">
        <v>196.63</v>
      </c>
    </row>
    <row r="27" spans="1:3" x14ac:dyDescent="0.2">
      <c r="A27" s="18">
        <v>45786</v>
      </c>
      <c r="B27">
        <v>5659.91015625</v>
      </c>
      <c r="C27">
        <v>197.67</v>
      </c>
    </row>
    <row r="28" spans="1:3" x14ac:dyDescent="0.2">
      <c r="A28" s="18">
        <v>45789</v>
      </c>
      <c r="B28">
        <v>5844.18994140625</v>
      </c>
      <c r="C28">
        <v>210.15</v>
      </c>
    </row>
    <row r="29" spans="1:3" x14ac:dyDescent="0.2">
      <c r="A29" s="18">
        <v>45790</v>
      </c>
      <c r="B29">
        <v>5886.5498046875</v>
      </c>
      <c r="C29">
        <v>212.28</v>
      </c>
    </row>
    <row r="30" spans="1:3" x14ac:dyDescent="0.2">
      <c r="A30" s="18">
        <v>45791</v>
      </c>
      <c r="B30">
        <v>5892.580078125</v>
      </c>
      <c r="C30">
        <v>211.69</v>
      </c>
    </row>
    <row r="31" spans="1:3" x14ac:dyDescent="0.2">
      <c r="A31" s="18">
        <v>45792</v>
      </c>
      <c r="B31">
        <v>5916.93017578125</v>
      </c>
      <c r="C31">
        <v>210.81</v>
      </c>
    </row>
    <row r="32" spans="1:3" x14ac:dyDescent="0.2">
      <c r="A32" s="18">
        <v>45793</v>
      </c>
      <c r="B32">
        <v>5958.3798828125</v>
      </c>
      <c r="C32">
        <v>210.62</v>
      </c>
    </row>
    <row r="33" spans="1:3" x14ac:dyDescent="0.2">
      <c r="A33" s="18">
        <v>45796</v>
      </c>
      <c r="B33">
        <v>5963.60009765625</v>
      </c>
      <c r="C33">
        <v>208.15</v>
      </c>
    </row>
    <row r="34" spans="1:3" x14ac:dyDescent="0.2">
      <c r="A34" s="18">
        <v>45797</v>
      </c>
      <c r="B34">
        <v>5940.4599609375</v>
      </c>
      <c r="C34">
        <v>206.23</v>
      </c>
    </row>
    <row r="35" spans="1:3" x14ac:dyDescent="0.2">
      <c r="A35" s="18">
        <v>45798</v>
      </c>
      <c r="B35">
        <v>5844.60986328125</v>
      </c>
      <c r="C35">
        <v>201.48</v>
      </c>
    </row>
    <row r="36" spans="1:3" x14ac:dyDescent="0.2">
      <c r="A36" s="18">
        <v>45799</v>
      </c>
      <c r="B36">
        <v>5842.009765625</v>
      </c>
      <c r="C36">
        <v>200.75</v>
      </c>
    </row>
    <row r="37" spans="1:3" x14ac:dyDescent="0.2">
      <c r="A37" s="18">
        <v>45800</v>
      </c>
      <c r="B37">
        <v>5802.81982421875</v>
      </c>
      <c r="C37">
        <v>194.68</v>
      </c>
    </row>
    <row r="38" spans="1:3" x14ac:dyDescent="0.2">
      <c r="A38" s="18">
        <v>45804</v>
      </c>
      <c r="B38">
        <v>5921.5400390625</v>
      </c>
      <c r="C38">
        <v>199.6</v>
      </c>
    </row>
    <row r="39" spans="1:3" x14ac:dyDescent="0.2">
      <c r="A39" s="18">
        <v>45805</v>
      </c>
      <c r="B39">
        <v>5888.5498046875</v>
      </c>
      <c r="C39">
        <v>199.81</v>
      </c>
    </row>
    <row r="40" spans="1:3" x14ac:dyDescent="0.2">
      <c r="A40" s="18">
        <v>45806</v>
      </c>
      <c r="B40">
        <v>5912.169921875</v>
      </c>
      <c r="C40">
        <v>199.34</v>
      </c>
    </row>
    <row r="41" spans="1:3" x14ac:dyDescent="0.2">
      <c r="A41" s="18">
        <v>45807</v>
      </c>
      <c r="B41">
        <v>5911.68994140625</v>
      </c>
      <c r="C41">
        <v>200.24</v>
      </c>
    </row>
    <row r="42" spans="1:3" x14ac:dyDescent="0.2">
      <c r="A42" s="18">
        <v>45810</v>
      </c>
      <c r="B42">
        <v>5935.93994140625</v>
      </c>
      <c r="C42">
        <v>201.09</v>
      </c>
    </row>
    <row r="43" spans="1:3" x14ac:dyDescent="0.2">
      <c r="A43" s="18">
        <v>45811</v>
      </c>
      <c r="B43">
        <v>5970.3701171875</v>
      </c>
      <c r="C43">
        <v>202.65</v>
      </c>
    </row>
    <row r="44" spans="1:3" x14ac:dyDescent="0.2">
      <c r="A44" s="18">
        <v>45812</v>
      </c>
      <c r="B44">
        <v>5970.81005859375</v>
      </c>
      <c r="C44">
        <v>202.2</v>
      </c>
    </row>
    <row r="45" spans="1:3" x14ac:dyDescent="0.2">
      <c r="A45" s="18">
        <v>45813</v>
      </c>
      <c r="B45">
        <v>5939.2998046875</v>
      </c>
      <c r="C45">
        <v>200.02</v>
      </c>
    </row>
    <row r="46" spans="1:3" x14ac:dyDescent="0.2">
      <c r="A46" s="18">
        <v>45814</v>
      </c>
      <c r="B46">
        <v>6000.35986328125</v>
      </c>
      <c r="C46">
        <v>203.3</v>
      </c>
    </row>
    <row r="47" spans="1:3" x14ac:dyDescent="0.2">
      <c r="A47" s="18">
        <v>45817</v>
      </c>
      <c r="B47">
        <v>6005.8798828125</v>
      </c>
      <c r="C47">
        <v>200.84</v>
      </c>
    </row>
    <row r="48" spans="1:3" x14ac:dyDescent="0.2">
      <c r="A48" s="18">
        <v>45818</v>
      </c>
      <c r="B48">
        <v>6038.81005859375</v>
      </c>
      <c r="C48">
        <v>202.06</v>
      </c>
    </row>
    <row r="49" spans="1:3" x14ac:dyDescent="0.2">
      <c r="A49" s="18">
        <v>45819</v>
      </c>
      <c r="B49">
        <v>6022.240234375</v>
      </c>
      <c r="C49">
        <v>198.18</v>
      </c>
    </row>
    <row r="50" spans="1:3" x14ac:dyDescent="0.2">
      <c r="A50" s="18">
        <v>45820</v>
      </c>
      <c r="B50">
        <v>6045.259765625</v>
      </c>
      <c r="C50">
        <v>198.6</v>
      </c>
    </row>
    <row r="51" spans="1:3" x14ac:dyDescent="0.2">
      <c r="A51" s="18">
        <v>45821</v>
      </c>
      <c r="B51">
        <v>5976.97021484375</v>
      </c>
      <c r="C51">
        <v>195.85</v>
      </c>
    </row>
    <row r="52" spans="1:3" x14ac:dyDescent="0.2">
      <c r="A52" s="18">
        <v>45824</v>
      </c>
      <c r="B52">
        <v>6033.10986328125</v>
      </c>
      <c r="C52">
        <v>197.82</v>
      </c>
    </row>
    <row r="53" spans="1:3" x14ac:dyDescent="0.2">
      <c r="A53" s="18">
        <v>45825</v>
      </c>
      <c r="B53">
        <v>5982.72021484375</v>
      </c>
      <c r="C53">
        <v>195.05</v>
      </c>
    </row>
    <row r="54" spans="1:3" x14ac:dyDescent="0.2">
      <c r="A54" s="18">
        <v>45826</v>
      </c>
      <c r="B54">
        <v>5980.8701171875</v>
      </c>
      <c r="C54">
        <v>195.98</v>
      </c>
    </row>
    <row r="55" spans="1:3" x14ac:dyDescent="0.2">
      <c r="A55" s="18">
        <v>45828</v>
      </c>
      <c r="B55">
        <v>5967.83984375</v>
      </c>
      <c r="C55">
        <v>200.39</v>
      </c>
    </row>
    <row r="56" spans="1:3" x14ac:dyDescent="0.2">
      <c r="A56" s="18">
        <v>45831</v>
      </c>
      <c r="B56">
        <v>6025.169921875</v>
      </c>
      <c r="C56">
        <v>200.89</v>
      </c>
    </row>
    <row r="57" spans="1:3" x14ac:dyDescent="0.2">
      <c r="A57" s="18">
        <v>45832</v>
      </c>
      <c r="B57">
        <v>6092.18017578125</v>
      </c>
      <c r="C57">
        <v>199.69</v>
      </c>
    </row>
    <row r="58" spans="1:3" x14ac:dyDescent="0.2">
      <c r="A58" s="18">
        <v>45833</v>
      </c>
      <c r="B58">
        <v>6092.16015625</v>
      </c>
      <c r="C58">
        <v>200.95</v>
      </c>
    </row>
    <row r="59" spans="1:3" x14ac:dyDescent="0.2">
      <c r="A59" s="18">
        <v>45834</v>
      </c>
      <c r="B59">
        <v>6141.02001953125</v>
      </c>
      <c r="C59">
        <v>200.39</v>
      </c>
    </row>
    <row r="60" spans="1:3" x14ac:dyDescent="0.2">
      <c r="A60" s="18">
        <v>45835</v>
      </c>
      <c r="B60">
        <v>6173.06982421875</v>
      </c>
      <c r="C60">
        <v>200.47</v>
      </c>
    </row>
    <row r="61" spans="1:3" x14ac:dyDescent="0.2">
      <c r="A61" s="18">
        <v>45838</v>
      </c>
      <c r="B61">
        <v>6204.9501953125</v>
      </c>
      <c r="C61">
        <v>204.55</v>
      </c>
    </row>
    <row r="62" spans="1:3" x14ac:dyDescent="0.2">
      <c r="A62" s="18">
        <v>45839</v>
      </c>
      <c r="B62">
        <v>6198.009765625</v>
      </c>
      <c r="C62">
        <v>207.19</v>
      </c>
    </row>
    <row r="63" spans="1:3" x14ac:dyDescent="0.2">
      <c r="A63" s="18">
        <v>45840</v>
      </c>
      <c r="B63">
        <v>6227.419921875</v>
      </c>
      <c r="C63">
        <v>211.8</v>
      </c>
    </row>
    <row r="64" spans="1:3" x14ac:dyDescent="0.2">
      <c r="A64" s="18">
        <v>45841</v>
      </c>
      <c r="B64">
        <v>6279.35009765625</v>
      </c>
      <c r="C64">
        <v>212.9</v>
      </c>
    </row>
    <row r="65" spans="1:3" x14ac:dyDescent="0.2">
      <c r="A65" s="18">
        <v>45845</v>
      </c>
      <c r="B65">
        <v>6229.97998046875</v>
      </c>
      <c r="C65">
        <v>209.31</v>
      </c>
    </row>
    <row r="66" spans="1:3" x14ac:dyDescent="0.2">
      <c r="A66" s="18">
        <v>45846</v>
      </c>
      <c r="B66">
        <v>6225.52001953125</v>
      </c>
      <c r="C66">
        <v>209.37</v>
      </c>
    </row>
    <row r="67" spans="1:3" x14ac:dyDescent="0.2">
      <c r="A67" s="18">
        <v>45847</v>
      </c>
      <c r="B67">
        <v>6263.259765625</v>
      </c>
      <c r="C67">
        <v>210.5</v>
      </c>
    </row>
    <row r="68" spans="1:3" x14ac:dyDescent="0.2">
      <c r="A68" s="18">
        <v>45848</v>
      </c>
      <c r="B68">
        <v>6280.4599609375</v>
      </c>
      <c r="C68">
        <v>211.77</v>
      </c>
    </row>
    <row r="69" spans="1:3" x14ac:dyDescent="0.2">
      <c r="A69" s="18">
        <v>45849</v>
      </c>
      <c r="B69">
        <v>6259.75</v>
      </c>
      <c r="C69">
        <v>210.52</v>
      </c>
    </row>
    <row r="70" spans="1:3" x14ac:dyDescent="0.2">
      <c r="A70" s="18">
        <v>45852</v>
      </c>
      <c r="B70">
        <v>6268.56005859375</v>
      </c>
      <c r="C70">
        <v>207.99</v>
      </c>
    </row>
    <row r="71" spans="1:3" x14ac:dyDescent="0.2">
      <c r="A71" s="18">
        <v>45853</v>
      </c>
      <c r="B71">
        <v>6243.759765625</v>
      </c>
      <c r="C71">
        <v>208.48</v>
      </c>
    </row>
    <row r="72" spans="1:3" x14ac:dyDescent="0.2">
      <c r="A72" s="18">
        <v>45854</v>
      </c>
      <c r="B72">
        <v>6263.7001953125</v>
      </c>
      <c r="C72">
        <v>209.52</v>
      </c>
    </row>
    <row r="73" spans="1:3" x14ac:dyDescent="0.2">
      <c r="A73" s="18">
        <v>45855</v>
      </c>
      <c r="B73">
        <v>6297.35986328125</v>
      </c>
      <c r="C73">
        <v>209.38</v>
      </c>
    </row>
    <row r="74" spans="1:3" x14ac:dyDescent="0.2">
      <c r="A74" s="18">
        <v>45856</v>
      </c>
      <c r="B74">
        <v>6296.7900390625</v>
      </c>
      <c r="C74">
        <v>210.54</v>
      </c>
    </row>
    <row r="75" spans="1:3" x14ac:dyDescent="0.2">
      <c r="A75" s="18">
        <v>45859</v>
      </c>
      <c r="B75">
        <v>6305.60009765625</v>
      </c>
      <c r="C75">
        <v>211.84</v>
      </c>
    </row>
    <row r="76" spans="1:3" x14ac:dyDescent="0.2">
      <c r="A76" s="18">
        <v>45860</v>
      </c>
      <c r="B76">
        <v>6309.6201171875</v>
      </c>
      <c r="C76">
        <v>213.75</v>
      </c>
    </row>
    <row r="77" spans="1:3" x14ac:dyDescent="0.2">
      <c r="A77" s="18">
        <v>45861</v>
      </c>
      <c r="B77">
        <v>6358.91015625</v>
      </c>
      <c r="C77">
        <v>213.5</v>
      </c>
    </row>
    <row r="78" spans="1:3" x14ac:dyDescent="0.2">
      <c r="A78" s="18">
        <v>45862</v>
      </c>
      <c r="B78">
        <v>6363.35009765625</v>
      </c>
      <c r="C78">
        <v>213.11</v>
      </c>
    </row>
    <row r="79" spans="1:3" x14ac:dyDescent="0.2">
      <c r="A79" s="18">
        <v>45863</v>
      </c>
      <c r="B79">
        <v>6388.64013671875</v>
      </c>
      <c r="C79">
        <v>213.23</v>
      </c>
    </row>
    <row r="80" spans="1:3" x14ac:dyDescent="0.2">
      <c r="A80" s="18">
        <v>45866</v>
      </c>
      <c r="B80">
        <v>6389.77001953125</v>
      </c>
      <c r="C80">
        <v>213.4</v>
      </c>
    </row>
    <row r="81" spans="1:3" x14ac:dyDescent="0.2">
      <c r="A81" s="18">
        <v>45867</v>
      </c>
      <c r="B81">
        <v>6370.85986328125</v>
      </c>
      <c r="C81">
        <v>210.63</v>
      </c>
    </row>
    <row r="82" spans="1:3" x14ac:dyDescent="0.2">
      <c r="A82" s="18">
        <v>45868</v>
      </c>
      <c r="B82">
        <v>6362.89990234375</v>
      </c>
      <c r="C82">
        <v>208.42</v>
      </c>
    </row>
    <row r="83" spans="1:3" x14ac:dyDescent="0.2">
      <c r="A83" s="18">
        <v>45869</v>
      </c>
      <c r="B83">
        <v>6339.39013671875</v>
      </c>
      <c r="C83">
        <v>206.94</v>
      </c>
    </row>
    <row r="84" spans="1:3" x14ac:dyDescent="0.2">
      <c r="A84" s="18">
        <v>45870</v>
      </c>
      <c r="B84">
        <v>6238.009765625</v>
      </c>
      <c r="C84">
        <v>201.77</v>
      </c>
    </row>
    <row r="85" spans="1:3" x14ac:dyDescent="0.2">
      <c r="A85" s="18">
        <v>45873</v>
      </c>
      <c r="B85">
        <v>6329.93994140625</v>
      </c>
      <c r="C85">
        <v>202.73</v>
      </c>
    </row>
    <row r="86" spans="1:3" x14ac:dyDescent="0.2">
      <c r="A86" s="18">
        <v>45874</v>
      </c>
      <c r="B86">
        <v>6299.18994140625</v>
      </c>
      <c r="C86">
        <v>202.3</v>
      </c>
    </row>
    <row r="87" spans="1:3" x14ac:dyDescent="0.2">
      <c r="A87" s="18">
        <v>45875</v>
      </c>
      <c r="B87">
        <v>6345.06005859375</v>
      </c>
      <c r="C87">
        <v>212.6</v>
      </c>
    </row>
    <row r="88" spans="1:3" x14ac:dyDescent="0.2">
      <c r="A88" s="18">
        <v>45876</v>
      </c>
      <c r="B88">
        <v>6340</v>
      </c>
      <c r="C88">
        <v>219.36</v>
      </c>
    </row>
    <row r="89" spans="1:3" x14ac:dyDescent="0.2">
      <c r="A89" s="18">
        <v>45877</v>
      </c>
      <c r="B89">
        <v>6389.4501953125</v>
      </c>
      <c r="C89">
        <v>228.65</v>
      </c>
    </row>
    <row r="90" spans="1:3" x14ac:dyDescent="0.2">
      <c r="A90" s="18">
        <v>45880</v>
      </c>
      <c r="B90">
        <v>6373.4501953125</v>
      </c>
      <c r="C90">
        <v>226.75</v>
      </c>
    </row>
    <row r="91" spans="1:3" x14ac:dyDescent="0.2">
      <c r="A91" s="18">
        <v>45881</v>
      </c>
      <c r="B91">
        <v>6445.759765625</v>
      </c>
      <c r="C91">
        <v>229.21</v>
      </c>
    </row>
    <row r="92" spans="1:3" x14ac:dyDescent="0.2">
      <c r="A92" s="18">
        <v>45882</v>
      </c>
      <c r="B92">
        <v>6466.580078125</v>
      </c>
      <c r="C92">
        <v>232.89</v>
      </c>
    </row>
    <row r="93" spans="1:3" x14ac:dyDescent="0.2">
      <c r="A93" s="18">
        <v>45883</v>
      </c>
      <c r="B93">
        <v>6468.5400390625</v>
      </c>
      <c r="C93">
        <v>232.34</v>
      </c>
    </row>
    <row r="94" spans="1:3" x14ac:dyDescent="0.2">
      <c r="A94" s="18">
        <v>45884</v>
      </c>
      <c r="B94">
        <v>6449.7998046875</v>
      </c>
      <c r="C94">
        <v>231.15</v>
      </c>
    </row>
    <row r="95" spans="1:3" x14ac:dyDescent="0.2">
      <c r="A95" s="18">
        <v>45887</v>
      </c>
      <c r="B95">
        <v>6449.14990234375</v>
      </c>
      <c r="C95">
        <v>230.45</v>
      </c>
    </row>
    <row r="96" spans="1:3" x14ac:dyDescent="0.2">
      <c r="A96" s="18">
        <v>45888</v>
      </c>
      <c r="B96">
        <v>6411.3701171875</v>
      </c>
      <c r="C96">
        <v>230.12</v>
      </c>
    </row>
    <row r="97" spans="1:3" x14ac:dyDescent="0.2">
      <c r="A97" s="18">
        <v>45889</v>
      </c>
      <c r="B97">
        <v>6395.77978515625</v>
      </c>
      <c r="C97">
        <v>225.58</v>
      </c>
    </row>
    <row r="98" spans="1:3" x14ac:dyDescent="0.2">
      <c r="A98" s="18">
        <v>45890</v>
      </c>
      <c r="B98">
        <v>6370.169921875</v>
      </c>
      <c r="C98">
        <v>224.47</v>
      </c>
    </row>
    <row r="99" spans="1:3" x14ac:dyDescent="0.2">
      <c r="A99" s="18">
        <v>45891</v>
      </c>
      <c r="B99">
        <v>6466.91015625</v>
      </c>
      <c r="C99">
        <v>227.33</v>
      </c>
    </row>
    <row r="100" spans="1:3" x14ac:dyDescent="0.2">
      <c r="A100" s="18">
        <v>45894</v>
      </c>
      <c r="B100">
        <v>6439.31982421875</v>
      </c>
      <c r="C100">
        <v>226.73</v>
      </c>
    </row>
    <row r="101" spans="1:3" x14ac:dyDescent="0.2">
      <c r="A101" s="18">
        <v>45895</v>
      </c>
      <c r="B101">
        <v>6465.93994140625</v>
      </c>
      <c r="C101">
        <v>228.87</v>
      </c>
    </row>
    <row r="102" spans="1:3" x14ac:dyDescent="0.2">
      <c r="A102" s="18">
        <v>45896</v>
      </c>
      <c r="B102">
        <v>6481.39990234375</v>
      </c>
      <c r="C102">
        <v>230.05</v>
      </c>
    </row>
    <row r="103" spans="1:3" x14ac:dyDescent="0.2">
      <c r="A103" s="18">
        <v>45897</v>
      </c>
      <c r="B103">
        <v>6501.85986328125</v>
      </c>
      <c r="C103">
        <v>232.12</v>
      </c>
    </row>
    <row r="104" spans="1:3" x14ac:dyDescent="0.2">
      <c r="A104" s="18">
        <v>45898</v>
      </c>
      <c r="B104">
        <v>6460.259765625</v>
      </c>
      <c r="C104">
        <v>231.7</v>
      </c>
    </row>
    <row r="105" spans="1:3" x14ac:dyDescent="0.2">
      <c r="A105" s="18">
        <v>45902</v>
      </c>
      <c r="B105">
        <v>6415.5400390625</v>
      </c>
      <c r="C105">
        <v>229.28</v>
      </c>
    </row>
    <row r="106" spans="1:3" x14ac:dyDescent="0.2">
      <c r="A106" s="18">
        <v>45903</v>
      </c>
      <c r="B106">
        <v>6448.259765625</v>
      </c>
      <c r="C106">
        <v>238.02</v>
      </c>
    </row>
    <row r="107" spans="1:3" x14ac:dyDescent="0.2">
      <c r="A107" s="18">
        <v>45904</v>
      </c>
      <c r="B107">
        <v>6502.080078125</v>
      </c>
      <c r="C107">
        <v>239.32</v>
      </c>
    </row>
    <row r="108" spans="1:3" x14ac:dyDescent="0.2">
      <c r="A108" s="18">
        <v>45905</v>
      </c>
      <c r="B108">
        <v>6481.5</v>
      </c>
      <c r="C108">
        <v>239.23</v>
      </c>
    </row>
    <row r="109" spans="1:3" x14ac:dyDescent="0.2">
      <c r="A109" s="18">
        <v>45908</v>
      </c>
      <c r="B109">
        <v>6495.14990234375</v>
      </c>
      <c r="C109">
        <v>237.43</v>
      </c>
    </row>
    <row r="110" spans="1:3" x14ac:dyDescent="0.2">
      <c r="A110" s="18">
        <v>45909</v>
      </c>
      <c r="B110">
        <v>6512.60986328125</v>
      </c>
      <c r="C110">
        <v>233.9</v>
      </c>
    </row>
    <row r="111" spans="1:3" x14ac:dyDescent="0.2">
      <c r="A111" s="18">
        <v>45910</v>
      </c>
      <c r="B111">
        <v>6532.0400390625</v>
      </c>
      <c r="C111">
        <v>226.36</v>
      </c>
    </row>
    <row r="112" spans="1:3" x14ac:dyDescent="0.2">
      <c r="A112" s="18">
        <v>45911</v>
      </c>
      <c r="B112">
        <v>6587.47021484375</v>
      </c>
      <c r="C112">
        <v>229.59</v>
      </c>
    </row>
    <row r="113" spans="1:3" x14ac:dyDescent="0.2">
      <c r="A113" s="18">
        <v>45912</v>
      </c>
      <c r="B113">
        <v>6584.2900390625</v>
      </c>
      <c r="C113">
        <v>233.62</v>
      </c>
    </row>
    <row r="114" spans="1:3" x14ac:dyDescent="0.2">
      <c r="A114" s="18">
        <v>45915</v>
      </c>
      <c r="B114">
        <v>6615.27978515625</v>
      </c>
      <c r="C114">
        <v>236.25</v>
      </c>
    </row>
    <row r="115" spans="1:3" x14ac:dyDescent="0.2">
      <c r="A115" s="18">
        <v>45916</v>
      </c>
      <c r="B115">
        <v>6606.759765625</v>
      </c>
      <c r="C115">
        <v>237.7</v>
      </c>
    </row>
    <row r="116" spans="1:3" x14ac:dyDescent="0.2">
      <c r="A116" s="18">
        <v>45917</v>
      </c>
      <c r="B116">
        <v>6600.35009765625</v>
      </c>
      <c r="C116">
        <v>238.54</v>
      </c>
    </row>
    <row r="117" spans="1:3" x14ac:dyDescent="0.2">
      <c r="A117" s="18">
        <v>45918</v>
      </c>
      <c r="B117">
        <v>6631.9599609375</v>
      </c>
      <c r="C117">
        <v>237.43</v>
      </c>
    </row>
    <row r="118" spans="1:3" x14ac:dyDescent="0.2">
      <c r="A118" s="18">
        <v>45919</v>
      </c>
      <c r="B118">
        <v>6664.35986328125</v>
      </c>
      <c r="C118">
        <v>245.03</v>
      </c>
    </row>
    <row r="119" spans="1:3" x14ac:dyDescent="0.2">
      <c r="A119" s="18">
        <v>45922</v>
      </c>
      <c r="B119">
        <v>6693.75</v>
      </c>
      <c r="C119">
        <v>255.59</v>
      </c>
    </row>
    <row r="120" spans="1:3" x14ac:dyDescent="0.2">
      <c r="A120" s="18">
        <v>45923</v>
      </c>
      <c r="B120">
        <v>6656.919921875</v>
      </c>
      <c r="C120">
        <v>253.95</v>
      </c>
    </row>
    <row r="121" spans="1:3" x14ac:dyDescent="0.2">
      <c r="A121" s="18">
        <v>45924</v>
      </c>
      <c r="B121">
        <v>6637.97021484375</v>
      </c>
      <c r="C121">
        <v>251.83</v>
      </c>
    </row>
    <row r="122" spans="1:3" x14ac:dyDescent="0.2">
      <c r="A122" s="18">
        <v>45925</v>
      </c>
      <c r="B122">
        <v>6604.72021484375</v>
      </c>
      <c r="C122">
        <v>256.38</v>
      </c>
    </row>
    <row r="123" spans="1:3" x14ac:dyDescent="0.2">
      <c r="A123" s="18">
        <v>45926</v>
      </c>
      <c r="B123">
        <v>6643.7001953125</v>
      </c>
      <c r="C123">
        <v>254.97</v>
      </c>
    </row>
    <row r="124" spans="1:3" x14ac:dyDescent="0.2">
      <c r="A124" s="18">
        <v>45929</v>
      </c>
      <c r="B124">
        <v>6661.2099609375</v>
      </c>
      <c r="C124">
        <v>253.95</v>
      </c>
    </row>
    <row r="125" spans="1:3" x14ac:dyDescent="0.2">
      <c r="A125" s="18">
        <v>45930</v>
      </c>
      <c r="B125">
        <v>6688.4599609375</v>
      </c>
      <c r="C125">
        <v>254.15</v>
      </c>
    </row>
    <row r="126" spans="1:3" x14ac:dyDescent="0.2">
      <c r="A126" s="18">
        <v>45931</v>
      </c>
      <c r="B126">
        <v>6711.2001953125</v>
      </c>
      <c r="C126">
        <v>254.96</v>
      </c>
    </row>
    <row r="127" spans="1:3" x14ac:dyDescent="0.2">
      <c r="A127" s="18">
        <v>45932</v>
      </c>
      <c r="B127">
        <v>6715.35009765625</v>
      </c>
      <c r="C127">
        <v>256.64</v>
      </c>
    </row>
    <row r="128" spans="1:3" x14ac:dyDescent="0.2">
      <c r="A128" s="18">
        <v>45933</v>
      </c>
      <c r="B128">
        <v>6715.7900390625</v>
      </c>
      <c r="C128">
        <v>257.52999999999997</v>
      </c>
    </row>
    <row r="129" spans="1:3" x14ac:dyDescent="0.2">
      <c r="A129" s="18">
        <v>45936</v>
      </c>
      <c r="B129">
        <v>6740.27978515625</v>
      </c>
      <c r="C129">
        <v>256.2</v>
      </c>
    </row>
    <row r="130" spans="1:3" x14ac:dyDescent="0.2">
      <c r="A130" s="18">
        <v>45937</v>
      </c>
      <c r="B130">
        <v>6714.58984375</v>
      </c>
      <c r="C130">
        <v>255.99</v>
      </c>
    </row>
    <row r="131" spans="1:3" x14ac:dyDescent="0.2">
      <c r="A131" s="18">
        <v>45938</v>
      </c>
      <c r="B131">
        <v>6753.72021484375</v>
      </c>
      <c r="C131">
        <v>257.57</v>
      </c>
    </row>
    <row r="132" spans="1:3" x14ac:dyDescent="0.2">
      <c r="A132" s="18">
        <v>45939</v>
      </c>
      <c r="B132">
        <v>6735.10986328125</v>
      </c>
      <c r="C132">
        <v>253.56</v>
      </c>
    </row>
    <row r="133" spans="1:3" x14ac:dyDescent="0.2">
      <c r="A133" s="18">
        <v>45940</v>
      </c>
      <c r="B133">
        <v>6552.509765625</v>
      </c>
      <c r="C133">
        <v>244.8</v>
      </c>
    </row>
    <row r="134" spans="1:3" x14ac:dyDescent="0.2">
      <c r="A134" s="18">
        <v>45943</v>
      </c>
      <c r="B134">
        <v>6654.72021484375</v>
      </c>
      <c r="C134">
        <v>247.19</v>
      </c>
    </row>
    <row r="135" spans="1:3" x14ac:dyDescent="0.2">
      <c r="A135" s="18">
        <v>45944</v>
      </c>
      <c r="B135">
        <v>6644.31005859375</v>
      </c>
      <c r="C135">
        <v>247.3</v>
      </c>
    </row>
    <row r="136" spans="1:3" x14ac:dyDescent="0.2">
      <c r="A136" s="18">
        <v>45945</v>
      </c>
      <c r="B136">
        <v>6671.06005859375</v>
      </c>
      <c r="C136">
        <v>248.87</v>
      </c>
    </row>
    <row r="137" spans="1:3" x14ac:dyDescent="0.2">
      <c r="A137" s="18">
        <v>45946</v>
      </c>
      <c r="B137">
        <v>6629.06982421875</v>
      </c>
      <c r="C137">
        <v>246.98</v>
      </c>
    </row>
    <row r="138" spans="1:3" x14ac:dyDescent="0.2">
      <c r="A138" s="18">
        <v>45947</v>
      </c>
      <c r="B138">
        <v>6664.009765625</v>
      </c>
      <c r="C138">
        <v>251.81</v>
      </c>
    </row>
    <row r="139" spans="1:3" x14ac:dyDescent="0.2">
      <c r="A139" s="18">
        <v>45950</v>
      </c>
      <c r="B139">
        <v>6735.1298828125</v>
      </c>
      <c r="C139">
        <v>261.74</v>
      </c>
    </row>
    <row r="140" spans="1:3" x14ac:dyDescent="0.2">
      <c r="A140" s="18">
        <v>45951</v>
      </c>
      <c r="B140">
        <v>6735.35009765625</v>
      </c>
      <c r="C140">
        <v>262.27</v>
      </c>
    </row>
    <row r="141" spans="1:3" x14ac:dyDescent="0.2">
      <c r="A141" s="18">
        <v>45952</v>
      </c>
      <c r="B141">
        <v>6699.39990234375</v>
      </c>
      <c r="C141">
        <v>257.95999999999998</v>
      </c>
    </row>
    <row r="142" spans="1:3" x14ac:dyDescent="0.2">
      <c r="A142" s="18">
        <v>45953</v>
      </c>
      <c r="B142">
        <v>6738.43994140625</v>
      </c>
      <c r="C142">
        <v>259.08999999999997</v>
      </c>
    </row>
    <row r="143" spans="1:3" x14ac:dyDescent="0.2">
      <c r="A143" s="18">
        <v>45954</v>
      </c>
      <c r="B143">
        <v>6791.68994140625</v>
      </c>
      <c r="C143">
        <v>262.32</v>
      </c>
    </row>
    <row r="144" spans="1:3" x14ac:dyDescent="0.2">
      <c r="A144" s="18">
        <v>45957</v>
      </c>
      <c r="B144">
        <v>6875.16015625</v>
      </c>
      <c r="C144">
        <v>268.3</v>
      </c>
    </row>
    <row r="145" spans="1:3" x14ac:dyDescent="0.2">
      <c r="A145" s="18">
        <v>45958</v>
      </c>
      <c r="B145">
        <v>6890.89013671875</v>
      </c>
      <c r="C145">
        <v>268.49</v>
      </c>
    </row>
    <row r="146" spans="1:3" x14ac:dyDescent="0.2">
      <c r="A146" s="18">
        <v>45959</v>
      </c>
      <c r="B146">
        <v>6890.58984375</v>
      </c>
      <c r="C146">
        <v>269.19</v>
      </c>
    </row>
    <row r="147" spans="1:3" x14ac:dyDescent="0.2">
      <c r="A147" s="18">
        <v>45960</v>
      </c>
      <c r="B147">
        <v>6822.33984375</v>
      </c>
      <c r="C147">
        <v>270.88</v>
      </c>
    </row>
    <row r="148" spans="1:3" x14ac:dyDescent="0.2">
      <c r="A148" s="18">
        <v>45961</v>
      </c>
      <c r="B148">
        <v>6840.2001953125</v>
      </c>
      <c r="C148">
        <v>269.86</v>
      </c>
    </row>
    <row r="149" spans="1:3" x14ac:dyDescent="0.2">
      <c r="A149" s="18">
        <v>45964</v>
      </c>
      <c r="B149">
        <v>6851.97021484375</v>
      </c>
      <c r="C149">
        <v>268.54000000000002</v>
      </c>
    </row>
    <row r="150" spans="1:3" x14ac:dyDescent="0.2">
      <c r="A150" s="18">
        <v>45965</v>
      </c>
      <c r="B150">
        <v>6771.5498046875</v>
      </c>
      <c r="C150">
        <v>269.52999999999997</v>
      </c>
    </row>
    <row r="151" spans="1:3" x14ac:dyDescent="0.2">
      <c r="A151" s="18">
        <v>45966</v>
      </c>
      <c r="B151">
        <v>6796.2900390625</v>
      </c>
      <c r="C151">
        <v>269.63</v>
      </c>
    </row>
    <row r="152" spans="1:3" x14ac:dyDescent="0.2">
      <c r="A152" s="18">
        <v>45967</v>
      </c>
      <c r="B152">
        <v>6720.31982421875</v>
      </c>
      <c r="C152">
        <v>269.26</v>
      </c>
    </row>
    <row r="153" spans="1:3" x14ac:dyDescent="0.2">
      <c r="A153" s="18">
        <v>45968</v>
      </c>
      <c r="B153">
        <v>6728.7998046875</v>
      </c>
      <c r="C153">
        <v>267.95999999999998</v>
      </c>
    </row>
    <row r="154" spans="1:3" x14ac:dyDescent="0.2">
      <c r="A154" s="18">
        <v>45971</v>
      </c>
      <c r="B154">
        <v>6832.43017578125</v>
      </c>
      <c r="C154">
        <v>269.18</v>
      </c>
    </row>
    <row r="155" spans="1:3" x14ac:dyDescent="0.2">
      <c r="A155" s="18">
        <v>45972</v>
      </c>
      <c r="B155">
        <v>6846.60986328125</v>
      </c>
      <c r="C155">
        <v>274.99</v>
      </c>
    </row>
    <row r="156" spans="1:3" x14ac:dyDescent="0.2">
      <c r="A156" s="18">
        <v>45973</v>
      </c>
      <c r="B156">
        <v>6850.919921875</v>
      </c>
      <c r="C156">
        <v>273.20999999999998</v>
      </c>
    </row>
    <row r="157" spans="1:3" x14ac:dyDescent="0.2">
      <c r="A157" s="18">
        <v>45974</v>
      </c>
      <c r="B157">
        <v>6737.490234375</v>
      </c>
      <c r="C157">
        <v>272.69</v>
      </c>
    </row>
    <row r="158" spans="1:3" x14ac:dyDescent="0.2">
      <c r="A158" s="18">
        <v>45975</v>
      </c>
      <c r="B158">
        <v>6734.10986328125</v>
      </c>
      <c r="C158">
        <v>272.16000000000003</v>
      </c>
    </row>
    <row r="159" spans="1:3" x14ac:dyDescent="0.2">
      <c r="A159" s="18">
        <v>45978</v>
      </c>
      <c r="B159">
        <v>6672.41015625</v>
      </c>
      <c r="C159">
        <v>267.20999999999998</v>
      </c>
    </row>
    <row r="160" spans="1:3" x14ac:dyDescent="0.2">
      <c r="A160" s="18">
        <v>45979</v>
      </c>
      <c r="B160">
        <v>6617.31982421875</v>
      </c>
      <c r="C160">
        <v>267.19</v>
      </c>
    </row>
    <row r="161" spans="1:3" x14ac:dyDescent="0.2">
      <c r="A161" s="18">
        <v>45980</v>
      </c>
      <c r="B161">
        <v>6642.16015625</v>
      </c>
      <c r="C161">
        <v>268.31</v>
      </c>
    </row>
    <row r="162" spans="1:3" x14ac:dyDescent="0.2">
      <c r="A162" s="18">
        <v>45981</v>
      </c>
      <c r="B162">
        <v>6538.759765625</v>
      </c>
      <c r="C162">
        <v>266</v>
      </c>
    </row>
    <row r="163" spans="1:3" x14ac:dyDescent="0.2">
      <c r="A163" s="18">
        <v>45982</v>
      </c>
      <c r="B163">
        <v>6602.990234375</v>
      </c>
      <c r="C163">
        <v>271.24</v>
      </c>
    </row>
    <row r="164" spans="1:3" x14ac:dyDescent="0.2">
      <c r="A164" s="18">
        <v>45985</v>
      </c>
      <c r="B164">
        <v>6705.1201171875</v>
      </c>
      <c r="C164">
        <v>275.66000000000003</v>
      </c>
    </row>
    <row r="165" spans="1:3" x14ac:dyDescent="0.2">
      <c r="A165" s="18">
        <v>45986</v>
      </c>
      <c r="B165">
        <v>6765.8798828125</v>
      </c>
      <c r="C165">
        <v>276.70999999999998</v>
      </c>
    </row>
    <row r="166" spans="1:3" x14ac:dyDescent="0.2">
      <c r="A166" s="18">
        <v>45987</v>
      </c>
      <c r="B166">
        <v>6812.60986328125</v>
      </c>
      <c r="C166">
        <v>277.29000000000002</v>
      </c>
    </row>
    <row r="167" spans="1:3" x14ac:dyDescent="0.2">
      <c r="A167" s="18">
        <v>45989</v>
      </c>
      <c r="B167">
        <v>6849.08984375</v>
      </c>
      <c r="C167">
        <v>278.58999999999997</v>
      </c>
    </row>
    <row r="168" spans="1:3" x14ac:dyDescent="0.2">
      <c r="A168" s="18">
        <v>45992</v>
      </c>
      <c r="B168">
        <v>6812.6298828125</v>
      </c>
      <c r="C168">
        <v>282.83999999999997</v>
      </c>
    </row>
    <row r="169" spans="1:3" x14ac:dyDescent="0.2">
      <c r="A169" s="18">
        <v>45993</v>
      </c>
      <c r="B169">
        <v>6829.3701171875</v>
      </c>
      <c r="C169">
        <v>285.92</v>
      </c>
    </row>
    <row r="170" spans="1:3" x14ac:dyDescent="0.2">
      <c r="A170" s="18">
        <v>45994</v>
      </c>
      <c r="B170">
        <v>6849.72021484375</v>
      </c>
      <c r="C170">
        <v>283.88</v>
      </c>
    </row>
    <row r="171" spans="1:3" x14ac:dyDescent="0.2">
      <c r="A171" s="18">
        <v>45995</v>
      </c>
      <c r="B171">
        <v>6857.1201171875</v>
      </c>
      <c r="C171">
        <v>280.44</v>
      </c>
    </row>
    <row r="172" spans="1:3" x14ac:dyDescent="0.2">
      <c r="A172" s="18">
        <v>45996</v>
      </c>
      <c r="B172">
        <v>6870.39990234375</v>
      </c>
      <c r="C172">
        <v>278.52</v>
      </c>
    </row>
    <row r="173" spans="1:3" x14ac:dyDescent="0.2">
      <c r="A173" s="18">
        <v>45999</v>
      </c>
      <c r="B173">
        <v>6846.509765625</v>
      </c>
      <c r="C173">
        <v>277.63</v>
      </c>
    </row>
    <row r="174" spans="1:3" x14ac:dyDescent="0.2">
      <c r="A174" s="18">
        <v>46000</v>
      </c>
      <c r="B174">
        <v>6840.509765625</v>
      </c>
      <c r="C174">
        <v>276.92</v>
      </c>
    </row>
    <row r="175" spans="1:3" x14ac:dyDescent="0.2">
      <c r="A175" s="18">
        <v>46001</v>
      </c>
      <c r="B175">
        <v>6886.68017578125</v>
      </c>
      <c r="C175">
        <v>278.52</v>
      </c>
    </row>
    <row r="176" spans="1:3" x14ac:dyDescent="0.2">
      <c r="A176" s="18">
        <v>46002</v>
      </c>
      <c r="B176">
        <v>6901</v>
      </c>
      <c r="C176">
        <v>277.77</v>
      </c>
    </row>
    <row r="177" spans="1:3" x14ac:dyDescent="0.2">
      <c r="A177" s="18">
        <v>46003</v>
      </c>
      <c r="B177">
        <v>6827.41015625</v>
      </c>
      <c r="C177">
        <v>278.02</v>
      </c>
    </row>
    <row r="178" spans="1:3" x14ac:dyDescent="0.2">
      <c r="A178" s="18">
        <v>46006</v>
      </c>
      <c r="B178">
        <v>6816.509765625</v>
      </c>
      <c r="C178">
        <v>273.85000000000002</v>
      </c>
    </row>
    <row r="179" spans="1:3" x14ac:dyDescent="0.2">
      <c r="A179" s="18">
        <v>46007</v>
      </c>
      <c r="B179">
        <v>6800.259765625</v>
      </c>
      <c r="C179">
        <v>274.35000000000002</v>
      </c>
    </row>
    <row r="180" spans="1:3" x14ac:dyDescent="0.2">
      <c r="A180" s="18">
        <v>46008</v>
      </c>
      <c r="B180">
        <v>6721.43017578125</v>
      </c>
      <c r="C180">
        <v>271.58999999999997</v>
      </c>
    </row>
    <row r="181" spans="1:3" x14ac:dyDescent="0.2">
      <c r="A181" s="18">
        <v>46009</v>
      </c>
      <c r="B181">
        <v>6774.759765625</v>
      </c>
      <c r="C181">
        <v>271.94</v>
      </c>
    </row>
    <row r="182" spans="1:3" x14ac:dyDescent="0.2">
      <c r="A182" s="18">
        <v>46010</v>
      </c>
      <c r="B182">
        <v>6834.5</v>
      </c>
      <c r="C182">
        <v>273.41000000000003</v>
      </c>
    </row>
    <row r="183" spans="1:3" x14ac:dyDescent="0.2">
      <c r="A183" s="18">
        <v>46013</v>
      </c>
      <c r="B183">
        <v>6878.490234375</v>
      </c>
      <c r="C183">
        <v>270.72000000000003</v>
      </c>
    </row>
    <row r="184" spans="1:3" x14ac:dyDescent="0.2">
      <c r="A184" s="18">
        <v>46014</v>
      </c>
      <c r="B184">
        <v>6909.7900390625</v>
      </c>
      <c r="C184">
        <v>272.11</v>
      </c>
    </row>
    <row r="185" spans="1:3" x14ac:dyDescent="0.2">
      <c r="A185" s="18">
        <v>46015</v>
      </c>
      <c r="B185">
        <v>6932.0498046875</v>
      </c>
      <c r="C185">
        <v>273.55</v>
      </c>
    </row>
    <row r="186" spans="1:3" x14ac:dyDescent="0.2">
      <c r="A186" s="18">
        <v>46017</v>
      </c>
      <c r="B186">
        <v>6929.93994140625</v>
      </c>
      <c r="C186">
        <v>273.14</v>
      </c>
    </row>
    <row r="187" spans="1:3" x14ac:dyDescent="0.2">
      <c r="A187" s="18">
        <v>46020</v>
      </c>
      <c r="B187">
        <v>6905.740234375</v>
      </c>
      <c r="C187">
        <v>273.5</v>
      </c>
    </row>
    <row r="188" spans="1:3" x14ac:dyDescent="0.2">
      <c r="A188" s="18">
        <v>46021</v>
      </c>
      <c r="B188">
        <v>6896.240234375</v>
      </c>
      <c r="C188">
        <v>272.82</v>
      </c>
    </row>
    <row r="189" spans="1:3" x14ac:dyDescent="0.2">
      <c r="A189" s="18">
        <v>46022</v>
      </c>
      <c r="B189">
        <v>6845.5</v>
      </c>
      <c r="C189">
        <v>271.61</v>
      </c>
    </row>
    <row r="190" spans="1:3" x14ac:dyDescent="0.2">
      <c r="A190" s="18">
        <v>46024</v>
      </c>
      <c r="B190">
        <v>6858.47021484375</v>
      </c>
      <c r="C190">
        <v>270.76</v>
      </c>
    </row>
    <row r="191" spans="1:3" x14ac:dyDescent="0.2">
      <c r="A191" s="18">
        <v>46027</v>
      </c>
      <c r="B191">
        <v>6902.0498046875</v>
      </c>
      <c r="C191">
        <v>267.01</v>
      </c>
    </row>
    <row r="192" spans="1:3" x14ac:dyDescent="0.2">
      <c r="A192" s="18">
        <v>46028</v>
      </c>
      <c r="B192">
        <v>6944.81982421875</v>
      </c>
      <c r="C192">
        <v>262.11</v>
      </c>
    </row>
    <row r="193" spans="1:3" x14ac:dyDescent="0.2">
      <c r="A193" s="18">
        <v>46029</v>
      </c>
      <c r="B193">
        <v>6920.93017578125</v>
      </c>
      <c r="C193">
        <v>260.08999999999997</v>
      </c>
    </row>
    <row r="194" spans="1:3" x14ac:dyDescent="0.2">
      <c r="A194" s="18">
        <v>46030</v>
      </c>
      <c r="B194">
        <v>6921.4599609375</v>
      </c>
      <c r="C194">
        <v>258.8</v>
      </c>
    </row>
    <row r="195" spans="1:3" x14ac:dyDescent="0.2">
      <c r="A195" s="18">
        <v>46031</v>
      </c>
      <c r="B195">
        <v>6966.27978515625</v>
      </c>
      <c r="C195">
        <v>259.13</v>
      </c>
    </row>
    <row r="196" spans="1:3" x14ac:dyDescent="0.2">
      <c r="A196" s="18">
        <v>46034</v>
      </c>
      <c r="B196">
        <v>6977.27001953125</v>
      </c>
      <c r="C196">
        <v>260.01</v>
      </c>
    </row>
    <row r="197" spans="1:3" x14ac:dyDescent="0.2">
      <c r="A197" s="18">
        <v>46035</v>
      </c>
      <c r="B197">
        <v>6963.740234375</v>
      </c>
      <c r="C197">
        <v>260.81</v>
      </c>
    </row>
    <row r="198" spans="1:3" x14ac:dyDescent="0.2">
      <c r="A198" s="18">
        <v>46036</v>
      </c>
      <c r="B198">
        <v>6926.60009765625</v>
      </c>
      <c r="C198">
        <v>259.72000000000003</v>
      </c>
    </row>
    <row r="199" spans="1:3" x14ac:dyDescent="0.2">
      <c r="A199" s="18">
        <v>46037</v>
      </c>
      <c r="B199">
        <v>6944.47021484375</v>
      </c>
      <c r="C199">
        <v>257.97000000000003</v>
      </c>
    </row>
    <row r="200" spans="1:3" x14ac:dyDescent="0.2">
      <c r="A200" s="18">
        <v>46038</v>
      </c>
      <c r="B200">
        <v>6940.009765625</v>
      </c>
      <c r="C200">
        <v>255.29</v>
      </c>
    </row>
    <row r="201" spans="1:3" x14ac:dyDescent="0.2">
      <c r="A201" s="18">
        <v>46042</v>
      </c>
      <c r="B201">
        <v>6796.85986328125</v>
      </c>
      <c r="C201">
        <v>246.47</v>
      </c>
    </row>
    <row r="202" spans="1:3" x14ac:dyDescent="0.2">
      <c r="A202" s="18">
        <v>46043</v>
      </c>
      <c r="B202">
        <v>6875.6201171875</v>
      </c>
      <c r="C202">
        <v>247.42</v>
      </c>
    </row>
    <row r="203" spans="1:3" x14ac:dyDescent="0.2">
      <c r="A203" s="18">
        <v>46044</v>
      </c>
      <c r="B203">
        <v>6913.35009765625</v>
      </c>
      <c r="C203">
        <v>248.12</v>
      </c>
    </row>
    <row r="204" spans="1:3" x14ac:dyDescent="0.2">
      <c r="A204" s="18">
        <v>46045</v>
      </c>
      <c r="B204">
        <v>6915.60986328125</v>
      </c>
      <c r="C204">
        <v>247.81</v>
      </c>
    </row>
    <row r="205" spans="1:3" x14ac:dyDescent="0.2">
      <c r="A205" s="18">
        <v>46048</v>
      </c>
      <c r="B205">
        <v>6950.22998046875</v>
      </c>
      <c r="C205">
        <v>255.17</v>
      </c>
    </row>
    <row r="206" spans="1:3" x14ac:dyDescent="0.2">
      <c r="A206" s="18">
        <v>46049</v>
      </c>
      <c r="B206">
        <v>6978.60009765625</v>
      </c>
      <c r="C206">
        <v>258.02999999999997</v>
      </c>
    </row>
    <row r="207" spans="1:3" x14ac:dyDescent="0.2">
      <c r="A207" s="18">
        <v>46050</v>
      </c>
      <c r="B207">
        <v>6978.02978515625</v>
      </c>
      <c r="C207">
        <v>256.2</v>
      </c>
    </row>
    <row r="208" spans="1:3" x14ac:dyDescent="0.2">
      <c r="A208" s="18">
        <v>46051</v>
      </c>
      <c r="B208">
        <v>6969.009765625</v>
      </c>
      <c r="C208">
        <v>258.04000000000002</v>
      </c>
    </row>
    <row r="209" spans="1:3" x14ac:dyDescent="0.2">
      <c r="A209" s="18">
        <v>46052</v>
      </c>
      <c r="B209">
        <v>6939.02978515625</v>
      </c>
      <c r="C209">
        <v>259.24</v>
      </c>
    </row>
    <row r="210" spans="1:3" x14ac:dyDescent="0.2">
      <c r="A210" s="18">
        <v>46055</v>
      </c>
      <c r="B210">
        <v>6976.43994140625</v>
      </c>
      <c r="C210">
        <v>269.76</v>
      </c>
    </row>
    <row r="211" spans="1:3" x14ac:dyDescent="0.2">
      <c r="A211" s="18">
        <v>46056</v>
      </c>
      <c r="B211">
        <v>6917.81005859375</v>
      </c>
      <c r="C211">
        <v>269.23</v>
      </c>
    </row>
    <row r="212" spans="1:3" x14ac:dyDescent="0.2">
      <c r="A212" s="18">
        <v>46057</v>
      </c>
      <c r="B212">
        <v>6882.72021484375</v>
      </c>
      <c r="C212">
        <v>276.23</v>
      </c>
    </row>
    <row r="213" spans="1:3" x14ac:dyDescent="0.2">
      <c r="A213" s="18">
        <v>46058</v>
      </c>
      <c r="B213">
        <v>6798.39990234375</v>
      </c>
      <c r="C213">
        <v>275.64999999999998</v>
      </c>
    </row>
    <row r="214" spans="1:3" x14ac:dyDescent="0.2">
      <c r="A214" s="18">
        <v>46059</v>
      </c>
      <c r="B214">
        <v>6932.2998046875</v>
      </c>
      <c r="C214">
        <v>277.86</v>
      </c>
    </row>
    <row r="215" spans="1:3" x14ac:dyDescent="0.2">
      <c r="A215" s="18">
        <v>46062</v>
      </c>
      <c r="B215">
        <v>6964.81982421875</v>
      </c>
      <c r="C215">
        <v>274.62</v>
      </c>
    </row>
    <row r="216" spans="1:3" x14ac:dyDescent="0.2">
      <c r="A216" s="18">
        <v>46063</v>
      </c>
      <c r="B216">
        <v>6941.81005859375</v>
      </c>
      <c r="C216">
        <v>273.68</v>
      </c>
    </row>
    <row r="217" spans="1:3" x14ac:dyDescent="0.2">
      <c r="A217" s="18">
        <v>46064</v>
      </c>
      <c r="B217">
        <v>6941.47021484375</v>
      </c>
      <c r="C217">
        <v>275.5</v>
      </c>
    </row>
    <row r="218" spans="1:3" x14ac:dyDescent="0.2">
      <c r="A218" s="18">
        <v>46065</v>
      </c>
      <c r="B218">
        <v>6832.759765625</v>
      </c>
      <c r="C218">
        <v>261.73</v>
      </c>
    </row>
    <row r="219" spans="1:3" x14ac:dyDescent="0.2">
      <c r="A219" s="18">
        <v>46066</v>
      </c>
      <c r="B219">
        <v>6836.169921875</v>
      </c>
      <c r="C219">
        <v>255.78</v>
      </c>
    </row>
    <row r="220" spans="1:3" x14ac:dyDescent="0.2">
      <c r="A220" s="18">
        <v>46070</v>
      </c>
      <c r="B220">
        <v>6843.22021484375</v>
      </c>
      <c r="C220">
        <v>263.88</v>
      </c>
    </row>
    <row r="221" spans="1:3" x14ac:dyDescent="0.2">
      <c r="A221" s="18">
        <v>46071</v>
      </c>
      <c r="B221">
        <v>6881.31005859375</v>
      </c>
      <c r="C221">
        <v>264.35000000000002</v>
      </c>
    </row>
    <row r="222" spans="1:3" x14ac:dyDescent="0.2">
      <c r="A222" s="18">
        <v>46072</v>
      </c>
      <c r="B222">
        <v>6861.89013671875</v>
      </c>
      <c r="C222">
        <v>260.58</v>
      </c>
    </row>
    <row r="223" spans="1:3" x14ac:dyDescent="0.2">
      <c r="A223" s="18">
        <v>46073</v>
      </c>
      <c r="B223">
        <v>6909.509765625</v>
      </c>
      <c r="C223">
        <v>264.58</v>
      </c>
    </row>
    <row r="224" spans="1:3" x14ac:dyDescent="0.2">
      <c r="A224" s="18">
        <v>46076</v>
      </c>
      <c r="B224">
        <v>6837.75</v>
      </c>
      <c r="C224">
        <v>266.18</v>
      </c>
    </row>
    <row r="225" spans="1:3" x14ac:dyDescent="0.2">
      <c r="A225" s="18">
        <v>46077</v>
      </c>
      <c r="B225">
        <v>6890.06982421875</v>
      </c>
      <c r="C225">
        <v>272.14</v>
      </c>
    </row>
    <row r="226" spans="1:3" x14ac:dyDescent="0.2">
      <c r="A226" s="18">
        <v>46078</v>
      </c>
      <c r="B226">
        <v>6946.1298828125</v>
      </c>
      <c r="C226">
        <v>274.23</v>
      </c>
    </row>
    <row r="227" spans="1:3" x14ac:dyDescent="0.2">
      <c r="A227" s="18">
        <v>46079</v>
      </c>
      <c r="B227">
        <v>6908.85986328125</v>
      </c>
      <c r="C227">
        <v>272.95</v>
      </c>
    </row>
    <row r="228" spans="1:3" x14ac:dyDescent="0.2">
      <c r="A228" s="18">
        <v>46080</v>
      </c>
      <c r="B228">
        <v>6878.8798828125</v>
      </c>
      <c r="C228">
        <v>264.18</v>
      </c>
    </row>
    <row r="229" spans="1:3" x14ac:dyDescent="0.2">
      <c r="A229" s="18">
        <v>46083</v>
      </c>
      <c r="B229">
        <v>6881.6201171875</v>
      </c>
      <c r="C229">
        <v>264.72000000000003</v>
      </c>
    </row>
    <row r="230" spans="1:3" x14ac:dyDescent="0.2">
      <c r="A230" s="18">
        <v>46084</v>
      </c>
      <c r="B230">
        <v>6816.6298828125</v>
      </c>
      <c r="C230">
        <v>263.75</v>
      </c>
    </row>
    <row r="231" spans="1:3" x14ac:dyDescent="0.2">
      <c r="A231" s="18">
        <v>46085</v>
      </c>
      <c r="B231">
        <v>6869.5</v>
      </c>
      <c r="C231">
        <v>262.52</v>
      </c>
    </row>
    <row r="232" spans="1:3" x14ac:dyDescent="0.2">
      <c r="A232" s="18">
        <v>46086</v>
      </c>
      <c r="B232">
        <v>6830.7099609375</v>
      </c>
      <c r="C232">
        <v>260.29000000000002</v>
      </c>
    </row>
    <row r="233" spans="1:3" x14ac:dyDescent="0.2">
      <c r="A233" s="18">
        <v>46087</v>
      </c>
      <c r="B233">
        <v>6740.02001953125</v>
      </c>
      <c r="C233">
        <v>257.45999999999998</v>
      </c>
    </row>
    <row r="234" spans="1:3" x14ac:dyDescent="0.2">
      <c r="A234" s="18">
        <v>46090</v>
      </c>
      <c r="B234">
        <v>6795.990234375</v>
      </c>
      <c r="C234">
        <v>259.88</v>
      </c>
    </row>
    <row r="235" spans="1:3" x14ac:dyDescent="0.2">
      <c r="A235" s="18">
        <v>46091</v>
      </c>
      <c r="B235">
        <v>6781.47998046875</v>
      </c>
      <c r="C235">
        <v>260.83</v>
      </c>
    </row>
    <row r="236" spans="1:3" x14ac:dyDescent="0.2">
      <c r="A236" s="18">
        <v>46092</v>
      </c>
      <c r="B236">
        <v>6775.7998046875</v>
      </c>
      <c r="C236">
        <v>260.81</v>
      </c>
    </row>
    <row r="237" spans="1:3" x14ac:dyDescent="0.2">
      <c r="A237" s="18">
        <v>46093</v>
      </c>
      <c r="B237">
        <v>6672.6201171875</v>
      </c>
      <c r="C237">
        <v>255.76</v>
      </c>
    </row>
    <row r="238" spans="1:3" x14ac:dyDescent="0.2">
      <c r="A238" s="18">
        <v>46094</v>
      </c>
      <c r="B238">
        <v>6632.18994140625</v>
      </c>
      <c r="C238">
        <v>250.12</v>
      </c>
    </row>
    <row r="239" spans="1:3" x14ac:dyDescent="0.2">
      <c r="A239" s="18">
        <v>46097</v>
      </c>
      <c r="B239">
        <v>6699.3798828125</v>
      </c>
      <c r="C239">
        <v>252.82</v>
      </c>
    </row>
    <row r="240" spans="1:3" x14ac:dyDescent="0.2">
      <c r="A240" s="18">
        <v>46098</v>
      </c>
      <c r="B240">
        <v>6716.08984375</v>
      </c>
      <c r="C240">
        <v>254.23</v>
      </c>
    </row>
    <row r="241" spans="1:3" x14ac:dyDescent="0.2">
      <c r="A241" s="18">
        <v>46099</v>
      </c>
      <c r="B241">
        <v>6624.7001953125</v>
      </c>
      <c r="C241">
        <v>249.94</v>
      </c>
    </row>
    <row r="242" spans="1:3" x14ac:dyDescent="0.2">
      <c r="A242" s="18">
        <v>46100</v>
      </c>
      <c r="B242">
        <v>6606.490234375</v>
      </c>
      <c r="C242">
        <v>248.96</v>
      </c>
    </row>
    <row r="243" spans="1:3" x14ac:dyDescent="0.2">
      <c r="A243" s="18">
        <v>46101</v>
      </c>
      <c r="B243">
        <v>6506.47998046875</v>
      </c>
      <c r="C243">
        <v>247.99</v>
      </c>
    </row>
    <row r="244" spans="1:3" x14ac:dyDescent="0.2">
      <c r="A244" s="18">
        <v>46104</v>
      </c>
      <c r="B244">
        <v>6581</v>
      </c>
      <c r="C244">
        <v>251.49</v>
      </c>
    </row>
    <row r="245" spans="1:3" x14ac:dyDescent="0.2">
      <c r="A245" s="18">
        <v>46105</v>
      </c>
      <c r="B245">
        <v>6556.3701171875</v>
      </c>
      <c r="C245">
        <v>251.64</v>
      </c>
    </row>
    <row r="246" spans="1:3" x14ac:dyDescent="0.2">
      <c r="A246" s="18">
        <v>46106</v>
      </c>
      <c r="B246">
        <v>6591.89990234375</v>
      </c>
      <c r="C246">
        <v>252.62</v>
      </c>
    </row>
    <row r="247" spans="1:3" x14ac:dyDescent="0.2">
      <c r="A247" s="18">
        <v>46107</v>
      </c>
      <c r="B247">
        <v>6477.16015625</v>
      </c>
      <c r="C247">
        <v>252.89</v>
      </c>
    </row>
    <row r="248" spans="1:3" x14ac:dyDescent="0.2">
      <c r="A248" s="18">
        <v>46108</v>
      </c>
      <c r="B248">
        <v>6368.85009765625</v>
      </c>
      <c r="C248">
        <v>248.8</v>
      </c>
    </row>
    <row r="249" spans="1:3" x14ac:dyDescent="0.2">
      <c r="A249" s="18">
        <v>46111</v>
      </c>
      <c r="B249">
        <v>6343.72021484375</v>
      </c>
      <c r="C249">
        <v>246.63</v>
      </c>
    </row>
    <row r="250" spans="1:3" x14ac:dyDescent="0.2">
      <c r="A250" s="18">
        <v>46112</v>
      </c>
      <c r="B250">
        <v>6528.52001953125</v>
      </c>
      <c r="C250">
        <v>253.79</v>
      </c>
    </row>
    <row r="251" spans="1:3" x14ac:dyDescent="0.2">
      <c r="A251" s="18">
        <v>46113</v>
      </c>
      <c r="B251">
        <v>6575.31982421875</v>
      </c>
      <c r="C251">
        <v>255.63</v>
      </c>
    </row>
    <row r="252" spans="1:3" x14ac:dyDescent="0.2">
      <c r="A252" s="18">
        <v>46114</v>
      </c>
      <c r="B252">
        <v>6582.68994140625</v>
      </c>
      <c r="C252">
        <v>255.92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1369-BA68-3744-BA3A-556B32434970}">
  <dimension ref="A2:H40"/>
  <sheetViews>
    <sheetView tabSelected="1" topLeftCell="A29" workbookViewId="0">
      <selection activeCell="J38" sqref="J38"/>
    </sheetView>
  </sheetViews>
  <sheetFormatPr baseColWidth="10" defaultColWidth="8.83203125" defaultRowHeight="15" x14ac:dyDescent="0.2"/>
  <cols>
    <col min="8" max="8" width="27.1640625" customWidth="1"/>
  </cols>
  <sheetData>
    <row r="2" spans="1:5" ht="17" x14ac:dyDescent="0.2">
      <c r="A2" s="23" t="s">
        <v>2239</v>
      </c>
      <c r="B2" s="23" t="s">
        <v>2240</v>
      </c>
      <c r="C2" s="23" t="s">
        <v>2241</v>
      </c>
      <c r="D2" s="23" t="s">
        <v>2242</v>
      </c>
      <c r="E2" s="23" t="s">
        <v>2243</v>
      </c>
    </row>
    <row r="3" spans="1:5" ht="16" x14ac:dyDescent="0.2">
      <c r="A3" s="22" t="s">
        <v>2244</v>
      </c>
      <c r="B3" s="22">
        <v>394328</v>
      </c>
      <c r="C3" s="22">
        <v>383285</v>
      </c>
      <c r="D3" s="22">
        <v>391035</v>
      </c>
      <c r="E3" s="22">
        <v>416161</v>
      </c>
    </row>
    <row r="4" spans="1:5" ht="32" x14ac:dyDescent="0.2">
      <c r="A4" s="22" t="s">
        <v>201</v>
      </c>
      <c r="B4" s="22">
        <v>170782</v>
      </c>
      <c r="C4" s="22">
        <v>169148</v>
      </c>
      <c r="D4" s="22">
        <v>180683</v>
      </c>
      <c r="E4" s="22">
        <v>195201</v>
      </c>
    </row>
    <row r="5" spans="1:5" ht="32" x14ac:dyDescent="0.2">
      <c r="A5" s="22" t="s">
        <v>221</v>
      </c>
      <c r="B5" s="22">
        <v>119437</v>
      </c>
      <c r="C5" s="22">
        <v>114301</v>
      </c>
      <c r="D5" s="22">
        <v>123216</v>
      </c>
      <c r="E5" s="22">
        <v>133050</v>
      </c>
    </row>
    <row r="6" spans="1:5" ht="32" x14ac:dyDescent="0.2">
      <c r="A6" s="22" t="s">
        <v>252</v>
      </c>
      <c r="B6" s="22">
        <v>99803</v>
      </c>
      <c r="C6" s="22">
        <v>96995</v>
      </c>
      <c r="D6" s="22">
        <v>93736</v>
      </c>
      <c r="E6" s="22">
        <v>112010</v>
      </c>
    </row>
    <row r="7" spans="1:5" ht="32" x14ac:dyDescent="0.2">
      <c r="A7" s="22" t="s">
        <v>298</v>
      </c>
      <c r="B7" s="22">
        <v>352755</v>
      </c>
      <c r="C7" s="22">
        <v>352583</v>
      </c>
      <c r="D7" s="22">
        <v>364980</v>
      </c>
      <c r="E7" s="22">
        <v>359241</v>
      </c>
    </row>
    <row r="8" spans="1:5" ht="32" x14ac:dyDescent="0.2">
      <c r="A8" s="22" t="s">
        <v>2245</v>
      </c>
      <c r="B8" s="22">
        <v>50672</v>
      </c>
      <c r="C8" s="22">
        <v>62146</v>
      </c>
      <c r="D8" s="22">
        <v>56950</v>
      </c>
      <c r="E8" s="22">
        <v>73733</v>
      </c>
    </row>
    <row r="9" spans="1:5" ht="32" x14ac:dyDescent="0.2">
      <c r="A9" s="22" t="s">
        <v>303</v>
      </c>
      <c r="B9" s="22">
        <v>135405</v>
      </c>
      <c r="C9" s="22">
        <v>143566</v>
      </c>
      <c r="D9" s="22">
        <v>152987</v>
      </c>
      <c r="E9" s="22">
        <v>147957</v>
      </c>
    </row>
    <row r="10" spans="1:5" ht="32" x14ac:dyDescent="0.2">
      <c r="A10" s="22" t="s">
        <v>419</v>
      </c>
      <c r="B10" s="22">
        <v>153982</v>
      </c>
      <c r="C10" s="22">
        <v>145308</v>
      </c>
      <c r="D10" s="22">
        <v>176392</v>
      </c>
      <c r="E10" s="22">
        <v>165631</v>
      </c>
    </row>
    <row r="11" spans="1:5" ht="16" x14ac:dyDescent="0.2">
      <c r="A11" s="22" t="s">
        <v>316</v>
      </c>
      <c r="B11" s="22">
        <v>23646</v>
      </c>
      <c r="C11" s="22">
        <v>29965</v>
      </c>
      <c r="D11" s="22">
        <v>29943</v>
      </c>
      <c r="E11" s="22">
        <v>35934</v>
      </c>
    </row>
    <row r="12" spans="1:5" ht="16" x14ac:dyDescent="0.2">
      <c r="A12" s="22" t="s">
        <v>346</v>
      </c>
      <c r="B12" s="22">
        <v>4946</v>
      </c>
      <c r="C12" s="22">
        <v>6331</v>
      </c>
      <c r="D12" s="22">
        <v>7286</v>
      </c>
      <c r="E12" s="22">
        <v>5718</v>
      </c>
    </row>
    <row r="13" spans="1:5" ht="32" x14ac:dyDescent="0.2">
      <c r="A13" s="22" t="s">
        <v>2246</v>
      </c>
      <c r="B13" s="22">
        <v>14841</v>
      </c>
      <c r="C13" s="22">
        <v>15025</v>
      </c>
      <c r="D13" s="22">
        <v>15234</v>
      </c>
      <c r="E13" s="22">
        <v>15421</v>
      </c>
    </row>
    <row r="14" spans="1:5" ht="48" x14ac:dyDescent="0.2">
      <c r="A14" s="22" t="s">
        <v>14</v>
      </c>
      <c r="B14" s="22">
        <v>16215963</v>
      </c>
      <c r="C14" s="22">
        <v>15744231</v>
      </c>
      <c r="D14" s="22">
        <v>15116786</v>
      </c>
      <c r="E14" s="22">
        <v>14773260</v>
      </c>
    </row>
    <row r="15" spans="1:5" ht="32" x14ac:dyDescent="0.2">
      <c r="A15" s="22" t="s">
        <v>2247</v>
      </c>
      <c r="B15" s="22">
        <v>302083</v>
      </c>
      <c r="C15" s="22">
        <v>290437</v>
      </c>
      <c r="D15" s="22">
        <v>308030</v>
      </c>
      <c r="E15" s="22">
        <v>285508</v>
      </c>
    </row>
    <row r="18" spans="2:8" ht="34" x14ac:dyDescent="0.2">
      <c r="B18" s="23" t="s">
        <v>2248</v>
      </c>
      <c r="C18" s="23" t="s">
        <v>2249</v>
      </c>
      <c r="D18" s="23" t="s">
        <v>2240</v>
      </c>
      <c r="E18" s="23" t="s">
        <v>2241</v>
      </c>
      <c r="F18" s="23" t="s">
        <v>2242</v>
      </c>
      <c r="G18" s="23" t="s">
        <v>2243</v>
      </c>
      <c r="H18" s="23" t="s">
        <v>2250</v>
      </c>
    </row>
    <row r="19" spans="2:8" ht="64" x14ac:dyDescent="0.2">
      <c r="B19" s="22" t="s">
        <v>2251</v>
      </c>
      <c r="C19" s="22" t="s">
        <v>2252</v>
      </c>
      <c r="D19" s="22">
        <f>B4/B3</f>
        <v>0.43309630561360085</v>
      </c>
      <c r="E19" s="22">
        <f>C4/C3</f>
        <v>0.44131129577207562</v>
      </c>
      <c r="F19" s="22">
        <f>D4/D3</f>
        <v>0.46206349815233932</v>
      </c>
      <c r="G19" s="22">
        <f>E4/E3</f>
        <v>0.46905164107160452</v>
      </c>
      <c r="H19" s="22" t="s">
        <v>2253</v>
      </c>
    </row>
    <row r="20" spans="2:8" ht="64" x14ac:dyDescent="0.2">
      <c r="B20" s="22" t="s">
        <v>2254</v>
      </c>
      <c r="C20" s="22" t="s">
        <v>2255</v>
      </c>
      <c r="D20" s="22">
        <f>B5/B3</f>
        <v>0.30288744395528594</v>
      </c>
      <c r="E20" s="22">
        <f>C5/C3</f>
        <v>0.29821412265024722</v>
      </c>
      <c r="F20" s="22">
        <f>D5/D3</f>
        <v>0.31510222870075566</v>
      </c>
      <c r="G20" s="22">
        <f>E5/E3</f>
        <v>0.31970799762591884</v>
      </c>
      <c r="H20" s="22" t="s">
        <v>2256</v>
      </c>
    </row>
    <row r="21" spans="2:8" ht="64" x14ac:dyDescent="0.2">
      <c r="B21" s="22" t="s">
        <v>2257</v>
      </c>
      <c r="C21" s="22" t="s">
        <v>2258</v>
      </c>
      <c r="D21" s="22">
        <f>B6/B3</f>
        <v>0.25309640705199732</v>
      </c>
      <c r="E21" s="22">
        <f>C6/C3</f>
        <v>0.25306234264320282</v>
      </c>
      <c r="F21" s="22">
        <f>D6/D3</f>
        <v>0.23971255769943867</v>
      </c>
      <c r="G21" s="22">
        <f>E6/E3</f>
        <v>0.26915064121818238</v>
      </c>
      <c r="H21" s="22" t="s">
        <v>2259</v>
      </c>
    </row>
    <row r="22" spans="2:8" ht="64" x14ac:dyDescent="0.2">
      <c r="B22" s="22" t="s">
        <v>2260</v>
      </c>
      <c r="C22" s="22" t="s">
        <v>2261</v>
      </c>
      <c r="D22" s="22">
        <f>B6/B7</f>
        <v>0.28292440929256851</v>
      </c>
      <c r="E22" s="22">
        <f>C6/C7</f>
        <v>0.27509834563776475</v>
      </c>
      <c r="F22" s="22">
        <f>D6/D7</f>
        <v>0.25682503150857583</v>
      </c>
      <c r="G22" s="22">
        <f>E6/E7</f>
        <v>0.31179625933565491</v>
      </c>
      <c r="H22" s="22" t="s">
        <v>2262</v>
      </c>
    </row>
    <row r="23" spans="2:8" ht="64" x14ac:dyDescent="0.2">
      <c r="B23" s="22" t="s">
        <v>2263</v>
      </c>
      <c r="C23" s="22" t="s">
        <v>2264</v>
      </c>
      <c r="D23" s="22">
        <f>B6/B8</f>
        <v>1.9695887275023682</v>
      </c>
      <c r="E23" s="22">
        <f>C6/C8</f>
        <v>1.5607601454639075</v>
      </c>
      <c r="F23" s="22">
        <f>D6/D8</f>
        <v>1.6459350307287095</v>
      </c>
      <c r="G23" s="22">
        <f>E6/E8</f>
        <v>1.5191298333175105</v>
      </c>
      <c r="H23" s="22" t="s">
        <v>2265</v>
      </c>
    </row>
    <row r="24" spans="2:8" ht="80" x14ac:dyDescent="0.2">
      <c r="B24" s="22" t="s">
        <v>2266</v>
      </c>
      <c r="C24" s="22" t="s">
        <v>2267</v>
      </c>
      <c r="D24" s="22">
        <f>B6/B14</f>
        <v>6.1546144376377768E-3</v>
      </c>
      <c r="E24" s="22">
        <f>C6/C14</f>
        <v>6.1606692635543777E-3</v>
      </c>
      <c r="F24" s="22">
        <f>D6/D14</f>
        <v>6.200788977233653E-3</v>
      </c>
      <c r="G24" s="22">
        <f>E6/E14</f>
        <v>7.5819419681234877E-3</v>
      </c>
      <c r="H24" s="22" t="s">
        <v>2268</v>
      </c>
    </row>
    <row r="28" spans="2:8" ht="34" x14ac:dyDescent="0.2">
      <c r="B28" s="23" t="s">
        <v>2248</v>
      </c>
      <c r="C28" s="23" t="s">
        <v>2249</v>
      </c>
      <c r="D28" s="23" t="s">
        <v>2240</v>
      </c>
      <c r="E28" s="23" t="s">
        <v>2241</v>
      </c>
      <c r="F28" s="23" t="s">
        <v>2242</v>
      </c>
      <c r="G28" s="23" t="s">
        <v>2243</v>
      </c>
      <c r="H28" s="23" t="s">
        <v>2250</v>
      </c>
    </row>
    <row r="29" spans="2:8" ht="64" x14ac:dyDescent="0.2">
      <c r="B29" s="22" t="s">
        <v>2269</v>
      </c>
      <c r="C29" s="22" t="s">
        <v>2270</v>
      </c>
      <c r="D29" s="22">
        <f>B9/B10</f>
        <v>0.87935602862672257</v>
      </c>
      <c r="E29" s="22">
        <f>C9/C10</f>
        <v>0.98801167175929749</v>
      </c>
      <c r="F29" s="22">
        <f>D9/D10</f>
        <v>0.86731257653408322</v>
      </c>
      <c r="G29" s="22">
        <f>E9/E10</f>
        <v>0.89329292221866674</v>
      </c>
      <c r="H29" s="22" t="s">
        <v>2290</v>
      </c>
    </row>
    <row r="30" spans="2:8" ht="80" x14ac:dyDescent="0.2">
      <c r="B30" s="22" t="s">
        <v>2271</v>
      </c>
      <c r="C30" s="22" t="s">
        <v>2272</v>
      </c>
      <c r="D30" s="22">
        <f>(B9-B12)/B10</f>
        <v>0.84723539114961488</v>
      </c>
      <c r="E30" s="22">
        <f>(C9-C12)/C10</f>
        <v>0.94444215046659508</v>
      </c>
      <c r="F30" s="22">
        <f>(D9-D12)/D10</f>
        <v>0.82600684838314664</v>
      </c>
      <c r="G30" s="22">
        <f>(E9-E12)/E10</f>
        <v>0.85877039926100796</v>
      </c>
      <c r="H30" s="22" t="s">
        <v>2273</v>
      </c>
    </row>
    <row r="31" spans="2:8" ht="48" x14ac:dyDescent="0.2">
      <c r="B31" s="22" t="s">
        <v>2274</v>
      </c>
      <c r="C31" s="22" t="s">
        <v>2275</v>
      </c>
      <c r="D31" s="22">
        <f>B11/B10</f>
        <v>0.15356340351469652</v>
      </c>
      <c r="E31" s="22">
        <f>C11/C10</f>
        <v>0.20621713876730807</v>
      </c>
      <c r="F31" s="22">
        <f>D11/D10</f>
        <v>0.16975259648963673</v>
      </c>
      <c r="G31" s="22">
        <f>E11/E10</f>
        <v>0.21695214060169896</v>
      </c>
      <c r="H31" s="22" t="s">
        <v>2276</v>
      </c>
    </row>
    <row r="35" spans="2:8" ht="16" x14ac:dyDescent="0.2">
      <c r="B35" s="23"/>
      <c r="C35" s="23"/>
      <c r="D35" s="23"/>
      <c r="E35" s="23"/>
      <c r="F35" s="23"/>
      <c r="G35" s="23"/>
      <c r="H35" s="23"/>
    </row>
    <row r="36" spans="2:8" ht="17" x14ac:dyDescent="0.2">
      <c r="B36" s="23" t="s">
        <v>2248</v>
      </c>
      <c r="C36" s="23" t="s">
        <v>2249</v>
      </c>
      <c r="D36" s="23" t="s">
        <v>2240</v>
      </c>
      <c r="E36" s="23" t="s">
        <v>2241</v>
      </c>
      <c r="F36" s="23" t="s">
        <v>2242</v>
      </c>
      <c r="G36" s="23" t="s">
        <v>2243</v>
      </c>
      <c r="H36" s="23" t="s">
        <v>2250</v>
      </c>
    </row>
    <row r="37" spans="2:8" ht="48" x14ac:dyDescent="0.2">
      <c r="B37" s="22" t="s">
        <v>2277</v>
      </c>
      <c r="C37" s="22" t="s">
        <v>2278</v>
      </c>
      <c r="D37" s="22" t="s">
        <v>2279</v>
      </c>
      <c r="E37" s="22" t="s">
        <v>2279</v>
      </c>
      <c r="F37" s="22" t="s">
        <v>2279</v>
      </c>
      <c r="G37" s="22" t="s">
        <v>2279</v>
      </c>
      <c r="H37" s="22" t="s">
        <v>2280</v>
      </c>
    </row>
    <row r="38" spans="2:8" ht="48" x14ac:dyDescent="0.2">
      <c r="B38" s="22" t="s">
        <v>2281</v>
      </c>
      <c r="C38" s="22" t="s">
        <v>2282</v>
      </c>
      <c r="D38" s="22">
        <f>B13/B6</f>
        <v>0.14870294480125848</v>
      </c>
      <c r="E38" s="22">
        <f>C13/C6</f>
        <v>0.1549048920047425</v>
      </c>
      <c r="F38" s="22">
        <f>D13/D6</f>
        <v>0.16252026969360758</v>
      </c>
      <c r="G38" s="22">
        <f>E13/E6</f>
        <v>0.13767520757075261</v>
      </c>
      <c r="H38" s="22" t="s">
        <v>2283</v>
      </c>
    </row>
    <row r="39" spans="2:8" ht="64" x14ac:dyDescent="0.2">
      <c r="B39" s="22" t="s">
        <v>2284</v>
      </c>
      <c r="C39" s="22" t="s">
        <v>2285</v>
      </c>
      <c r="D39" s="22">
        <f>B15/B8</f>
        <v>5.9615369434796337</v>
      </c>
      <c r="E39" s="22">
        <f>C15/C8</f>
        <v>4.6734624915521517</v>
      </c>
      <c r="F39" s="22">
        <f>D15/D8</f>
        <v>5.408779631255487</v>
      </c>
      <c r="G39" s="22">
        <f>E15/E8</f>
        <v>3.8721874872852049</v>
      </c>
      <c r="H39" s="22" t="s">
        <v>2286</v>
      </c>
    </row>
    <row r="40" spans="2:8" ht="48" x14ac:dyDescent="0.2">
      <c r="B40" s="22" t="s">
        <v>2287</v>
      </c>
      <c r="C40" s="22" t="s">
        <v>2288</v>
      </c>
      <c r="D40" s="22">
        <f>(B6/B8)*(1-(B13/B6))</f>
        <v>1.6767050836754027</v>
      </c>
      <c r="E40" s="22">
        <f>(C6/C8)*(1-(C13/C6))</f>
        <v>1.3189907636855147</v>
      </c>
      <c r="F40" s="22">
        <f>(D6/D8)*(1-(D13/D6))</f>
        <v>1.3784372256365234</v>
      </c>
      <c r="G40" s="22">
        <f>(E6/E8)*(1-(E13/E6))</f>
        <v>1.3099833181885996</v>
      </c>
      <c r="H40" s="22" t="s">
        <v>2289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1A4C5-6CEE-2F44-9ACE-7FD357ED8F4F}">
  <dimension ref="A1:Q252"/>
  <sheetViews>
    <sheetView topLeftCell="G1" zoomScale="104" workbookViewId="0">
      <selection activeCell="F15" sqref="F15:P32"/>
    </sheetView>
  </sheetViews>
  <sheetFormatPr baseColWidth="10" defaultRowHeight="15" x14ac:dyDescent="0.2"/>
  <cols>
    <col min="1" max="1" width="17.6640625" bestFit="1" customWidth="1"/>
    <col min="2" max="3" width="8.83203125"/>
    <col min="7" max="7" width="12.33203125" bestFit="1" customWidth="1"/>
  </cols>
  <sheetData>
    <row r="1" spans="1:17" x14ac:dyDescent="0.2">
      <c r="A1" s="19" t="s">
        <v>0</v>
      </c>
      <c r="B1" s="19" t="s">
        <v>2214</v>
      </c>
      <c r="C1" s="19" t="s">
        <v>2215</v>
      </c>
      <c r="D1" t="s">
        <v>2187</v>
      </c>
      <c r="E1" t="s">
        <v>2188</v>
      </c>
      <c r="Q1" s="8"/>
    </row>
    <row r="2" spans="1:17" x14ac:dyDescent="0.2">
      <c r="A2" s="18">
        <v>45750</v>
      </c>
      <c r="B2">
        <v>202.31</v>
      </c>
      <c r="C2">
        <v>5396.52001953125</v>
      </c>
      <c r="L2" s="11" t="s">
        <v>26</v>
      </c>
      <c r="M2" s="13">
        <f>0.03+1.28*(0.14-0.03)</f>
        <v>0.17080000000000001</v>
      </c>
      <c r="Q2" s="8"/>
    </row>
    <row r="3" spans="1:17" x14ac:dyDescent="0.2">
      <c r="A3" s="18">
        <v>45751</v>
      </c>
      <c r="B3">
        <v>187.56</v>
      </c>
      <c r="C3">
        <v>5074.080078125</v>
      </c>
      <c r="D3" s="8">
        <f>(B3/B2)-1</f>
        <v>-7.2907913597943796E-2</v>
      </c>
      <c r="E3">
        <f>(C3-C2)-1</f>
        <v>-323.43994140625</v>
      </c>
      <c r="Q3" s="8"/>
    </row>
    <row r="4" spans="1:17" x14ac:dyDescent="0.2">
      <c r="A4" s="18">
        <v>45754</v>
      </c>
      <c r="B4">
        <v>180.67</v>
      </c>
      <c r="C4">
        <v>5062.25</v>
      </c>
      <c r="D4" s="8">
        <f t="shared" ref="D4:D67" si="0">(B4/B3)-1</f>
        <v>-3.6734911494988309E-2</v>
      </c>
      <c r="E4">
        <f t="shared" ref="E4:E67" si="1">(C4-C3)-1</f>
        <v>-12.830078125</v>
      </c>
      <c r="G4">
        <f>SLOPE(D3:D252,E3:E252)</f>
        <v>2.1147163010440712E-4</v>
      </c>
      <c r="Q4" s="8"/>
    </row>
    <row r="5" spans="1:17" x14ac:dyDescent="0.2">
      <c r="A5" s="18">
        <v>45755</v>
      </c>
      <c r="B5">
        <v>171.67</v>
      </c>
      <c r="C5">
        <v>4982.77001953125</v>
      </c>
      <c r="D5" s="8">
        <f t="shared" si="0"/>
        <v>-4.9814579066806863E-2</v>
      </c>
      <c r="E5">
        <f t="shared" si="1"/>
        <v>-80.47998046875</v>
      </c>
      <c r="Q5" s="8"/>
    </row>
    <row r="6" spans="1:17" x14ac:dyDescent="0.2">
      <c r="A6" s="18">
        <v>45756</v>
      </c>
      <c r="B6">
        <v>197.99</v>
      </c>
      <c r="C6">
        <v>5456.89990234375</v>
      </c>
      <c r="D6" s="8">
        <f t="shared" si="0"/>
        <v>0.15331741131240184</v>
      </c>
      <c r="E6">
        <f t="shared" si="1"/>
        <v>473.1298828125</v>
      </c>
      <c r="Q6" s="8"/>
    </row>
    <row r="7" spans="1:17" x14ac:dyDescent="0.2">
      <c r="A7" s="18">
        <v>45757</v>
      </c>
      <c r="B7">
        <v>189.59</v>
      </c>
      <c r="C7">
        <v>5268.0498046875</v>
      </c>
      <c r="D7" s="8">
        <f t="shared" si="0"/>
        <v>-4.2426385170968306E-2</v>
      </c>
      <c r="E7">
        <f t="shared" si="1"/>
        <v>-189.85009765625</v>
      </c>
      <c r="Q7" s="8"/>
    </row>
    <row r="8" spans="1:17" x14ac:dyDescent="0.2">
      <c r="A8" s="18">
        <v>45758</v>
      </c>
      <c r="B8">
        <v>197.29</v>
      </c>
      <c r="C8">
        <v>5363.35986328125</v>
      </c>
      <c r="D8" s="8">
        <f t="shared" si="0"/>
        <v>4.0613956432301146E-2</v>
      </c>
      <c r="E8">
        <f t="shared" si="1"/>
        <v>94.31005859375</v>
      </c>
      <c r="Q8" s="8"/>
    </row>
    <row r="9" spans="1:17" x14ac:dyDescent="0.2">
      <c r="A9" s="18">
        <v>45761</v>
      </c>
      <c r="B9">
        <v>201.64</v>
      </c>
      <c r="C9">
        <v>5405.97021484375</v>
      </c>
      <c r="D9" s="8">
        <f t="shared" si="0"/>
        <v>2.2048760707587878E-2</v>
      </c>
      <c r="E9">
        <f t="shared" si="1"/>
        <v>41.6103515625</v>
      </c>
      <c r="Q9" s="8"/>
    </row>
    <row r="10" spans="1:17" x14ac:dyDescent="0.2">
      <c r="A10" s="18">
        <v>45762</v>
      </c>
      <c r="B10">
        <v>201.26</v>
      </c>
      <c r="C10">
        <v>5396.6298828125</v>
      </c>
      <c r="D10" s="8">
        <f t="shared" si="0"/>
        <v>-1.884546716921176E-3</v>
      </c>
      <c r="E10">
        <f t="shared" si="1"/>
        <v>-10.34033203125</v>
      </c>
      <c r="Q10" s="8"/>
    </row>
    <row r="11" spans="1:17" x14ac:dyDescent="0.2">
      <c r="A11" s="18">
        <v>45763</v>
      </c>
      <c r="B11">
        <v>193.43</v>
      </c>
      <c r="C11">
        <v>5275.7001953125</v>
      </c>
      <c r="D11" s="8">
        <f t="shared" si="0"/>
        <v>-3.8904899135446591E-2</v>
      </c>
      <c r="E11">
        <f t="shared" si="1"/>
        <v>-121.9296875</v>
      </c>
      <c r="Q11" s="8"/>
    </row>
    <row r="12" spans="1:17" x14ac:dyDescent="0.2">
      <c r="A12" s="18">
        <v>45764</v>
      </c>
      <c r="B12">
        <v>196.13</v>
      </c>
      <c r="C12">
        <v>5282.7001953125</v>
      </c>
      <c r="D12" s="8">
        <f t="shared" si="0"/>
        <v>1.3958537972392993E-2</v>
      </c>
      <c r="E12">
        <f t="shared" si="1"/>
        <v>6</v>
      </c>
      <c r="Q12" s="8"/>
    </row>
    <row r="13" spans="1:17" x14ac:dyDescent="0.2">
      <c r="A13" s="18">
        <v>45768</v>
      </c>
      <c r="B13">
        <v>192.32</v>
      </c>
      <c r="C13">
        <v>5158.2001953125</v>
      </c>
      <c r="D13" s="8">
        <f t="shared" si="0"/>
        <v>-1.9425890990669492E-2</v>
      </c>
      <c r="E13">
        <f t="shared" si="1"/>
        <v>-125.5</v>
      </c>
      <c r="Q13" s="8"/>
    </row>
    <row r="14" spans="1:17" x14ac:dyDescent="0.2">
      <c r="A14" s="18">
        <v>45769</v>
      </c>
      <c r="B14">
        <v>198.87</v>
      </c>
      <c r="C14">
        <v>5287.759765625</v>
      </c>
      <c r="D14" s="8">
        <f t="shared" si="0"/>
        <v>3.4057820299500996E-2</v>
      </c>
      <c r="E14">
        <f t="shared" si="1"/>
        <v>128.5595703125</v>
      </c>
      <c r="Q14" s="8"/>
    </row>
    <row r="15" spans="1:17" x14ac:dyDescent="0.2">
      <c r="A15" s="18">
        <v>45770</v>
      </c>
      <c r="B15">
        <v>203.71</v>
      </c>
      <c r="C15">
        <v>5375.85986328125</v>
      </c>
      <c r="D15" s="8">
        <f t="shared" si="0"/>
        <v>2.4337506914064555E-2</v>
      </c>
      <c r="E15">
        <f t="shared" si="1"/>
        <v>87.10009765625</v>
      </c>
      <c r="F15" t="s">
        <v>2189</v>
      </c>
      <c r="Q15" s="8"/>
    </row>
    <row r="16" spans="1:17" ht="16" thickBot="1" x14ac:dyDescent="0.25">
      <c r="A16" s="18">
        <v>45771</v>
      </c>
      <c r="B16">
        <v>207.47</v>
      </c>
      <c r="C16">
        <v>5484.77001953125</v>
      </c>
      <c r="D16" s="8">
        <f t="shared" si="0"/>
        <v>1.8457611310195743E-2</v>
      </c>
      <c r="E16">
        <f t="shared" si="1"/>
        <v>107.91015625</v>
      </c>
      <c r="Q16" s="8"/>
    </row>
    <row r="17" spans="1:17" x14ac:dyDescent="0.2">
      <c r="A17" s="18">
        <v>45772</v>
      </c>
      <c r="B17">
        <v>208.37</v>
      </c>
      <c r="C17">
        <v>5525.2099609375</v>
      </c>
      <c r="D17" s="8">
        <f t="shared" si="0"/>
        <v>4.3379765749265164E-3</v>
      </c>
      <c r="E17">
        <f t="shared" si="1"/>
        <v>39.43994140625</v>
      </c>
      <c r="F17" s="17" t="s">
        <v>2190</v>
      </c>
      <c r="G17" s="17"/>
      <c r="Q17" s="8"/>
    </row>
    <row r="18" spans="1:17" x14ac:dyDescent="0.2">
      <c r="A18" s="18">
        <v>45775</v>
      </c>
      <c r="B18">
        <v>209.23</v>
      </c>
      <c r="C18">
        <v>5528.75</v>
      </c>
      <c r="D18" s="8">
        <f t="shared" si="0"/>
        <v>4.1272735998463261E-3</v>
      </c>
      <c r="E18">
        <f t="shared" si="1"/>
        <v>2.5400390625</v>
      </c>
      <c r="F18" t="s">
        <v>2191</v>
      </c>
      <c r="G18">
        <v>0.7167820256230345</v>
      </c>
      <c r="Q18" s="8"/>
    </row>
    <row r="19" spans="1:17" x14ac:dyDescent="0.2">
      <c r="A19" s="18">
        <v>45776</v>
      </c>
      <c r="B19">
        <v>210.29</v>
      </c>
      <c r="C19">
        <v>5560.830078125</v>
      </c>
      <c r="D19" s="8">
        <f t="shared" si="0"/>
        <v>5.0661950963055702E-3</v>
      </c>
      <c r="E19">
        <f t="shared" si="1"/>
        <v>31.080078125</v>
      </c>
      <c r="F19" t="s">
        <v>2192</v>
      </c>
      <c r="G19">
        <v>0.51377647225626055</v>
      </c>
      <c r="Q19" s="8"/>
    </row>
    <row r="20" spans="1:17" x14ac:dyDescent="0.2">
      <c r="A20" s="18">
        <v>45777</v>
      </c>
      <c r="B20">
        <v>211.58</v>
      </c>
      <c r="C20">
        <v>5569.06005859375</v>
      </c>
      <c r="D20" s="8">
        <f t="shared" si="0"/>
        <v>6.134385848114654E-3</v>
      </c>
      <c r="E20">
        <f t="shared" si="1"/>
        <v>7.22998046875</v>
      </c>
      <c r="F20" t="s">
        <v>2193</v>
      </c>
      <c r="G20">
        <v>0.51181589351535839</v>
      </c>
      <c r="Q20" s="8"/>
    </row>
    <row r="21" spans="1:17" x14ac:dyDescent="0.2">
      <c r="A21" s="18">
        <v>45778</v>
      </c>
      <c r="B21">
        <v>212.39</v>
      </c>
      <c r="C21">
        <v>5604.14013671875</v>
      </c>
      <c r="D21" s="8">
        <f t="shared" si="0"/>
        <v>3.8283391624915897E-3</v>
      </c>
      <c r="E21">
        <f t="shared" si="1"/>
        <v>34.080078125</v>
      </c>
      <c r="F21" t="s">
        <v>2194</v>
      </c>
      <c r="G21">
        <v>1.3343039030294896E-2</v>
      </c>
      <c r="Q21" s="8"/>
    </row>
    <row r="22" spans="1:17" ht="16" thickBot="1" x14ac:dyDescent="0.25">
      <c r="A22" s="18">
        <v>45779</v>
      </c>
      <c r="B22">
        <v>204.46</v>
      </c>
      <c r="C22">
        <v>5686.669921875</v>
      </c>
      <c r="D22" s="8">
        <f t="shared" si="0"/>
        <v>-3.7336974433824444E-2</v>
      </c>
      <c r="E22">
        <f t="shared" si="1"/>
        <v>81.52978515625</v>
      </c>
      <c r="F22" s="15" t="s">
        <v>2195</v>
      </c>
      <c r="G22" s="15">
        <v>250</v>
      </c>
      <c r="Q22" s="8"/>
    </row>
    <row r="23" spans="1:17" x14ac:dyDescent="0.2">
      <c r="A23" s="18">
        <v>45782</v>
      </c>
      <c r="B23">
        <v>198.03</v>
      </c>
      <c r="C23">
        <v>5650.3798828125</v>
      </c>
      <c r="D23" s="8">
        <f t="shared" si="0"/>
        <v>-3.1448694121099519E-2</v>
      </c>
      <c r="E23">
        <f t="shared" si="1"/>
        <v>-37.2900390625</v>
      </c>
      <c r="Q23" s="8"/>
    </row>
    <row r="24" spans="1:17" ht="16" thickBot="1" x14ac:dyDescent="0.25">
      <c r="A24" s="18">
        <v>45783</v>
      </c>
      <c r="B24">
        <v>197.65</v>
      </c>
      <c r="C24">
        <v>5606.91015625</v>
      </c>
      <c r="D24" s="8">
        <f t="shared" si="0"/>
        <v>-1.9189011765894382E-3</v>
      </c>
      <c r="E24">
        <f t="shared" si="1"/>
        <v>-44.4697265625</v>
      </c>
      <c r="F24" t="s">
        <v>2196</v>
      </c>
      <c r="Q24" s="8"/>
    </row>
    <row r="25" spans="1:17" x14ac:dyDescent="0.2">
      <c r="A25" s="18">
        <v>45784</v>
      </c>
      <c r="B25">
        <v>195.4</v>
      </c>
      <c r="C25">
        <v>5631.27978515625</v>
      </c>
      <c r="D25" s="8">
        <f t="shared" si="0"/>
        <v>-1.1383759170250474E-2</v>
      </c>
      <c r="E25">
        <f t="shared" si="1"/>
        <v>23.36962890625</v>
      </c>
      <c r="F25" s="16"/>
      <c r="G25" s="16" t="s">
        <v>2201</v>
      </c>
      <c r="H25" s="16" t="s">
        <v>2202</v>
      </c>
      <c r="I25" s="16" t="s">
        <v>2203</v>
      </c>
      <c r="J25" s="16" t="s">
        <v>2204</v>
      </c>
      <c r="K25" s="16" t="s">
        <v>2205</v>
      </c>
      <c r="Q25" s="8"/>
    </row>
    <row r="26" spans="1:17" x14ac:dyDescent="0.2">
      <c r="A26" s="18">
        <v>45785</v>
      </c>
      <c r="B26">
        <v>196.63</v>
      </c>
      <c r="C26">
        <v>5663.93994140625</v>
      </c>
      <c r="D26" s="8">
        <f t="shared" si="0"/>
        <v>6.2947799385875136E-3</v>
      </c>
      <c r="E26">
        <f t="shared" si="1"/>
        <v>31.66015625</v>
      </c>
      <c r="F26" t="s">
        <v>2197</v>
      </c>
      <c r="G26">
        <v>1</v>
      </c>
      <c r="H26">
        <v>4.6655133457198655E-2</v>
      </c>
      <c r="I26">
        <v>4.6655133457198655E-2</v>
      </c>
      <c r="J26">
        <v>262.0534750977879</v>
      </c>
      <c r="K26">
        <v>1.0349532083846794E-40</v>
      </c>
      <c r="Q26" s="8"/>
    </row>
    <row r="27" spans="1:17" x14ac:dyDescent="0.2">
      <c r="A27" s="18">
        <v>45786</v>
      </c>
      <c r="B27">
        <v>197.67</v>
      </c>
      <c r="C27">
        <v>5659.91015625</v>
      </c>
      <c r="D27" s="8">
        <f t="shared" si="0"/>
        <v>5.2891217006560964E-3</v>
      </c>
      <c r="E27">
        <f t="shared" si="1"/>
        <v>-5.02978515625</v>
      </c>
      <c r="F27" t="s">
        <v>2198</v>
      </c>
      <c r="G27">
        <v>248</v>
      </c>
      <c r="H27">
        <v>4.4153099259865297E-2</v>
      </c>
      <c r="I27">
        <v>1.7803669056397296E-4</v>
      </c>
      <c r="Q27" s="8"/>
    </row>
    <row r="28" spans="1:17" ht="16" thickBot="1" x14ac:dyDescent="0.25">
      <c r="A28" s="18">
        <v>45789</v>
      </c>
      <c r="B28">
        <v>210.15</v>
      </c>
      <c r="C28">
        <v>5844.18994140625</v>
      </c>
      <c r="D28" s="8">
        <f t="shared" si="0"/>
        <v>6.3135528911822725E-2</v>
      </c>
      <c r="E28">
        <f t="shared" si="1"/>
        <v>183.27978515625</v>
      </c>
      <c r="F28" s="15" t="s">
        <v>2199</v>
      </c>
      <c r="G28" s="15">
        <v>249</v>
      </c>
      <c r="H28" s="15">
        <v>9.0808232717063952E-2</v>
      </c>
      <c r="I28" s="15"/>
      <c r="J28" s="15"/>
      <c r="K28" s="15"/>
      <c r="Q28" s="8"/>
    </row>
    <row r="29" spans="1:17" ht="16" thickBot="1" x14ac:dyDescent="0.25">
      <c r="A29" s="18">
        <v>45790</v>
      </c>
      <c r="B29">
        <v>212.28</v>
      </c>
      <c r="C29">
        <v>5886.5498046875</v>
      </c>
      <c r="D29" s="8">
        <f t="shared" si="0"/>
        <v>1.0135617416131337E-2</v>
      </c>
      <c r="E29">
        <f t="shared" si="1"/>
        <v>41.35986328125</v>
      </c>
      <c r="Q29" s="8"/>
    </row>
    <row r="30" spans="1:17" ht="16" thickBot="1" x14ac:dyDescent="0.25">
      <c r="A30" s="18">
        <v>45791</v>
      </c>
      <c r="B30">
        <v>211.69</v>
      </c>
      <c r="C30">
        <v>5892.580078125</v>
      </c>
      <c r="D30" s="8">
        <f t="shared" si="0"/>
        <v>-2.7793480309026286E-3</v>
      </c>
      <c r="E30">
        <f t="shared" si="1"/>
        <v>5.0302734375</v>
      </c>
      <c r="F30" s="16"/>
      <c r="G30" s="16" t="s">
        <v>2206</v>
      </c>
      <c r="H30" s="16" t="s">
        <v>2194</v>
      </c>
      <c r="I30" s="16" t="s">
        <v>2207</v>
      </c>
      <c r="J30" s="16" t="s">
        <v>2208</v>
      </c>
      <c r="K30" s="16" t="s">
        <v>2209</v>
      </c>
      <c r="L30" s="16" t="s">
        <v>2210</v>
      </c>
      <c r="M30" s="16" t="s">
        <v>2211</v>
      </c>
      <c r="N30" s="16" t="s">
        <v>2212</v>
      </c>
      <c r="Q30" s="8"/>
    </row>
    <row r="31" spans="1:17" x14ac:dyDescent="0.2">
      <c r="A31" s="18">
        <v>45792</v>
      </c>
      <c r="B31">
        <v>210.81</v>
      </c>
      <c r="C31">
        <v>5916.93017578125</v>
      </c>
      <c r="D31" s="8">
        <f t="shared" si="0"/>
        <v>-4.1570220605602337E-3</v>
      </c>
      <c r="E31">
        <f t="shared" si="1"/>
        <v>23.35009765625</v>
      </c>
      <c r="F31" t="s">
        <v>2200</v>
      </c>
      <c r="G31">
        <v>3.264715284579863E-4</v>
      </c>
      <c r="H31">
        <v>8.4530454128233098E-4</v>
      </c>
      <c r="I31">
        <v>0.38621764407266457</v>
      </c>
      <c r="J31">
        <v>0.69966662156849924</v>
      </c>
      <c r="K31">
        <v>-1.3384197159512733E-3</v>
      </c>
      <c r="L31">
        <v>1.9913627728672459E-3</v>
      </c>
      <c r="M31">
        <v>-1.3384197159512733E-3</v>
      </c>
      <c r="N31">
        <v>1.9913627728672459E-3</v>
      </c>
      <c r="O31" s="16"/>
      <c r="P31" s="16"/>
      <c r="Q31" s="8"/>
    </row>
    <row r="32" spans="1:17" ht="16" thickBot="1" x14ac:dyDescent="0.25">
      <c r="A32" s="18">
        <v>45793</v>
      </c>
      <c r="B32">
        <v>210.62</v>
      </c>
      <c r="C32">
        <v>5958.3798828125</v>
      </c>
      <c r="D32" s="8">
        <f t="shared" si="0"/>
        <v>-9.0128551776480492E-4</v>
      </c>
      <c r="E32">
        <f t="shared" si="1"/>
        <v>40.44970703125</v>
      </c>
      <c r="F32" s="15" t="s">
        <v>2213</v>
      </c>
      <c r="G32" s="15">
        <v>1.28</v>
      </c>
      <c r="H32" s="15">
        <v>1.306342786182135E-5</v>
      </c>
      <c r="I32" s="15">
        <v>16.188065823247349</v>
      </c>
      <c r="J32" s="15">
        <v>1.0349532083844431E-40</v>
      </c>
      <c r="K32" s="15">
        <v>1.8574222063486319E-4</v>
      </c>
      <c r="L32" s="15">
        <v>2.372010395739516E-4</v>
      </c>
      <c r="M32" s="15">
        <v>1.8574222063486319E-4</v>
      </c>
      <c r="N32" s="15">
        <v>2.372010395739516E-4</v>
      </c>
      <c r="Q32" s="8"/>
    </row>
    <row r="33" spans="1:17" ht="16" thickBot="1" x14ac:dyDescent="0.25">
      <c r="A33" s="18">
        <v>45796</v>
      </c>
      <c r="B33">
        <v>208.15</v>
      </c>
      <c r="C33">
        <v>5963.60009765625</v>
      </c>
      <c r="D33" s="8">
        <f t="shared" si="0"/>
        <v>-1.1727281359794839E-2</v>
      </c>
      <c r="E33">
        <f t="shared" si="1"/>
        <v>4.22021484375</v>
      </c>
      <c r="O33" s="15"/>
      <c r="P33" s="15"/>
      <c r="Q33" s="8"/>
    </row>
    <row r="34" spans="1:17" x14ac:dyDescent="0.2">
      <c r="A34" s="18">
        <v>45797</v>
      </c>
      <c r="B34">
        <v>206.23</v>
      </c>
      <c r="C34">
        <v>5940.4599609375</v>
      </c>
      <c r="D34" s="8">
        <f t="shared" si="0"/>
        <v>-9.2241172231564139E-3</v>
      </c>
      <c r="E34">
        <f t="shared" si="1"/>
        <v>-24.14013671875</v>
      </c>
      <c r="Q34" s="8"/>
    </row>
    <row r="35" spans="1:17" x14ac:dyDescent="0.2">
      <c r="A35" s="18">
        <v>45798</v>
      </c>
      <c r="B35">
        <v>201.48</v>
      </c>
      <c r="C35">
        <v>5844.60986328125</v>
      </c>
      <c r="D35" s="8">
        <f t="shared" si="0"/>
        <v>-2.3032536488386768E-2</v>
      </c>
      <c r="E35">
        <f t="shared" si="1"/>
        <v>-96.85009765625</v>
      </c>
      <c r="Q35" s="8"/>
    </row>
    <row r="36" spans="1:17" x14ac:dyDescent="0.2">
      <c r="A36" s="18">
        <v>45799</v>
      </c>
      <c r="B36">
        <v>200.75</v>
      </c>
      <c r="C36">
        <v>5842.009765625</v>
      </c>
      <c r="D36" s="8">
        <f t="shared" si="0"/>
        <v>-3.6231884057970065E-3</v>
      </c>
      <c r="E36">
        <f t="shared" si="1"/>
        <v>-3.60009765625</v>
      </c>
      <c r="Q36" s="8"/>
    </row>
    <row r="37" spans="1:17" x14ac:dyDescent="0.2">
      <c r="A37" s="18">
        <v>45800</v>
      </c>
      <c r="B37">
        <v>194.68</v>
      </c>
      <c r="C37">
        <v>5802.81982421875</v>
      </c>
      <c r="D37" s="8">
        <f t="shared" si="0"/>
        <v>-3.0236612702366106E-2</v>
      </c>
      <c r="E37">
        <f t="shared" si="1"/>
        <v>-40.18994140625</v>
      </c>
      <c r="Q37" s="8"/>
    </row>
    <row r="38" spans="1:17" x14ac:dyDescent="0.2">
      <c r="A38" s="18">
        <v>45804</v>
      </c>
      <c r="B38">
        <v>199.6</v>
      </c>
      <c r="C38">
        <v>5921.5400390625</v>
      </c>
      <c r="D38" s="8">
        <f t="shared" si="0"/>
        <v>2.5272241627285696E-2</v>
      </c>
      <c r="E38">
        <f t="shared" si="1"/>
        <v>117.72021484375</v>
      </c>
      <c r="Q38" s="8"/>
    </row>
    <row r="39" spans="1:17" x14ac:dyDescent="0.2">
      <c r="A39" s="18">
        <v>45805</v>
      </c>
      <c r="B39">
        <v>199.81</v>
      </c>
      <c r="C39">
        <v>5888.5498046875</v>
      </c>
      <c r="D39" s="8">
        <f t="shared" si="0"/>
        <v>1.0521042084168375E-3</v>
      </c>
      <c r="E39">
        <f t="shared" si="1"/>
        <v>-33.990234375</v>
      </c>
      <c r="Q39" s="8"/>
    </row>
    <row r="40" spans="1:17" x14ac:dyDescent="0.2">
      <c r="A40" s="18">
        <v>45806</v>
      </c>
      <c r="B40">
        <v>199.34</v>
      </c>
      <c r="C40">
        <v>5912.169921875</v>
      </c>
      <c r="D40" s="8">
        <f t="shared" si="0"/>
        <v>-2.3522346228916913E-3</v>
      </c>
      <c r="E40">
        <f t="shared" si="1"/>
        <v>22.6201171875</v>
      </c>
      <c r="Q40" s="8"/>
    </row>
    <row r="41" spans="1:17" x14ac:dyDescent="0.2">
      <c r="A41" s="18">
        <v>45807</v>
      </c>
      <c r="B41">
        <v>200.24</v>
      </c>
      <c r="C41">
        <v>5911.68994140625</v>
      </c>
      <c r="D41" s="8">
        <f t="shared" si="0"/>
        <v>4.5148991672518957E-3</v>
      </c>
      <c r="E41">
        <f t="shared" si="1"/>
        <v>-1.47998046875</v>
      </c>
      <c r="Q41" s="8"/>
    </row>
    <row r="42" spans="1:17" x14ac:dyDescent="0.2">
      <c r="A42" s="18">
        <v>45810</v>
      </c>
      <c r="B42">
        <v>201.09</v>
      </c>
      <c r="C42">
        <v>5935.93994140625</v>
      </c>
      <c r="D42" s="8">
        <f t="shared" si="0"/>
        <v>4.2449061126648147E-3</v>
      </c>
      <c r="E42">
        <f t="shared" si="1"/>
        <v>23.25</v>
      </c>
      <c r="Q42" s="8"/>
    </row>
    <row r="43" spans="1:17" x14ac:dyDescent="0.2">
      <c r="A43" s="18">
        <v>45811</v>
      </c>
      <c r="B43">
        <v>202.65</v>
      </c>
      <c r="C43">
        <v>5970.3701171875</v>
      </c>
      <c r="D43" s="8">
        <f t="shared" si="0"/>
        <v>7.7577204236909392E-3</v>
      </c>
      <c r="E43">
        <f t="shared" si="1"/>
        <v>33.43017578125</v>
      </c>
      <c r="Q43" s="8"/>
    </row>
    <row r="44" spans="1:17" x14ac:dyDescent="0.2">
      <c r="A44" s="18">
        <v>45812</v>
      </c>
      <c r="B44">
        <v>202.2</v>
      </c>
      <c r="C44">
        <v>5970.81005859375</v>
      </c>
      <c r="D44" s="8">
        <f t="shared" si="0"/>
        <v>-2.2205773501111636E-3</v>
      </c>
      <c r="E44">
        <f t="shared" si="1"/>
        <v>-0.56005859375</v>
      </c>
      <c r="Q44" s="8"/>
    </row>
    <row r="45" spans="1:17" x14ac:dyDescent="0.2">
      <c r="A45" s="18">
        <v>45813</v>
      </c>
      <c r="B45">
        <v>200.02</v>
      </c>
      <c r="C45">
        <v>5939.2998046875</v>
      </c>
      <c r="D45" s="8">
        <f t="shared" si="0"/>
        <v>-1.0781404549950468E-2</v>
      </c>
      <c r="E45">
        <f t="shared" si="1"/>
        <v>-32.51025390625</v>
      </c>
      <c r="Q45" s="8"/>
    </row>
    <row r="46" spans="1:17" x14ac:dyDescent="0.2">
      <c r="A46" s="18">
        <v>45814</v>
      </c>
      <c r="B46">
        <v>203.3</v>
      </c>
      <c r="C46">
        <v>6000.35986328125</v>
      </c>
      <c r="D46" s="8">
        <f t="shared" si="0"/>
        <v>1.6398360163983661E-2</v>
      </c>
      <c r="E46">
        <f t="shared" si="1"/>
        <v>60.06005859375</v>
      </c>
      <c r="Q46" s="8"/>
    </row>
    <row r="47" spans="1:17" x14ac:dyDescent="0.2">
      <c r="A47" s="18">
        <v>45817</v>
      </c>
      <c r="B47">
        <v>200.84</v>
      </c>
      <c r="C47">
        <v>6005.8798828125</v>
      </c>
      <c r="D47" s="8">
        <f t="shared" si="0"/>
        <v>-1.2100344318740852E-2</v>
      </c>
      <c r="E47">
        <f t="shared" si="1"/>
        <v>4.52001953125</v>
      </c>
      <c r="Q47" s="8"/>
    </row>
    <row r="48" spans="1:17" x14ac:dyDescent="0.2">
      <c r="A48" s="18">
        <v>45818</v>
      </c>
      <c r="B48">
        <v>202.06</v>
      </c>
      <c r="C48">
        <v>6038.81005859375</v>
      </c>
      <c r="D48" s="8">
        <f t="shared" si="0"/>
        <v>6.0744871539533118E-3</v>
      </c>
      <c r="E48">
        <f t="shared" si="1"/>
        <v>31.93017578125</v>
      </c>
      <c r="Q48" s="8"/>
    </row>
    <row r="49" spans="1:17" x14ac:dyDescent="0.2">
      <c r="A49" s="18">
        <v>45819</v>
      </c>
      <c r="B49">
        <v>198.18</v>
      </c>
      <c r="C49">
        <v>6022.240234375</v>
      </c>
      <c r="D49" s="8">
        <f t="shared" si="0"/>
        <v>-1.9202217163218793E-2</v>
      </c>
      <c r="E49">
        <f t="shared" si="1"/>
        <v>-17.56982421875</v>
      </c>
      <c r="Q49" s="8"/>
    </row>
    <row r="50" spans="1:17" x14ac:dyDescent="0.2">
      <c r="A50" s="18">
        <v>45820</v>
      </c>
      <c r="B50">
        <v>198.6</v>
      </c>
      <c r="C50">
        <v>6045.259765625</v>
      </c>
      <c r="D50" s="8">
        <f t="shared" si="0"/>
        <v>2.1192854980320863E-3</v>
      </c>
      <c r="E50">
        <f t="shared" si="1"/>
        <v>22.01953125</v>
      </c>
      <c r="Q50" s="8"/>
    </row>
    <row r="51" spans="1:17" x14ac:dyDescent="0.2">
      <c r="A51" s="18">
        <v>45821</v>
      </c>
      <c r="B51">
        <v>195.85</v>
      </c>
      <c r="C51">
        <v>5976.97021484375</v>
      </c>
      <c r="D51" s="8">
        <f t="shared" si="0"/>
        <v>-1.3846928499496425E-2</v>
      </c>
      <c r="E51">
        <f t="shared" si="1"/>
        <v>-69.28955078125</v>
      </c>
      <c r="Q51" s="8"/>
    </row>
    <row r="52" spans="1:17" x14ac:dyDescent="0.2">
      <c r="A52" s="18">
        <v>45824</v>
      </c>
      <c r="B52">
        <v>197.82</v>
      </c>
      <c r="C52">
        <v>6033.10986328125</v>
      </c>
      <c r="D52" s="8">
        <f t="shared" si="0"/>
        <v>1.0058718406944056E-2</v>
      </c>
      <c r="E52">
        <f t="shared" si="1"/>
        <v>55.1396484375</v>
      </c>
      <c r="Q52" s="8"/>
    </row>
    <row r="53" spans="1:17" x14ac:dyDescent="0.2">
      <c r="A53" s="18">
        <v>45825</v>
      </c>
      <c r="B53">
        <v>195.05</v>
      </c>
      <c r="C53">
        <v>5982.72021484375</v>
      </c>
      <c r="D53" s="8">
        <f t="shared" si="0"/>
        <v>-1.4002628652310056E-2</v>
      </c>
      <c r="E53">
        <f t="shared" si="1"/>
        <v>-51.3896484375</v>
      </c>
      <c r="Q53" s="8"/>
    </row>
    <row r="54" spans="1:17" x14ac:dyDescent="0.2">
      <c r="A54" s="18">
        <v>45826</v>
      </c>
      <c r="B54">
        <v>195.98</v>
      </c>
      <c r="C54">
        <v>5980.8701171875</v>
      </c>
      <c r="D54" s="8">
        <f t="shared" si="0"/>
        <v>4.7680082030248094E-3</v>
      </c>
      <c r="E54">
        <f t="shared" si="1"/>
        <v>-2.85009765625</v>
      </c>
      <c r="Q54" s="8"/>
    </row>
    <row r="55" spans="1:17" x14ac:dyDescent="0.2">
      <c r="A55" s="18">
        <v>45828</v>
      </c>
      <c r="B55">
        <v>200.39</v>
      </c>
      <c r="C55">
        <v>5967.83984375</v>
      </c>
      <c r="D55" s="8">
        <f t="shared" si="0"/>
        <v>2.2502296152668633E-2</v>
      </c>
      <c r="E55">
        <f t="shared" si="1"/>
        <v>-14.0302734375</v>
      </c>
      <c r="Q55" s="8"/>
    </row>
    <row r="56" spans="1:17" x14ac:dyDescent="0.2">
      <c r="A56" s="18">
        <v>45831</v>
      </c>
      <c r="B56">
        <v>200.89</v>
      </c>
      <c r="C56">
        <v>6025.169921875</v>
      </c>
      <c r="D56" s="8">
        <f t="shared" si="0"/>
        <v>2.4951344877488513E-3</v>
      </c>
      <c r="E56">
        <f t="shared" si="1"/>
        <v>56.330078125</v>
      </c>
      <c r="Q56" s="8"/>
    </row>
    <row r="57" spans="1:17" x14ac:dyDescent="0.2">
      <c r="A57" s="18">
        <v>45832</v>
      </c>
      <c r="B57">
        <v>199.69</v>
      </c>
      <c r="C57">
        <v>6092.18017578125</v>
      </c>
      <c r="D57" s="8">
        <f t="shared" si="0"/>
        <v>-5.9734182886156395E-3</v>
      </c>
      <c r="E57">
        <f t="shared" si="1"/>
        <v>66.01025390625</v>
      </c>
      <c r="Q57" s="8"/>
    </row>
    <row r="58" spans="1:17" x14ac:dyDescent="0.2">
      <c r="A58" s="18">
        <v>45833</v>
      </c>
      <c r="B58">
        <v>200.95</v>
      </c>
      <c r="C58">
        <v>6092.16015625</v>
      </c>
      <c r="D58" s="8">
        <f t="shared" si="0"/>
        <v>6.3097801592468805E-3</v>
      </c>
      <c r="E58">
        <f t="shared" si="1"/>
        <v>-1.02001953125</v>
      </c>
      <c r="Q58" s="8"/>
    </row>
    <row r="59" spans="1:17" x14ac:dyDescent="0.2">
      <c r="A59" s="18">
        <v>45834</v>
      </c>
      <c r="B59">
        <v>200.39</v>
      </c>
      <c r="C59">
        <v>6141.02001953125</v>
      </c>
      <c r="D59" s="8">
        <f t="shared" si="0"/>
        <v>-2.7867628763373897E-3</v>
      </c>
      <c r="E59">
        <f t="shared" si="1"/>
        <v>47.85986328125</v>
      </c>
      <c r="Q59" s="8"/>
    </row>
    <row r="60" spans="1:17" x14ac:dyDescent="0.2">
      <c r="A60" s="18">
        <v>45835</v>
      </c>
      <c r="B60">
        <v>200.47</v>
      </c>
      <c r="C60">
        <v>6173.06982421875</v>
      </c>
      <c r="D60" s="8">
        <f t="shared" si="0"/>
        <v>3.9922151803994943E-4</v>
      </c>
      <c r="E60">
        <f t="shared" si="1"/>
        <v>31.0498046875</v>
      </c>
      <c r="Q60" s="8"/>
    </row>
    <row r="61" spans="1:17" x14ac:dyDescent="0.2">
      <c r="A61" s="18">
        <v>45838</v>
      </c>
      <c r="B61">
        <v>204.55</v>
      </c>
      <c r="C61">
        <v>6204.9501953125</v>
      </c>
      <c r="D61" s="8">
        <f t="shared" si="0"/>
        <v>2.0352172394872081E-2</v>
      </c>
      <c r="E61">
        <f t="shared" si="1"/>
        <v>30.88037109375</v>
      </c>
      <c r="Q61" s="8"/>
    </row>
    <row r="62" spans="1:17" x14ac:dyDescent="0.2">
      <c r="A62" s="18">
        <v>45839</v>
      </c>
      <c r="B62">
        <v>207.19</v>
      </c>
      <c r="C62">
        <v>6198.009765625</v>
      </c>
      <c r="D62" s="8">
        <f t="shared" si="0"/>
        <v>1.2906379858225403E-2</v>
      </c>
      <c r="E62">
        <f t="shared" si="1"/>
        <v>-7.9404296875</v>
      </c>
      <c r="Q62" s="8"/>
    </row>
    <row r="63" spans="1:17" x14ac:dyDescent="0.2">
      <c r="A63" s="18">
        <v>45840</v>
      </c>
      <c r="B63">
        <v>211.8</v>
      </c>
      <c r="C63">
        <v>6227.419921875</v>
      </c>
      <c r="D63" s="8">
        <f t="shared" si="0"/>
        <v>2.225010859597476E-2</v>
      </c>
      <c r="E63">
        <f t="shared" si="1"/>
        <v>28.41015625</v>
      </c>
      <c r="Q63" s="8"/>
    </row>
    <row r="64" spans="1:17" x14ac:dyDescent="0.2">
      <c r="A64" s="18">
        <v>45841</v>
      </c>
      <c r="B64">
        <v>212.9</v>
      </c>
      <c r="C64">
        <v>6279.35009765625</v>
      </c>
      <c r="D64" s="8">
        <f t="shared" si="0"/>
        <v>5.193578847969782E-3</v>
      </c>
      <c r="E64">
        <f t="shared" si="1"/>
        <v>50.93017578125</v>
      </c>
      <c r="Q64" s="8"/>
    </row>
    <row r="65" spans="1:17" x14ac:dyDescent="0.2">
      <c r="A65" s="18">
        <v>45845</v>
      </c>
      <c r="B65">
        <v>209.31</v>
      </c>
      <c r="C65">
        <v>6229.97998046875</v>
      </c>
      <c r="D65" s="8">
        <f t="shared" si="0"/>
        <v>-1.6862376702677317E-2</v>
      </c>
      <c r="E65">
        <f t="shared" si="1"/>
        <v>-50.3701171875</v>
      </c>
      <c r="Q65" s="8"/>
    </row>
    <row r="66" spans="1:17" x14ac:dyDescent="0.2">
      <c r="A66" s="18">
        <v>45846</v>
      </c>
      <c r="B66">
        <v>209.37</v>
      </c>
      <c r="C66">
        <v>6225.52001953125</v>
      </c>
      <c r="D66" s="8">
        <f t="shared" si="0"/>
        <v>2.8665615594092309E-4</v>
      </c>
      <c r="E66">
        <f t="shared" si="1"/>
        <v>-5.4599609375</v>
      </c>
      <c r="Q66" s="8"/>
    </row>
    <row r="67" spans="1:17" x14ac:dyDescent="0.2">
      <c r="A67" s="18">
        <v>45847</v>
      </c>
      <c r="B67">
        <v>210.5</v>
      </c>
      <c r="C67">
        <v>6263.259765625</v>
      </c>
      <c r="D67" s="8">
        <f t="shared" si="0"/>
        <v>5.3971438123894266E-3</v>
      </c>
      <c r="E67">
        <f t="shared" si="1"/>
        <v>36.73974609375</v>
      </c>
      <c r="Q67" s="8"/>
    </row>
    <row r="68" spans="1:17" x14ac:dyDescent="0.2">
      <c r="A68" s="18">
        <v>45848</v>
      </c>
      <c r="B68">
        <v>211.77</v>
      </c>
      <c r="C68">
        <v>6280.4599609375</v>
      </c>
      <c r="D68" s="8">
        <f t="shared" ref="D68:D131" si="2">(B68/B67)-1</f>
        <v>6.0332541567695852E-3</v>
      </c>
      <c r="E68">
        <f t="shared" ref="E68:E131" si="3">(C68-C67)-1</f>
        <v>16.2001953125</v>
      </c>
      <c r="Q68" s="8"/>
    </row>
    <row r="69" spans="1:17" x14ac:dyDescent="0.2">
      <c r="A69" s="18">
        <v>45849</v>
      </c>
      <c r="B69">
        <v>210.52</v>
      </c>
      <c r="C69">
        <v>6259.75</v>
      </c>
      <c r="D69" s="8">
        <f t="shared" si="2"/>
        <v>-5.9026302120225305E-3</v>
      </c>
      <c r="E69">
        <f t="shared" si="3"/>
        <v>-21.7099609375</v>
      </c>
      <c r="Q69" s="8"/>
    </row>
    <row r="70" spans="1:17" x14ac:dyDescent="0.2">
      <c r="A70" s="18">
        <v>45852</v>
      </c>
      <c r="B70">
        <v>207.99</v>
      </c>
      <c r="C70">
        <v>6268.56005859375</v>
      </c>
      <c r="D70" s="8">
        <f t="shared" si="2"/>
        <v>-1.2017860535816105E-2</v>
      </c>
      <c r="E70">
        <f t="shared" si="3"/>
        <v>7.81005859375</v>
      </c>
      <c r="Q70" s="8"/>
    </row>
    <row r="71" spans="1:17" x14ac:dyDescent="0.2">
      <c r="A71" s="18">
        <v>45853</v>
      </c>
      <c r="B71">
        <v>208.48</v>
      </c>
      <c r="C71">
        <v>6243.759765625</v>
      </c>
      <c r="D71" s="8">
        <f t="shared" si="2"/>
        <v>2.3558824943505918E-3</v>
      </c>
      <c r="E71">
        <f t="shared" si="3"/>
        <v>-25.80029296875</v>
      </c>
      <c r="Q71" s="8"/>
    </row>
    <row r="72" spans="1:17" x14ac:dyDescent="0.2">
      <c r="A72" s="18">
        <v>45854</v>
      </c>
      <c r="B72">
        <v>209.52</v>
      </c>
      <c r="C72">
        <v>6263.7001953125</v>
      </c>
      <c r="D72" s="8">
        <f t="shared" si="2"/>
        <v>4.9884881043746887E-3</v>
      </c>
      <c r="E72">
        <f t="shared" si="3"/>
        <v>18.9404296875</v>
      </c>
      <c r="Q72" s="8"/>
    </row>
    <row r="73" spans="1:17" x14ac:dyDescent="0.2">
      <c r="A73" s="18">
        <v>45855</v>
      </c>
      <c r="B73">
        <v>209.38</v>
      </c>
      <c r="C73">
        <v>6297.35986328125</v>
      </c>
      <c r="D73" s="8">
        <f t="shared" si="2"/>
        <v>-6.6819396716311097E-4</v>
      </c>
      <c r="E73">
        <f t="shared" si="3"/>
        <v>32.65966796875</v>
      </c>
      <c r="Q73" s="8"/>
    </row>
    <row r="74" spans="1:17" x14ac:dyDescent="0.2">
      <c r="A74" s="18">
        <v>45856</v>
      </c>
      <c r="B74">
        <v>210.54</v>
      </c>
      <c r="C74">
        <v>6296.7900390625</v>
      </c>
      <c r="D74" s="8">
        <f t="shared" si="2"/>
        <v>5.5401662049860967E-3</v>
      </c>
      <c r="E74">
        <f t="shared" si="3"/>
        <v>-1.56982421875</v>
      </c>
      <c r="Q74" s="8"/>
    </row>
    <row r="75" spans="1:17" x14ac:dyDescent="0.2">
      <c r="A75" s="18">
        <v>45859</v>
      </c>
      <c r="B75">
        <v>211.84</v>
      </c>
      <c r="C75">
        <v>6305.60009765625</v>
      </c>
      <c r="D75" s="8">
        <f t="shared" si="2"/>
        <v>6.1745986510877149E-3</v>
      </c>
      <c r="E75">
        <f t="shared" si="3"/>
        <v>7.81005859375</v>
      </c>
      <c r="Q75" s="8"/>
    </row>
    <row r="76" spans="1:17" x14ac:dyDescent="0.2">
      <c r="A76" s="18">
        <v>45860</v>
      </c>
      <c r="B76">
        <v>213.75</v>
      </c>
      <c r="C76">
        <v>6309.6201171875</v>
      </c>
      <c r="D76" s="8">
        <f t="shared" si="2"/>
        <v>9.0162386706948983E-3</v>
      </c>
      <c r="E76">
        <f t="shared" si="3"/>
        <v>3.02001953125</v>
      </c>
      <c r="Q76" s="8"/>
    </row>
    <row r="77" spans="1:17" x14ac:dyDescent="0.2">
      <c r="A77" s="18">
        <v>45861</v>
      </c>
      <c r="B77">
        <v>213.5</v>
      </c>
      <c r="C77">
        <v>6358.91015625</v>
      </c>
      <c r="D77" s="8">
        <f t="shared" si="2"/>
        <v>-1.1695906432748204E-3</v>
      </c>
      <c r="E77">
        <f t="shared" si="3"/>
        <v>48.2900390625</v>
      </c>
      <c r="Q77" s="8"/>
    </row>
    <row r="78" spans="1:17" x14ac:dyDescent="0.2">
      <c r="A78" s="18">
        <v>45862</v>
      </c>
      <c r="B78">
        <v>213.11</v>
      </c>
      <c r="C78">
        <v>6363.35009765625</v>
      </c>
      <c r="D78" s="8">
        <f t="shared" si="2"/>
        <v>-1.8266978922716337E-3</v>
      </c>
      <c r="E78">
        <f t="shared" si="3"/>
        <v>3.43994140625</v>
      </c>
      <c r="Q78" s="8"/>
    </row>
    <row r="79" spans="1:17" x14ac:dyDescent="0.2">
      <c r="A79" s="18">
        <v>45863</v>
      </c>
      <c r="B79">
        <v>213.23</v>
      </c>
      <c r="C79">
        <v>6388.64013671875</v>
      </c>
      <c r="D79" s="8">
        <f t="shared" si="2"/>
        <v>5.6308948430383587E-4</v>
      </c>
      <c r="E79">
        <f t="shared" si="3"/>
        <v>24.2900390625</v>
      </c>
      <c r="Q79" s="8"/>
    </row>
    <row r="80" spans="1:17" x14ac:dyDescent="0.2">
      <c r="A80" s="18">
        <v>45866</v>
      </c>
      <c r="B80">
        <v>213.4</v>
      </c>
      <c r="C80">
        <v>6389.77001953125</v>
      </c>
      <c r="D80" s="8">
        <f t="shared" si="2"/>
        <v>7.9726117338085878E-4</v>
      </c>
      <c r="E80">
        <f t="shared" si="3"/>
        <v>0.1298828125</v>
      </c>
      <c r="Q80" s="8"/>
    </row>
    <row r="81" spans="1:17" x14ac:dyDescent="0.2">
      <c r="A81" s="18">
        <v>45867</v>
      </c>
      <c r="B81">
        <v>210.63</v>
      </c>
      <c r="C81">
        <v>6370.85986328125</v>
      </c>
      <c r="D81" s="8">
        <f t="shared" si="2"/>
        <v>-1.2980318650421818E-2</v>
      </c>
      <c r="E81">
        <f t="shared" si="3"/>
        <v>-19.91015625</v>
      </c>
      <c r="Q81" s="8"/>
    </row>
    <row r="82" spans="1:17" x14ac:dyDescent="0.2">
      <c r="A82" s="18">
        <v>45868</v>
      </c>
      <c r="B82">
        <v>208.42</v>
      </c>
      <c r="C82">
        <v>6362.89990234375</v>
      </c>
      <c r="D82" s="8">
        <f t="shared" si="2"/>
        <v>-1.049233252623083E-2</v>
      </c>
      <c r="E82">
        <f t="shared" si="3"/>
        <v>-8.9599609375</v>
      </c>
      <c r="Q82" s="8"/>
    </row>
    <row r="83" spans="1:17" x14ac:dyDescent="0.2">
      <c r="A83" s="18">
        <v>45869</v>
      </c>
      <c r="B83">
        <v>206.94</v>
      </c>
      <c r="C83">
        <v>6339.39013671875</v>
      </c>
      <c r="D83" s="8">
        <f t="shared" si="2"/>
        <v>-7.101045964878594E-3</v>
      </c>
      <c r="E83">
        <f t="shared" si="3"/>
        <v>-24.509765625</v>
      </c>
      <c r="Q83" s="8"/>
    </row>
    <row r="84" spans="1:17" x14ac:dyDescent="0.2">
      <c r="A84" s="18">
        <v>45870</v>
      </c>
      <c r="B84">
        <v>201.77</v>
      </c>
      <c r="C84">
        <v>6238.009765625</v>
      </c>
      <c r="D84" s="8">
        <f t="shared" si="2"/>
        <v>-2.4983086885087435E-2</v>
      </c>
      <c r="E84">
        <f t="shared" si="3"/>
        <v>-102.38037109375</v>
      </c>
      <c r="Q84" s="8"/>
    </row>
    <row r="85" spans="1:17" x14ac:dyDescent="0.2">
      <c r="A85" s="18">
        <v>45873</v>
      </c>
      <c r="B85">
        <v>202.73</v>
      </c>
      <c r="C85">
        <v>6329.93994140625</v>
      </c>
      <c r="D85" s="8">
        <f t="shared" si="2"/>
        <v>4.757892650046891E-3</v>
      </c>
      <c r="E85">
        <f t="shared" si="3"/>
        <v>90.93017578125</v>
      </c>
      <c r="Q85" s="8"/>
    </row>
    <row r="86" spans="1:17" x14ac:dyDescent="0.2">
      <c r="A86" s="18">
        <v>45874</v>
      </c>
      <c r="B86">
        <v>202.3</v>
      </c>
      <c r="C86">
        <v>6299.18994140625</v>
      </c>
      <c r="D86" s="8">
        <f t="shared" si="2"/>
        <v>-2.1210476989097504E-3</v>
      </c>
      <c r="E86">
        <f t="shared" si="3"/>
        <v>-31.75</v>
      </c>
      <c r="Q86" s="8"/>
    </row>
    <row r="87" spans="1:17" x14ac:dyDescent="0.2">
      <c r="A87" s="18">
        <v>45875</v>
      </c>
      <c r="B87">
        <v>212.6</v>
      </c>
      <c r="C87">
        <v>6345.06005859375</v>
      </c>
      <c r="D87" s="8">
        <f t="shared" si="2"/>
        <v>5.0914483440434921E-2</v>
      </c>
      <c r="E87">
        <f t="shared" si="3"/>
        <v>44.8701171875</v>
      </c>
      <c r="Q87" s="8"/>
    </row>
    <row r="88" spans="1:17" x14ac:dyDescent="0.2">
      <c r="A88" s="18">
        <v>45876</v>
      </c>
      <c r="B88">
        <v>219.36</v>
      </c>
      <c r="C88">
        <v>6340</v>
      </c>
      <c r="D88" s="8">
        <f t="shared" si="2"/>
        <v>3.1796801505174166E-2</v>
      </c>
      <c r="E88">
        <f t="shared" si="3"/>
        <v>-6.06005859375</v>
      </c>
      <c r="Q88" s="8"/>
    </row>
    <row r="89" spans="1:17" x14ac:dyDescent="0.2">
      <c r="A89" s="18">
        <v>45877</v>
      </c>
      <c r="B89">
        <v>228.65</v>
      </c>
      <c r="C89">
        <v>6389.4501953125</v>
      </c>
      <c r="D89" s="8">
        <f t="shared" si="2"/>
        <v>4.2350474106491509E-2</v>
      </c>
      <c r="E89">
        <f t="shared" si="3"/>
        <v>48.4501953125</v>
      </c>
      <c r="Q89" s="8"/>
    </row>
    <row r="90" spans="1:17" x14ac:dyDescent="0.2">
      <c r="A90" s="18">
        <v>45880</v>
      </c>
      <c r="B90">
        <v>226.75</v>
      </c>
      <c r="C90">
        <v>6373.4501953125</v>
      </c>
      <c r="D90" s="8">
        <f t="shared" si="2"/>
        <v>-8.3096435600262808E-3</v>
      </c>
      <c r="E90">
        <f t="shared" si="3"/>
        <v>-17</v>
      </c>
      <c r="Q90" s="8"/>
    </row>
    <row r="91" spans="1:17" x14ac:dyDescent="0.2">
      <c r="A91" s="18">
        <v>45881</v>
      </c>
      <c r="B91">
        <v>229.21</v>
      </c>
      <c r="C91">
        <v>6445.759765625</v>
      </c>
      <c r="D91" s="8">
        <f t="shared" si="2"/>
        <v>1.0848952590959193E-2</v>
      </c>
      <c r="E91">
        <f t="shared" si="3"/>
        <v>71.3095703125</v>
      </c>
      <c r="Q91" s="8"/>
    </row>
    <row r="92" spans="1:17" x14ac:dyDescent="0.2">
      <c r="A92" s="18">
        <v>45882</v>
      </c>
      <c r="B92">
        <v>232.89</v>
      </c>
      <c r="C92">
        <v>6466.580078125</v>
      </c>
      <c r="D92" s="8">
        <f t="shared" si="2"/>
        <v>1.6055145936041182E-2</v>
      </c>
      <c r="E92">
        <f t="shared" si="3"/>
        <v>19.8203125</v>
      </c>
      <c r="Q92" s="8"/>
    </row>
    <row r="93" spans="1:17" x14ac:dyDescent="0.2">
      <c r="A93" s="18">
        <v>45883</v>
      </c>
      <c r="B93">
        <v>232.34</v>
      </c>
      <c r="C93">
        <v>6468.5400390625</v>
      </c>
      <c r="D93" s="8">
        <f t="shared" si="2"/>
        <v>-2.361629954055533E-3</v>
      </c>
      <c r="E93">
        <f t="shared" si="3"/>
        <v>0.9599609375</v>
      </c>
      <c r="Q93" s="8"/>
    </row>
    <row r="94" spans="1:17" x14ac:dyDescent="0.2">
      <c r="A94" s="18">
        <v>45884</v>
      </c>
      <c r="B94">
        <v>231.15</v>
      </c>
      <c r="C94">
        <v>6449.7998046875</v>
      </c>
      <c r="D94" s="8">
        <f t="shared" si="2"/>
        <v>-5.1218042523887286E-3</v>
      </c>
      <c r="E94">
        <f t="shared" si="3"/>
        <v>-19.740234375</v>
      </c>
      <c r="Q94" s="8"/>
    </row>
    <row r="95" spans="1:17" x14ac:dyDescent="0.2">
      <c r="A95" s="18">
        <v>45887</v>
      </c>
      <c r="B95">
        <v>230.45</v>
      </c>
      <c r="C95">
        <v>6449.14990234375</v>
      </c>
      <c r="D95" s="8">
        <f t="shared" si="2"/>
        <v>-3.02833657797974E-3</v>
      </c>
      <c r="E95">
        <f t="shared" si="3"/>
        <v>-1.64990234375</v>
      </c>
      <c r="Q95" s="8"/>
    </row>
    <row r="96" spans="1:17" x14ac:dyDescent="0.2">
      <c r="A96" s="18">
        <v>45888</v>
      </c>
      <c r="B96">
        <v>230.12</v>
      </c>
      <c r="C96">
        <v>6411.3701171875</v>
      </c>
      <c r="D96" s="8">
        <f t="shared" si="2"/>
        <v>-1.4319809069212042E-3</v>
      </c>
      <c r="E96">
        <f t="shared" si="3"/>
        <v>-38.77978515625</v>
      </c>
      <c r="Q96" s="8"/>
    </row>
    <row r="97" spans="1:17" x14ac:dyDescent="0.2">
      <c r="A97" s="18">
        <v>45889</v>
      </c>
      <c r="B97">
        <v>225.58</v>
      </c>
      <c r="C97">
        <v>6395.77978515625</v>
      </c>
      <c r="D97" s="8">
        <f t="shared" si="2"/>
        <v>-1.9728837128454635E-2</v>
      </c>
      <c r="E97">
        <f t="shared" si="3"/>
        <v>-16.59033203125</v>
      </c>
      <c r="Q97" s="8"/>
    </row>
    <row r="98" spans="1:17" x14ac:dyDescent="0.2">
      <c r="A98" s="18">
        <v>45890</v>
      </c>
      <c r="B98">
        <v>224.47</v>
      </c>
      <c r="C98">
        <v>6370.169921875</v>
      </c>
      <c r="D98" s="8">
        <f t="shared" si="2"/>
        <v>-4.9206489937051456E-3</v>
      </c>
      <c r="E98">
        <f t="shared" si="3"/>
        <v>-26.60986328125</v>
      </c>
      <c r="Q98" s="8"/>
    </row>
    <row r="99" spans="1:17" x14ac:dyDescent="0.2">
      <c r="A99" s="18">
        <v>45891</v>
      </c>
      <c r="B99">
        <v>227.33</v>
      </c>
      <c r="C99">
        <v>6466.91015625</v>
      </c>
      <c r="D99" s="8">
        <f t="shared" si="2"/>
        <v>1.2741123535439103E-2</v>
      </c>
      <c r="E99">
        <f t="shared" si="3"/>
        <v>95.740234375</v>
      </c>
      <c r="Q99" s="8"/>
    </row>
    <row r="100" spans="1:17" x14ac:dyDescent="0.2">
      <c r="A100" s="18">
        <v>45894</v>
      </c>
      <c r="B100">
        <v>226.73</v>
      </c>
      <c r="C100">
        <v>6439.31982421875</v>
      </c>
      <c r="D100" s="8">
        <f t="shared" si="2"/>
        <v>-2.6393348876083689E-3</v>
      </c>
      <c r="E100">
        <f t="shared" si="3"/>
        <v>-28.59033203125</v>
      </c>
      <c r="Q100" s="8"/>
    </row>
    <row r="101" spans="1:17" x14ac:dyDescent="0.2">
      <c r="A101" s="18">
        <v>45895</v>
      </c>
      <c r="B101">
        <v>228.87</v>
      </c>
      <c r="C101">
        <v>6465.93994140625</v>
      </c>
      <c r="D101" s="8">
        <f t="shared" si="2"/>
        <v>9.4385392316853611E-3</v>
      </c>
      <c r="E101">
        <f t="shared" si="3"/>
        <v>25.6201171875</v>
      </c>
      <c r="Q101" s="8"/>
    </row>
    <row r="102" spans="1:17" x14ac:dyDescent="0.2">
      <c r="A102" s="18">
        <v>45896</v>
      </c>
      <c r="B102">
        <v>230.05</v>
      </c>
      <c r="C102">
        <v>6481.39990234375</v>
      </c>
      <c r="D102" s="8">
        <f t="shared" si="2"/>
        <v>5.1557652816009991E-3</v>
      </c>
      <c r="E102">
        <f t="shared" si="3"/>
        <v>14.4599609375</v>
      </c>
      <c r="Q102" s="8"/>
    </row>
    <row r="103" spans="1:17" x14ac:dyDescent="0.2">
      <c r="A103" s="18">
        <v>45897</v>
      </c>
      <c r="B103">
        <v>232.12</v>
      </c>
      <c r="C103">
        <v>6501.85986328125</v>
      </c>
      <c r="D103" s="8">
        <f t="shared" si="2"/>
        <v>8.99804390349912E-3</v>
      </c>
      <c r="E103">
        <f t="shared" si="3"/>
        <v>19.4599609375</v>
      </c>
      <c r="Q103" s="8"/>
    </row>
    <row r="104" spans="1:17" x14ac:dyDescent="0.2">
      <c r="A104" s="18">
        <v>45898</v>
      </c>
      <c r="B104">
        <v>231.7</v>
      </c>
      <c r="C104">
        <v>6460.259765625</v>
      </c>
      <c r="D104" s="8">
        <f t="shared" si="2"/>
        <v>-1.8094089264174551E-3</v>
      </c>
      <c r="E104">
        <f t="shared" si="3"/>
        <v>-42.60009765625</v>
      </c>
      <c r="Q104" s="8"/>
    </row>
    <row r="105" spans="1:17" x14ac:dyDescent="0.2">
      <c r="A105" s="18">
        <v>45902</v>
      </c>
      <c r="B105">
        <v>229.28</v>
      </c>
      <c r="C105">
        <v>6415.5400390625</v>
      </c>
      <c r="D105" s="8">
        <f t="shared" si="2"/>
        <v>-1.0444540353905851E-2</v>
      </c>
      <c r="E105">
        <f t="shared" si="3"/>
        <v>-45.7197265625</v>
      </c>
      <c r="Q105" s="8"/>
    </row>
    <row r="106" spans="1:17" x14ac:dyDescent="0.2">
      <c r="A106" s="18">
        <v>45903</v>
      </c>
      <c r="B106">
        <v>238.02</v>
      </c>
      <c r="C106">
        <v>6448.259765625</v>
      </c>
      <c r="D106" s="8">
        <f t="shared" si="2"/>
        <v>3.8119330076762159E-2</v>
      </c>
      <c r="E106">
        <f t="shared" si="3"/>
        <v>31.7197265625</v>
      </c>
      <c r="Q106" s="8"/>
    </row>
    <row r="107" spans="1:17" x14ac:dyDescent="0.2">
      <c r="A107" s="18">
        <v>45904</v>
      </c>
      <c r="B107">
        <v>239.32</v>
      </c>
      <c r="C107">
        <v>6502.080078125</v>
      </c>
      <c r="D107" s="8">
        <f t="shared" si="2"/>
        <v>5.4617259053859613E-3</v>
      </c>
      <c r="E107">
        <f t="shared" si="3"/>
        <v>52.8203125</v>
      </c>
      <c r="Q107" s="8"/>
    </row>
    <row r="108" spans="1:17" x14ac:dyDescent="0.2">
      <c r="A108" s="18">
        <v>45905</v>
      </c>
      <c r="B108">
        <v>239.23</v>
      </c>
      <c r="C108">
        <v>6481.5</v>
      </c>
      <c r="D108" s="8">
        <f t="shared" si="2"/>
        <v>-3.7606551897040319E-4</v>
      </c>
      <c r="E108">
        <f t="shared" si="3"/>
        <v>-21.580078125</v>
      </c>
      <c r="Q108" s="8"/>
    </row>
    <row r="109" spans="1:17" x14ac:dyDescent="0.2">
      <c r="A109" s="18">
        <v>45908</v>
      </c>
      <c r="B109">
        <v>237.43</v>
      </c>
      <c r="C109">
        <v>6495.14990234375</v>
      </c>
      <c r="D109" s="8">
        <f t="shared" si="2"/>
        <v>-7.5241399490030281E-3</v>
      </c>
      <c r="E109">
        <f t="shared" si="3"/>
        <v>12.64990234375</v>
      </c>
      <c r="Q109" s="8"/>
    </row>
    <row r="110" spans="1:17" x14ac:dyDescent="0.2">
      <c r="A110" s="18">
        <v>45909</v>
      </c>
      <c r="B110">
        <v>233.9</v>
      </c>
      <c r="C110">
        <v>6512.60986328125</v>
      </c>
      <c r="D110" s="8">
        <f t="shared" si="2"/>
        <v>-1.4867539906498806E-2</v>
      </c>
      <c r="E110">
        <f t="shared" si="3"/>
        <v>16.4599609375</v>
      </c>
      <c r="Q110" s="8"/>
    </row>
    <row r="111" spans="1:17" x14ac:dyDescent="0.2">
      <c r="A111" s="18">
        <v>45910</v>
      </c>
      <c r="B111">
        <v>226.36</v>
      </c>
      <c r="C111">
        <v>6532.0400390625</v>
      </c>
      <c r="D111" s="8">
        <f t="shared" si="2"/>
        <v>-3.2235998289867451E-2</v>
      </c>
      <c r="E111">
        <f t="shared" si="3"/>
        <v>18.43017578125</v>
      </c>
      <c r="Q111" s="8"/>
    </row>
    <row r="112" spans="1:17" x14ac:dyDescent="0.2">
      <c r="A112" s="18">
        <v>45911</v>
      </c>
      <c r="B112">
        <v>229.59</v>
      </c>
      <c r="C112">
        <v>6587.47021484375</v>
      </c>
      <c r="D112" s="8">
        <f t="shared" si="2"/>
        <v>1.4269305531012577E-2</v>
      </c>
      <c r="E112">
        <f t="shared" si="3"/>
        <v>54.43017578125</v>
      </c>
      <c r="Q112" s="8"/>
    </row>
    <row r="113" spans="1:17" x14ac:dyDescent="0.2">
      <c r="A113" s="18">
        <v>45912</v>
      </c>
      <c r="B113">
        <v>233.62</v>
      </c>
      <c r="C113">
        <v>6584.2900390625</v>
      </c>
      <c r="D113" s="8">
        <f t="shared" si="2"/>
        <v>1.7553029313123414E-2</v>
      </c>
      <c r="E113">
        <f t="shared" si="3"/>
        <v>-4.18017578125</v>
      </c>
      <c r="Q113" s="8"/>
    </row>
    <row r="114" spans="1:17" x14ac:dyDescent="0.2">
      <c r="A114" s="18">
        <v>45915</v>
      </c>
      <c r="B114">
        <v>236.25</v>
      </c>
      <c r="C114">
        <v>6615.27978515625</v>
      </c>
      <c r="D114" s="8">
        <f t="shared" si="2"/>
        <v>1.125759780840685E-2</v>
      </c>
      <c r="E114">
        <f t="shared" si="3"/>
        <v>29.98974609375</v>
      </c>
      <c r="Q114" s="8"/>
    </row>
    <row r="115" spans="1:17" x14ac:dyDescent="0.2">
      <c r="A115" s="18">
        <v>45916</v>
      </c>
      <c r="B115">
        <v>237.7</v>
      </c>
      <c r="C115">
        <v>6606.759765625</v>
      </c>
      <c r="D115" s="8">
        <f t="shared" si="2"/>
        <v>6.1375661375659973E-3</v>
      </c>
      <c r="E115">
        <f t="shared" si="3"/>
        <v>-9.52001953125</v>
      </c>
      <c r="Q115" s="8"/>
    </row>
    <row r="116" spans="1:17" x14ac:dyDescent="0.2">
      <c r="A116" s="18">
        <v>45917</v>
      </c>
      <c r="B116">
        <v>238.54</v>
      </c>
      <c r="C116">
        <v>6600.35009765625</v>
      </c>
      <c r="D116" s="8">
        <f t="shared" si="2"/>
        <v>3.5338662179218439E-3</v>
      </c>
      <c r="E116">
        <f t="shared" si="3"/>
        <v>-7.40966796875</v>
      </c>
      <c r="Q116" s="8"/>
    </row>
    <row r="117" spans="1:17" x14ac:dyDescent="0.2">
      <c r="A117" s="18">
        <v>45918</v>
      </c>
      <c r="B117">
        <v>237.43</v>
      </c>
      <c r="C117">
        <v>6631.9599609375</v>
      </c>
      <c r="D117" s="8">
        <f t="shared" si="2"/>
        <v>-4.6533076213631785E-3</v>
      </c>
      <c r="E117">
        <f t="shared" si="3"/>
        <v>30.60986328125</v>
      </c>
      <c r="Q117" s="8"/>
    </row>
    <row r="118" spans="1:17" x14ac:dyDescent="0.2">
      <c r="A118" s="18">
        <v>45919</v>
      </c>
      <c r="B118">
        <v>245.03</v>
      </c>
      <c r="C118">
        <v>6664.35986328125</v>
      </c>
      <c r="D118" s="8">
        <f t="shared" si="2"/>
        <v>3.2009434359600686E-2</v>
      </c>
      <c r="E118">
        <f t="shared" si="3"/>
        <v>31.39990234375</v>
      </c>
      <c r="Q118" s="8"/>
    </row>
    <row r="119" spans="1:17" x14ac:dyDescent="0.2">
      <c r="A119" s="18">
        <v>45922</v>
      </c>
      <c r="B119">
        <v>255.59</v>
      </c>
      <c r="C119">
        <v>6693.75</v>
      </c>
      <c r="D119" s="8">
        <f t="shared" si="2"/>
        <v>4.309676366159243E-2</v>
      </c>
      <c r="E119">
        <f t="shared" si="3"/>
        <v>28.39013671875</v>
      </c>
      <c r="Q119" s="8"/>
    </row>
    <row r="120" spans="1:17" x14ac:dyDescent="0.2">
      <c r="A120" s="18">
        <v>45923</v>
      </c>
      <c r="B120">
        <v>253.95</v>
      </c>
      <c r="C120">
        <v>6656.919921875</v>
      </c>
      <c r="D120" s="8">
        <f t="shared" si="2"/>
        <v>-6.4165264681717016E-3</v>
      </c>
      <c r="E120">
        <f t="shared" si="3"/>
        <v>-37.830078125</v>
      </c>
      <c r="Q120" s="8"/>
    </row>
    <row r="121" spans="1:17" x14ac:dyDescent="0.2">
      <c r="A121" s="18">
        <v>45924</v>
      </c>
      <c r="B121">
        <v>251.83</v>
      </c>
      <c r="C121">
        <v>6637.97021484375</v>
      </c>
      <c r="D121" s="8">
        <f t="shared" si="2"/>
        <v>-8.3481000196887756E-3</v>
      </c>
      <c r="E121">
        <f t="shared" si="3"/>
        <v>-19.94970703125</v>
      </c>
      <c r="Q121" s="8"/>
    </row>
    <row r="122" spans="1:17" x14ac:dyDescent="0.2">
      <c r="A122" s="18">
        <v>45925</v>
      </c>
      <c r="B122">
        <v>256.38</v>
      </c>
      <c r="C122">
        <v>6604.72021484375</v>
      </c>
      <c r="D122" s="8">
        <f t="shared" si="2"/>
        <v>1.8067744113092088E-2</v>
      </c>
      <c r="E122">
        <f t="shared" si="3"/>
        <v>-34.25</v>
      </c>
      <c r="Q122" s="8"/>
    </row>
    <row r="123" spans="1:17" x14ac:dyDescent="0.2">
      <c r="A123" s="18">
        <v>45926</v>
      </c>
      <c r="B123">
        <v>254.97</v>
      </c>
      <c r="C123">
        <v>6643.7001953125</v>
      </c>
      <c r="D123" s="8">
        <f t="shared" si="2"/>
        <v>-5.4996489585771302E-3</v>
      </c>
      <c r="E123">
        <f t="shared" si="3"/>
        <v>37.97998046875</v>
      </c>
      <c r="Q123" s="8"/>
    </row>
    <row r="124" spans="1:17" x14ac:dyDescent="0.2">
      <c r="A124" s="18">
        <v>45929</v>
      </c>
      <c r="B124">
        <v>253.95</v>
      </c>
      <c r="C124">
        <v>6661.2099609375</v>
      </c>
      <c r="D124" s="8">
        <f t="shared" si="2"/>
        <v>-4.0004706436052029E-3</v>
      </c>
      <c r="E124">
        <f t="shared" si="3"/>
        <v>16.509765625</v>
      </c>
      <c r="Q124" s="8"/>
    </row>
    <row r="125" spans="1:17" x14ac:dyDescent="0.2">
      <c r="A125" s="18">
        <v>45930</v>
      </c>
      <c r="B125">
        <v>254.15</v>
      </c>
      <c r="C125">
        <v>6688.4599609375</v>
      </c>
      <c r="D125" s="8">
        <f t="shared" si="2"/>
        <v>7.8755660563101237E-4</v>
      </c>
      <c r="E125">
        <f t="shared" si="3"/>
        <v>26.25</v>
      </c>
      <c r="Q125" s="8"/>
    </row>
    <row r="126" spans="1:17" x14ac:dyDescent="0.2">
      <c r="A126" s="18">
        <v>45931</v>
      </c>
      <c r="B126">
        <v>254.96</v>
      </c>
      <c r="C126">
        <v>6711.2001953125</v>
      </c>
      <c r="D126" s="8">
        <f t="shared" si="2"/>
        <v>3.1870942356875265E-3</v>
      </c>
      <c r="E126">
        <f t="shared" si="3"/>
        <v>21.740234375</v>
      </c>
      <c r="Q126" s="8"/>
    </row>
    <row r="127" spans="1:17" x14ac:dyDescent="0.2">
      <c r="A127" s="18">
        <v>45932</v>
      </c>
      <c r="B127">
        <v>256.64</v>
      </c>
      <c r="C127">
        <v>6715.35009765625</v>
      </c>
      <c r="D127" s="8">
        <f t="shared" si="2"/>
        <v>6.589268904926282E-3</v>
      </c>
      <c r="E127">
        <f t="shared" si="3"/>
        <v>3.14990234375</v>
      </c>
      <c r="Q127" s="8"/>
    </row>
    <row r="128" spans="1:17" x14ac:dyDescent="0.2">
      <c r="A128" s="18">
        <v>45933</v>
      </c>
      <c r="B128">
        <v>257.52999999999997</v>
      </c>
      <c r="C128">
        <v>6715.7900390625</v>
      </c>
      <c r="D128" s="8">
        <f t="shared" si="2"/>
        <v>3.4678927680797944E-3</v>
      </c>
      <c r="E128">
        <f t="shared" si="3"/>
        <v>-0.56005859375</v>
      </c>
      <c r="Q128" s="8"/>
    </row>
    <row r="129" spans="1:17" x14ac:dyDescent="0.2">
      <c r="A129" s="18">
        <v>45936</v>
      </c>
      <c r="B129">
        <v>256.2</v>
      </c>
      <c r="C129">
        <v>6740.27978515625</v>
      </c>
      <c r="D129" s="8">
        <f t="shared" si="2"/>
        <v>-5.1644468605598348E-3</v>
      </c>
      <c r="E129">
        <f t="shared" si="3"/>
        <v>23.48974609375</v>
      </c>
      <c r="Q129" s="8"/>
    </row>
    <row r="130" spans="1:17" x14ac:dyDescent="0.2">
      <c r="A130" s="18">
        <v>45937</v>
      </c>
      <c r="B130">
        <v>255.99</v>
      </c>
      <c r="C130">
        <v>6714.58984375</v>
      </c>
      <c r="D130" s="8">
        <f t="shared" si="2"/>
        <v>-8.1967213114741977E-4</v>
      </c>
      <c r="E130">
        <f t="shared" si="3"/>
        <v>-26.68994140625</v>
      </c>
      <c r="Q130" s="8"/>
    </row>
    <row r="131" spans="1:17" x14ac:dyDescent="0.2">
      <c r="A131" s="18">
        <v>45938</v>
      </c>
      <c r="B131">
        <v>257.57</v>
      </c>
      <c r="C131">
        <v>6753.72021484375</v>
      </c>
      <c r="D131" s="8">
        <f t="shared" si="2"/>
        <v>6.172116098285052E-3</v>
      </c>
      <c r="E131">
        <f t="shared" si="3"/>
        <v>38.13037109375</v>
      </c>
      <c r="Q131" s="8"/>
    </row>
    <row r="132" spans="1:17" x14ac:dyDescent="0.2">
      <c r="A132" s="18">
        <v>45939</v>
      </c>
      <c r="B132">
        <v>253.56</v>
      </c>
      <c r="C132">
        <v>6735.10986328125</v>
      </c>
      <c r="D132" s="8">
        <f t="shared" ref="D132:D195" si="4">(B132/B131)-1</f>
        <v>-1.5568583297744243E-2</v>
      </c>
      <c r="E132">
        <f t="shared" ref="E132:E195" si="5">(C132-C131)-1</f>
        <v>-19.6103515625</v>
      </c>
      <c r="Q132" s="8"/>
    </row>
    <row r="133" spans="1:17" x14ac:dyDescent="0.2">
      <c r="A133" s="18">
        <v>45940</v>
      </c>
      <c r="B133">
        <v>244.8</v>
      </c>
      <c r="C133">
        <v>6552.509765625</v>
      </c>
      <c r="D133" s="8">
        <f t="shared" si="4"/>
        <v>-3.4548035967818191E-2</v>
      </c>
      <c r="E133">
        <f t="shared" si="5"/>
        <v>-183.60009765625</v>
      </c>
      <c r="Q133" s="8"/>
    </row>
    <row r="134" spans="1:17" x14ac:dyDescent="0.2">
      <c r="A134" s="18">
        <v>45943</v>
      </c>
      <c r="B134">
        <v>247.19</v>
      </c>
      <c r="C134">
        <v>6654.72021484375</v>
      </c>
      <c r="D134" s="8">
        <f t="shared" si="4"/>
        <v>9.7630718954246909E-3</v>
      </c>
      <c r="E134">
        <f t="shared" si="5"/>
        <v>101.21044921875</v>
      </c>
      <c r="Q134" s="8"/>
    </row>
    <row r="135" spans="1:17" x14ac:dyDescent="0.2">
      <c r="A135" s="18">
        <v>45944</v>
      </c>
      <c r="B135">
        <v>247.3</v>
      </c>
      <c r="C135">
        <v>6644.31005859375</v>
      </c>
      <c r="D135" s="8">
        <f t="shared" si="4"/>
        <v>4.4500182046203207E-4</v>
      </c>
      <c r="E135">
        <f t="shared" si="5"/>
        <v>-11.41015625</v>
      </c>
      <c r="Q135" s="8"/>
    </row>
    <row r="136" spans="1:17" x14ac:dyDescent="0.2">
      <c r="A136" s="18">
        <v>45945</v>
      </c>
      <c r="B136">
        <v>248.87</v>
      </c>
      <c r="C136">
        <v>6671.06005859375</v>
      </c>
      <c r="D136" s="8">
        <f t="shared" si="4"/>
        <v>6.3485644965628474E-3</v>
      </c>
      <c r="E136">
        <f t="shared" si="5"/>
        <v>25.75</v>
      </c>
      <c r="Q136" s="8"/>
    </row>
    <row r="137" spans="1:17" x14ac:dyDescent="0.2">
      <c r="A137" s="18">
        <v>45946</v>
      </c>
      <c r="B137">
        <v>246.98</v>
      </c>
      <c r="C137">
        <v>6629.06982421875</v>
      </c>
      <c r="D137" s="8">
        <f t="shared" si="4"/>
        <v>-7.5943263551252471E-3</v>
      </c>
      <c r="E137">
        <f t="shared" si="5"/>
        <v>-42.990234375</v>
      </c>
      <c r="Q137" s="8"/>
    </row>
    <row r="138" spans="1:17" x14ac:dyDescent="0.2">
      <c r="A138" s="18">
        <v>45947</v>
      </c>
      <c r="B138">
        <v>251.81</v>
      </c>
      <c r="C138">
        <v>6664.009765625</v>
      </c>
      <c r="D138" s="8">
        <f t="shared" si="4"/>
        <v>1.9556239371609108E-2</v>
      </c>
      <c r="E138">
        <f t="shared" si="5"/>
        <v>33.93994140625</v>
      </c>
      <c r="Q138" s="8"/>
    </row>
    <row r="139" spans="1:17" x14ac:dyDescent="0.2">
      <c r="A139" s="18">
        <v>45950</v>
      </c>
      <c r="B139">
        <v>261.74</v>
      </c>
      <c r="C139">
        <v>6735.1298828125</v>
      </c>
      <c r="D139" s="8">
        <f t="shared" si="4"/>
        <v>3.9434494261546327E-2</v>
      </c>
      <c r="E139">
        <f t="shared" si="5"/>
        <v>70.1201171875</v>
      </c>
      <c r="Q139" s="8"/>
    </row>
    <row r="140" spans="1:17" x14ac:dyDescent="0.2">
      <c r="A140" s="18">
        <v>45951</v>
      </c>
      <c r="B140">
        <v>262.27</v>
      </c>
      <c r="C140">
        <v>6735.35009765625</v>
      </c>
      <c r="D140" s="8">
        <f t="shared" si="4"/>
        <v>2.0249102162450683E-3</v>
      </c>
      <c r="E140">
        <f t="shared" si="5"/>
        <v>-0.77978515625</v>
      </c>
      <c r="Q140" s="8"/>
    </row>
    <row r="141" spans="1:17" x14ac:dyDescent="0.2">
      <c r="A141" s="18">
        <v>45952</v>
      </c>
      <c r="B141">
        <v>257.95999999999998</v>
      </c>
      <c r="C141">
        <v>6699.39990234375</v>
      </c>
      <c r="D141" s="8">
        <f t="shared" si="4"/>
        <v>-1.643344644831668E-2</v>
      </c>
      <c r="E141">
        <f t="shared" si="5"/>
        <v>-36.9501953125</v>
      </c>
      <c r="Q141" s="8"/>
    </row>
    <row r="142" spans="1:17" x14ac:dyDescent="0.2">
      <c r="A142" s="18">
        <v>45953</v>
      </c>
      <c r="B142">
        <v>259.08999999999997</v>
      </c>
      <c r="C142">
        <v>6738.43994140625</v>
      </c>
      <c r="D142" s="8">
        <f t="shared" si="4"/>
        <v>4.3805241122654159E-3</v>
      </c>
      <c r="E142">
        <f t="shared" si="5"/>
        <v>38.0400390625</v>
      </c>
      <c r="Q142" s="8"/>
    </row>
    <row r="143" spans="1:17" x14ac:dyDescent="0.2">
      <c r="A143" s="18">
        <v>45954</v>
      </c>
      <c r="B143">
        <v>262.32</v>
      </c>
      <c r="C143">
        <v>6791.68994140625</v>
      </c>
      <c r="D143" s="8">
        <f t="shared" si="4"/>
        <v>1.2466710409510195E-2</v>
      </c>
      <c r="E143">
        <f t="shared" si="5"/>
        <v>52.25</v>
      </c>
      <c r="Q143" s="8"/>
    </row>
    <row r="144" spans="1:17" x14ac:dyDescent="0.2">
      <c r="A144" s="18">
        <v>45957</v>
      </c>
      <c r="B144">
        <v>268.3</v>
      </c>
      <c r="C144">
        <v>6875.16015625</v>
      </c>
      <c r="D144" s="8">
        <f t="shared" si="4"/>
        <v>2.2796584324489277E-2</v>
      </c>
      <c r="E144">
        <f t="shared" si="5"/>
        <v>82.47021484375</v>
      </c>
      <c r="Q144" s="8"/>
    </row>
    <row r="145" spans="1:17" x14ac:dyDescent="0.2">
      <c r="A145" s="18">
        <v>45958</v>
      </c>
      <c r="B145">
        <v>268.49</v>
      </c>
      <c r="C145">
        <v>6890.89013671875</v>
      </c>
      <c r="D145" s="8">
        <f t="shared" si="4"/>
        <v>7.0816250465899344E-4</v>
      </c>
      <c r="E145">
        <f t="shared" si="5"/>
        <v>14.72998046875</v>
      </c>
      <c r="Q145" s="8"/>
    </row>
    <row r="146" spans="1:17" x14ac:dyDescent="0.2">
      <c r="A146" s="18">
        <v>45959</v>
      </c>
      <c r="B146">
        <v>269.19</v>
      </c>
      <c r="C146">
        <v>6890.58984375</v>
      </c>
      <c r="D146" s="8">
        <f t="shared" si="4"/>
        <v>2.6071734515251688E-3</v>
      </c>
      <c r="E146">
        <f t="shared" si="5"/>
        <v>-1.30029296875</v>
      </c>
      <c r="Q146" s="8"/>
    </row>
    <row r="147" spans="1:17" x14ac:dyDescent="0.2">
      <c r="A147" s="18">
        <v>45960</v>
      </c>
      <c r="B147">
        <v>270.88</v>
      </c>
      <c r="C147">
        <v>6822.33984375</v>
      </c>
      <c r="D147" s="8">
        <f t="shared" si="4"/>
        <v>6.2780935398789595E-3</v>
      </c>
      <c r="E147">
        <f t="shared" si="5"/>
        <v>-69.25</v>
      </c>
      <c r="Q147" s="8"/>
    </row>
    <row r="148" spans="1:17" x14ac:dyDescent="0.2">
      <c r="A148" s="18">
        <v>45961</v>
      </c>
      <c r="B148">
        <v>269.86</v>
      </c>
      <c r="C148">
        <v>6840.2001953125</v>
      </c>
      <c r="D148" s="8">
        <f t="shared" si="4"/>
        <v>-3.7655050206732987E-3</v>
      </c>
      <c r="E148">
        <f t="shared" si="5"/>
        <v>16.8603515625</v>
      </c>
      <c r="Q148" s="8"/>
    </row>
    <row r="149" spans="1:17" x14ac:dyDescent="0.2">
      <c r="A149" s="18">
        <v>45964</v>
      </c>
      <c r="B149">
        <v>268.54000000000002</v>
      </c>
      <c r="C149">
        <v>6851.97021484375</v>
      </c>
      <c r="D149" s="8">
        <f t="shared" si="4"/>
        <v>-4.8914251834284439E-3</v>
      </c>
      <c r="E149">
        <f t="shared" si="5"/>
        <v>10.77001953125</v>
      </c>
      <c r="Q149" s="8"/>
    </row>
    <row r="150" spans="1:17" x14ac:dyDescent="0.2">
      <c r="A150" s="18">
        <v>45965</v>
      </c>
      <c r="B150">
        <v>269.52999999999997</v>
      </c>
      <c r="C150">
        <v>6771.5498046875</v>
      </c>
      <c r="D150" s="8">
        <f t="shared" si="4"/>
        <v>3.6866016235941323E-3</v>
      </c>
      <c r="E150">
        <f t="shared" si="5"/>
        <v>-81.42041015625</v>
      </c>
      <c r="Q150" s="8"/>
    </row>
    <row r="151" spans="1:17" x14ac:dyDescent="0.2">
      <c r="A151" s="18">
        <v>45966</v>
      </c>
      <c r="B151">
        <v>269.63</v>
      </c>
      <c r="C151">
        <v>6796.2900390625</v>
      </c>
      <c r="D151" s="8">
        <f t="shared" si="4"/>
        <v>3.7101621340851487E-4</v>
      </c>
      <c r="E151">
        <f t="shared" si="5"/>
        <v>23.740234375</v>
      </c>
      <c r="Q151" s="8"/>
    </row>
    <row r="152" spans="1:17" x14ac:dyDescent="0.2">
      <c r="A152" s="18">
        <v>45967</v>
      </c>
      <c r="B152">
        <v>269.26</v>
      </c>
      <c r="C152">
        <v>6720.31982421875</v>
      </c>
      <c r="D152" s="8">
        <f t="shared" si="4"/>
        <v>-1.3722508622927565E-3</v>
      </c>
      <c r="E152">
        <f t="shared" si="5"/>
        <v>-76.97021484375</v>
      </c>
      <c r="Q152" s="8"/>
    </row>
    <row r="153" spans="1:17" x14ac:dyDescent="0.2">
      <c r="A153" s="18">
        <v>45968</v>
      </c>
      <c r="B153">
        <v>267.95999999999998</v>
      </c>
      <c r="C153">
        <v>6728.7998046875</v>
      </c>
      <c r="D153" s="8">
        <f t="shared" si="4"/>
        <v>-4.8280472405853869E-3</v>
      </c>
      <c r="E153">
        <f t="shared" si="5"/>
        <v>7.47998046875</v>
      </c>
      <c r="Q153" s="8"/>
    </row>
    <row r="154" spans="1:17" x14ac:dyDescent="0.2">
      <c r="A154" s="18">
        <v>45971</v>
      </c>
      <c r="B154">
        <v>269.18</v>
      </c>
      <c r="C154">
        <v>6832.43017578125</v>
      </c>
      <c r="D154" s="8">
        <f t="shared" si="4"/>
        <v>4.5529183460220057E-3</v>
      </c>
      <c r="E154">
        <f t="shared" si="5"/>
        <v>102.63037109375</v>
      </c>
      <c r="Q154" s="8"/>
    </row>
    <row r="155" spans="1:17" x14ac:dyDescent="0.2">
      <c r="A155" s="18">
        <v>45972</v>
      </c>
      <c r="B155">
        <v>274.99</v>
      </c>
      <c r="C155">
        <v>6846.60986328125</v>
      </c>
      <c r="D155" s="8">
        <f t="shared" si="4"/>
        <v>2.1584070138940481E-2</v>
      </c>
      <c r="E155">
        <f t="shared" si="5"/>
        <v>13.1796875</v>
      </c>
      <c r="Q155" s="8"/>
    </row>
    <row r="156" spans="1:17" x14ac:dyDescent="0.2">
      <c r="A156" s="18">
        <v>45973</v>
      </c>
      <c r="B156">
        <v>273.20999999999998</v>
      </c>
      <c r="C156">
        <v>6850.919921875</v>
      </c>
      <c r="D156" s="8">
        <f t="shared" si="4"/>
        <v>-6.4729626531875306E-3</v>
      </c>
      <c r="E156">
        <f t="shared" si="5"/>
        <v>3.31005859375</v>
      </c>
      <c r="Q156" s="8"/>
    </row>
    <row r="157" spans="1:17" x14ac:dyDescent="0.2">
      <c r="A157" s="18">
        <v>45974</v>
      </c>
      <c r="B157">
        <v>272.69</v>
      </c>
      <c r="C157">
        <v>6737.490234375</v>
      </c>
      <c r="D157" s="8">
        <f t="shared" si="4"/>
        <v>-1.9032978295083769E-3</v>
      </c>
      <c r="E157">
        <f t="shared" si="5"/>
        <v>-114.4296875</v>
      </c>
      <c r="Q157" s="8"/>
    </row>
    <row r="158" spans="1:17" x14ac:dyDescent="0.2">
      <c r="A158" s="18">
        <v>45975</v>
      </c>
      <c r="B158">
        <v>272.16000000000003</v>
      </c>
      <c r="C158">
        <v>6734.10986328125</v>
      </c>
      <c r="D158" s="8">
        <f t="shared" si="4"/>
        <v>-1.9435989585242508E-3</v>
      </c>
      <c r="E158">
        <f t="shared" si="5"/>
        <v>-4.38037109375</v>
      </c>
      <c r="Q158" s="8"/>
    </row>
    <row r="159" spans="1:17" x14ac:dyDescent="0.2">
      <c r="A159" s="18">
        <v>45978</v>
      </c>
      <c r="B159">
        <v>267.20999999999998</v>
      </c>
      <c r="C159">
        <v>6672.41015625</v>
      </c>
      <c r="D159" s="8">
        <f t="shared" si="4"/>
        <v>-1.8187830687830808E-2</v>
      </c>
      <c r="E159">
        <f t="shared" si="5"/>
        <v>-62.69970703125</v>
      </c>
      <c r="Q159" s="8"/>
    </row>
    <row r="160" spans="1:17" x14ac:dyDescent="0.2">
      <c r="A160" s="18">
        <v>45979</v>
      </c>
      <c r="B160">
        <v>267.19</v>
      </c>
      <c r="C160">
        <v>6617.31982421875</v>
      </c>
      <c r="D160" s="8">
        <f t="shared" si="4"/>
        <v>-7.4847498222285758E-5</v>
      </c>
      <c r="E160">
        <f t="shared" si="5"/>
        <v>-56.09033203125</v>
      </c>
      <c r="Q160" s="8"/>
    </row>
    <row r="161" spans="1:17" x14ac:dyDescent="0.2">
      <c r="A161" s="18">
        <v>45980</v>
      </c>
      <c r="B161">
        <v>268.31</v>
      </c>
      <c r="C161">
        <v>6642.16015625</v>
      </c>
      <c r="D161" s="8">
        <f t="shared" si="4"/>
        <v>4.1917736442231845E-3</v>
      </c>
      <c r="E161">
        <f t="shared" si="5"/>
        <v>23.84033203125</v>
      </c>
      <c r="Q161" s="8"/>
    </row>
    <row r="162" spans="1:17" x14ac:dyDescent="0.2">
      <c r="A162" s="18">
        <v>45981</v>
      </c>
      <c r="B162">
        <v>266</v>
      </c>
      <c r="C162">
        <v>6538.759765625</v>
      </c>
      <c r="D162" s="8">
        <f t="shared" si="4"/>
        <v>-8.6094442995042764E-3</v>
      </c>
      <c r="E162">
        <f t="shared" si="5"/>
        <v>-104.400390625</v>
      </c>
      <c r="Q162" s="8"/>
    </row>
    <row r="163" spans="1:17" x14ac:dyDescent="0.2">
      <c r="A163" s="18">
        <v>45982</v>
      </c>
      <c r="B163">
        <v>271.24</v>
      </c>
      <c r="C163">
        <v>6602.990234375</v>
      </c>
      <c r="D163" s="8">
        <f t="shared" si="4"/>
        <v>1.9699248120300883E-2</v>
      </c>
      <c r="E163">
        <f t="shared" si="5"/>
        <v>63.23046875</v>
      </c>
      <c r="Q163" s="8"/>
    </row>
    <row r="164" spans="1:17" x14ac:dyDescent="0.2">
      <c r="A164" s="18">
        <v>45985</v>
      </c>
      <c r="B164">
        <v>275.66000000000003</v>
      </c>
      <c r="C164">
        <v>6705.1201171875</v>
      </c>
      <c r="D164" s="8">
        <f t="shared" si="4"/>
        <v>1.6295531632502636E-2</v>
      </c>
      <c r="E164">
        <f t="shared" si="5"/>
        <v>101.1298828125</v>
      </c>
      <c r="Q164" s="8"/>
    </row>
    <row r="165" spans="1:17" x14ac:dyDescent="0.2">
      <c r="A165" s="18">
        <v>45986</v>
      </c>
      <c r="B165">
        <v>276.70999999999998</v>
      </c>
      <c r="C165">
        <v>6765.8798828125</v>
      </c>
      <c r="D165" s="8">
        <f t="shared" si="4"/>
        <v>3.8090401218890957E-3</v>
      </c>
      <c r="E165">
        <f t="shared" si="5"/>
        <v>59.759765625</v>
      </c>
      <c r="Q165" s="8"/>
    </row>
    <row r="166" spans="1:17" x14ac:dyDescent="0.2">
      <c r="A166" s="18">
        <v>45987</v>
      </c>
      <c r="B166">
        <v>277.29000000000002</v>
      </c>
      <c r="C166">
        <v>6812.60986328125</v>
      </c>
      <c r="D166" s="8">
        <f t="shared" si="4"/>
        <v>2.0960572440462677E-3</v>
      </c>
      <c r="E166">
        <f t="shared" si="5"/>
        <v>45.72998046875</v>
      </c>
      <c r="Q166" s="8"/>
    </row>
    <row r="167" spans="1:17" x14ac:dyDescent="0.2">
      <c r="A167" s="18">
        <v>45989</v>
      </c>
      <c r="B167">
        <v>278.58999999999997</v>
      </c>
      <c r="C167">
        <v>6849.08984375</v>
      </c>
      <c r="D167" s="8">
        <f t="shared" si="4"/>
        <v>4.6882325363335475E-3</v>
      </c>
      <c r="E167">
        <f t="shared" si="5"/>
        <v>35.47998046875</v>
      </c>
      <c r="Q167" s="8"/>
    </row>
    <row r="168" spans="1:17" x14ac:dyDescent="0.2">
      <c r="A168" s="18">
        <v>45992</v>
      </c>
      <c r="B168">
        <v>282.83999999999997</v>
      </c>
      <c r="C168">
        <v>6812.6298828125</v>
      </c>
      <c r="D168" s="8">
        <f t="shared" si="4"/>
        <v>1.5255393230194869E-2</v>
      </c>
      <c r="E168">
        <f t="shared" si="5"/>
        <v>-37.4599609375</v>
      </c>
      <c r="Q168" s="8"/>
    </row>
    <row r="169" spans="1:17" x14ac:dyDescent="0.2">
      <c r="A169" s="18">
        <v>45993</v>
      </c>
      <c r="B169">
        <v>285.92</v>
      </c>
      <c r="C169">
        <v>6829.3701171875</v>
      </c>
      <c r="D169" s="8">
        <f t="shared" si="4"/>
        <v>1.0889548861547249E-2</v>
      </c>
      <c r="E169">
        <f t="shared" si="5"/>
        <v>15.740234375</v>
      </c>
      <c r="Q169" s="8"/>
    </row>
    <row r="170" spans="1:17" x14ac:dyDescent="0.2">
      <c r="A170" s="18">
        <v>45994</v>
      </c>
      <c r="B170">
        <v>283.88</v>
      </c>
      <c r="C170">
        <v>6849.72021484375</v>
      </c>
      <c r="D170" s="8">
        <f t="shared" si="4"/>
        <v>-7.1348628987130125E-3</v>
      </c>
      <c r="E170">
        <f t="shared" si="5"/>
        <v>19.35009765625</v>
      </c>
      <c r="Q170" s="8"/>
    </row>
    <row r="171" spans="1:17" x14ac:dyDescent="0.2">
      <c r="A171" s="18">
        <v>45995</v>
      </c>
      <c r="B171">
        <v>280.44</v>
      </c>
      <c r="C171">
        <v>6857.1201171875</v>
      </c>
      <c r="D171" s="8">
        <f t="shared" si="4"/>
        <v>-1.2117796251937429E-2</v>
      </c>
      <c r="E171">
        <f t="shared" si="5"/>
        <v>6.39990234375</v>
      </c>
      <c r="Q171" s="8"/>
    </row>
    <row r="172" spans="1:17" x14ac:dyDescent="0.2">
      <c r="A172" s="18">
        <v>45996</v>
      </c>
      <c r="B172">
        <v>278.52</v>
      </c>
      <c r="C172">
        <v>6870.39990234375</v>
      </c>
      <c r="D172" s="8">
        <f t="shared" si="4"/>
        <v>-6.8463842533162955E-3</v>
      </c>
      <c r="E172">
        <f t="shared" si="5"/>
        <v>12.27978515625</v>
      </c>
      <c r="Q172" s="8"/>
    </row>
    <row r="173" spans="1:17" x14ac:dyDescent="0.2">
      <c r="A173" s="18">
        <v>45999</v>
      </c>
      <c r="B173">
        <v>277.63</v>
      </c>
      <c r="C173">
        <v>6846.509765625</v>
      </c>
      <c r="D173" s="8">
        <f t="shared" si="4"/>
        <v>-3.1954617262673901E-3</v>
      </c>
      <c r="E173">
        <f t="shared" si="5"/>
        <v>-24.89013671875</v>
      </c>
      <c r="Q173" s="8"/>
    </row>
    <row r="174" spans="1:17" x14ac:dyDescent="0.2">
      <c r="A174" s="18">
        <v>46000</v>
      </c>
      <c r="B174">
        <v>276.92</v>
      </c>
      <c r="C174">
        <v>6840.509765625</v>
      </c>
      <c r="D174" s="8">
        <f t="shared" si="4"/>
        <v>-2.5573605157943602E-3</v>
      </c>
      <c r="E174">
        <f t="shared" si="5"/>
        <v>-7</v>
      </c>
      <c r="Q174" s="8"/>
    </row>
    <row r="175" spans="1:17" x14ac:dyDescent="0.2">
      <c r="A175" s="18">
        <v>46001</v>
      </c>
      <c r="B175">
        <v>278.52</v>
      </c>
      <c r="C175">
        <v>6886.68017578125</v>
      </c>
      <c r="D175" s="8">
        <f t="shared" si="4"/>
        <v>5.7778419760219357E-3</v>
      </c>
      <c r="E175">
        <f t="shared" si="5"/>
        <v>45.17041015625</v>
      </c>
      <c r="Q175" s="8"/>
    </row>
    <row r="176" spans="1:17" x14ac:dyDescent="0.2">
      <c r="A176" s="18">
        <v>46002</v>
      </c>
      <c r="B176">
        <v>277.77</v>
      </c>
      <c r="C176">
        <v>6901</v>
      </c>
      <c r="D176" s="8">
        <f t="shared" si="4"/>
        <v>-2.6928048255062675E-3</v>
      </c>
      <c r="E176">
        <f t="shared" si="5"/>
        <v>13.31982421875</v>
      </c>
      <c r="Q176" s="8"/>
    </row>
    <row r="177" spans="1:17" x14ac:dyDescent="0.2">
      <c r="A177" s="18">
        <v>46003</v>
      </c>
      <c r="B177">
        <v>278.02</v>
      </c>
      <c r="C177">
        <v>6827.41015625</v>
      </c>
      <c r="D177" s="8">
        <f t="shared" si="4"/>
        <v>9.0002520070564529E-4</v>
      </c>
      <c r="E177">
        <f t="shared" si="5"/>
        <v>-74.58984375</v>
      </c>
      <c r="Q177" s="8"/>
    </row>
    <row r="178" spans="1:17" x14ac:dyDescent="0.2">
      <c r="A178" s="18">
        <v>46006</v>
      </c>
      <c r="B178">
        <v>273.85000000000002</v>
      </c>
      <c r="C178">
        <v>6816.509765625</v>
      </c>
      <c r="D178" s="8">
        <f t="shared" si="4"/>
        <v>-1.4998920940939353E-2</v>
      </c>
      <c r="E178">
        <f t="shared" si="5"/>
        <v>-11.900390625</v>
      </c>
      <c r="Q178" s="8"/>
    </row>
    <row r="179" spans="1:17" x14ac:dyDescent="0.2">
      <c r="A179" s="18">
        <v>46007</v>
      </c>
      <c r="B179">
        <v>274.35000000000002</v>
      </c>
      <c r="C179">
        <v>6800.259765625</v>
      </c>
      <c r="D179" s="8">
        <f t="shared" si="4"/>
        <v>1.82581705313134E-3</v>
      </c>
      <c r="E179">
        <f t="shared" si="5"/>
        <v>-17.25</v>
      </c>
      <c r="Q179" s="8"/>
    </row>
    <row r="180" spans="1:17" x14ac:dyDescent="0.2">
      <c r="A180" s="18">
        <v>46008</v>
      </c>
      <c r="B180">
        <v>271.58999999999997</v>
      </c>
      <c r="C180">
        <v>6721.43017578125</v>
      </c>
      <c r="D180" s="8">
        <f t="shared" si="4"/>
        <v>-1.0060142154182827E-2</v>
      </c>
      <c r="E180">
        <f t="shared" si="5"/>
        <v>-79.82958984375</v>
      </c>
      <c r="Q180" s="8"/>
    </row>
    <row r="181" spans="1:17" x14ac:dyDescent="0.2">
      <c r="A181" s="18">
        <v>46009</v>
      </c>
      <c r="B181">
        <v>271.94</v>
      </c>
      <c r="C181">
        <v>6774.759765625</v>
      </c>
      <c r="D181" s="8">
        <f t="shared" si="4"/>
        <v>1.2887072425347146E-3</v>
      </c>
      <c r="E181">
        <f t="shared" si="5"/>
        <v>52.32958984375</v>
      </c>
      <c r="Q181" s="8"/>
    </row>
    <row r="182" spans="1:17" x14ac:dyDescent="0.2">
      <c r="A182" s="18">
        <v>46010</v>
      </c>
      <c r="B182">
        <v>273.41000000000003</v>
      </c>
      <c r="C182">
        <v>6834.5</v>
      </c>
      <c r="D182" s="8">
        <f t="shared" si="4"/>
        <v>5.4056041773922203E-3</v>
      </c>
      <c r="E182">
        <f t="shared" si="5"/>
        <v>58.740234375</v>
      </c>
      <c r="Q182" s="8"/>
    </row>
    <row r="183" spans="1:17" x14ac:dyDescent="0.2">
      <c r="A183" s="18">
        <v>46013</v>
      </c>
      <c r="B183">
        <v>270.72000000000003</v>
      </c>
      <c r="C183">
        <v>6878.490234375</v>
      </c>
      <c r="D183" s="8">
        <f t="shared" si="4"/>
        <v>-9.8387037782085018E-3</v>
      </c>
      <c r="E183">
        <f t="shared" si="5"/>
        <v>42.990234375</v>
      </c>
      <c r="Q183" s="8"/>
    </row>
    <row r="184" spans="1:17" x14ac:dyDescent="0.2">
      <c r="A184" s="18">
        <v>46014</v>
      </c>
      <c r="B184">
        <v>272.11</v>
      </c>
      <c r="C184">
        <v>6909.7900390625</v>
      </c>
      <c r="D184" s="8">
        <f t="shared" si="4"/>
        <v>5.1344562647752667E-3</v>
      </c>
      <c r="E184">
        <f t="shared" si="5"/>
        <v>30.2998046875</v>
      </c>
      <c r="Q184" s="8"/>
    </row>
    <row r="185" spans="1:17" x14ac:dyDescent="0.2">
      <c r="A185" s="18">
        <v>46015</v>
      </c>
      <c r="B185">
        <v>273.55</v>
      </c>
      <c r="C185">
        <v>6932.0498046875</v>
      </c>
      <c r="D185" s="8">
        <f t="shared" si="4"/>
        <v>5.2919775090956023E-3</v>
      </c>
      <c r="E185">
        <f t="shared" si="5"/>
        <v>21.259765625</v>
      </c>
      <c r="Q185" s="8"/>
    </row>
    <row r="186" spans="1:17" x14ac:dyDescent="0.2">
      <c r="A186" s="18">
        <v>46017</v>
      </c>
      <c r="B186">
        <v>273.14</v>
      </c>
      <c r="C186">
        <v>6929.93994140625</v>
      </c>
      <c r="D186" s="8">
        <f t="shared" si="4"/>
        <v>-1.4988119173826586E-3</v>
      </c>
      <c r="E186">
        <f t="shared" si="5"/>
        <v>-3.10986328125</v>
      </c>
      <c r="Q186" s="8"/>
    </row>
    <row r="187" spans="1:17" x14ac:dyDescent="0.2">
      <c r="A187" s="18">
        <v>46020</v>
      </c>
      <c r="B187">
        <v>273.5</v>
      </c>
      <c r="C187">
        <v>6905.740234375</v>
      </c>
      <c r="D187" s="8">
        <f t="shared" si="4"/>
        <v>1.3180054184667167E-3</v>
      </c>
      <c r="E187">
        <f t="shared" si="5"/>
        <v>-25.19970703125</v>
      </c>
      <c r="Q187" s="8"/>
    </row>
    <row r="188" spans="1:17" x14ac:dyDescent="0.2">
      <c r="A188" s="18">
        <v>46021</v>
      </c>
      <c r="B188">
        <v>272.82</v>
      </c>
      <c r="C188">
        <v>6896.240234375</v>
      </c>
      <c r="D188" s="8">
        <f t="shared" si="4"/>
        <v>-2.4862888482632961E-3</v>
      </c>
      <c r="E188">
        <f t="shared" si="5"/>
        <v>-10.5</v>
      </c>
      <c r="Q188" s="8"/>
    </row>
    <row r="189" spans="1:17" x14ac:dyDescent="0.2">
      <c r="A189" s="18">
        <v>46022</v>
      </c>
      <c r="B189">
        <v>271.61</v>
      </c>
      <c r="C189">
        <v>6845.5</v>
      </c>
      <c r="D189" s="8">
        <f t="shared" si="4"/>
        <v>-4.4351587127042791E-3</v>
      </c>
      <c r="E189">
        <f t="shared" si="5"/>
        <v>-51.740234375</v>
      </c>
      <c r="Q189" s="8"/>
    </row>
    <row r="190" spans="1:17" x14ac:dyDescent="0.2">
      <c r="A190" s="18">
        <v>46024</v>
      </c>
      <c r="B190">
        <v>270.76</v>
      </c>
      <c r="C190">
        <v>6858.47021484375</v>
      </c>
      <c r="D190" s="8">
        <f t="shared" si="4"/>
        <v>-3.1294871322853357E-3</v>
      </c>
      <c r="E190">
        <f t="shared" si="5"/>
        <v>11.97021484375</v>
      </c>
      <c r="Q190" s="8"/>
    </row>
    <row r="191" spans="1:17" x14ac:dyDescent="0.2">
      <c r="A191" s="18">
        <v>46027</v>
      </c>
      <c r="B191">
        <v>267.01</v>
      </c>
      <c r="C191">
        <v>6902.0498046875</v>
      </c>
      <c r="D191" s="8">
        <f t="shared" si="4"/>
        <v>-1.38499039739991E-2</v>
      </c>
      <c r="E191">
        <f t="shared" si="5"/>
        <v>42.57958984375</v>
      </c>
      <c r="Q191" s="8"/>
    </row>
    <row r="192" spans="1:17" x14ac:dyDescent="0.2">
      <c r="A192" s="18">
        <v>46028</v>
      </c>
      <c r="B192">
        <v>262.11</v>
      </c>
      <c r="C192">
        <v>6944.81982421875</v>
      </c>
      <c r="D192" s="8">
        <f t="shared" si="4"/>
        <v>-1.8351372607767424E-2</v>
      </c>
      <c r="E192">
        <f t="shared" si="5"/>
        <v>41.77001953125</v>
      </c>
      <c r="Q192" s="8"/>
    </row>
    <row r="193" spans="1:17" x14ac:dyDescent="0.2">
      <c r="A193" s="18">
        <v>46029</v>
      </c>
      <c r="B193">
        <v>260.08999999999997</v>
      </c>
      <c r="C193">
        <v>6920.93017578125</v>
      </c>
      <c r="D193" s="8">
        <f t="shared" si="4"/>
        <v>-7.7066880317425701E-3</v>
      </c>
      <c r="E193">
        <f t="shared" si="5"/>
        <v>-24.8896484375</v>
      </c>
      <c r="Q193" s="8"/>
    </row>
    <row r="194" spans="1:17" x14ac:dyDescent="0.2">
      <c r="A194" s="18">
        <v>46030</v>
      </c>
      <c r="B194">
        <v>258.8</v>
      </c>
      <c r="C194">
        <v>6921.4599609375</v>
      </c>
      <c r="D194" s="8">
        <f t="shared" si="4"/>
        <v>-4.9598216002151307E-3</v>
      </c>
      <c r="E194">
        <f t="shared" si="5"/>
        <v>-0.47021484375</v>
      </c>
      <c r="Q194" s="8"/>
    </row>
    <row r="195" spans="1:17" x14ac:dyDescent="0.2">
      <c r="A195" s="18">
        <v>46031</v>
      </c>
      <c r="B195">
        <v>259.13</v>
      </c>
      <c r="C195">
        <v>6966.27978515625</v>
      </c>
      <c r="D195" s="8">
        <f t="shared" si="4"/>
        <v>1.2751159196289219E-3</v>
      </c>
      <c r="E195">
        <f t="shared" si="5"/>
        <v>43.81982421875</v>
      </c>
      <c r="Q195" s="8"/>
    </row>
    <row r="196" spans="1:17" x14ac:dyDescent="0.2">
      <c r="A196" s="18">
        <v>46034</v>
      </c>
      <c r="B196">
        <v>260.01</v>
      </c>
      <c r="C196">
        <v>6977.27001953125</v>
      </c>
      <c r="D196" s="8">
        <f t="shared" ref="D196:D252" si="6">(B196/B195)-1</f>
        <v>3.3959788523134637E-3</v>
      </c>
      <c r="E196">
        <f t="shared" ref="E196:E252" si="7">(C196-C195)-1</f>
        <v>9.990234375</v>
      </c>
      <c r="Q196" s="8"/>
    </row>
    <row r="197" spans="1:17" x14ac:dyDescent="0.2">
      <c r="A197" s="18">
        <v>46035</v>
      </c>
      <c r="B197">
        <v>260.81</v>
      </c>
      <c r="C197">
        <v>6963.740234375</v>
      </c>
      <c r="D197" s="8">
        <f t="shared" si="6"/>
        <v>3.0768047382794261E-3</v>
      </c>
      <c r="E197">
        <f t="shared" si="7"/>
        <v>-14.52978515625</v>
      </c>
      <c r="Q197" s="8"/>
    </row>
    <row r="198" spans="1:17" x14ac:dyDescent="0.2">
      <c r="A198" s="18">
        <v>46036</v>
      </c>
      <c r="B198">
        <v>259.72000000000003</v>
      </c>
      <c r="C198">
        <v>6926.60009765625</v>
      </c>
      <c r="D198" s="8">
        <f t="shared" si="6"/>
        <v>-4.1792876040027682E-3</v>
      </c>
      <c r="E198">
        <f t="shared" si="7"/>
        <v>-38.14013671875</v>
      </c>
      <c r="Q198" s="8"/>
    </row>
    <row r="199" spans="1:17" x14ac:dyDescent="0.2">
      <c r="A199" s="18">
        <v>46037</v>
      </c>
      <c r="B199">
        <v>257.97000000000003</v>
      </c>
      <c r="C199">
        <v>6944.47021484375</v>
      </c>
      <c r="D199" s="8">
        <f t="shared" si="6"/>
        <v>-6.7380255659941213E-3</v>
      </c>
      <c r="E199">
        <f t="shared" si="7"/>
        <v>16.8701171875</v>
      </c>
      <c r="Q199" s="8"/>
    </row>
    <row r="200" spans="1:17" x14ac:dyDescent="0.2">
      <c r="A200" s="18">
        <v>46038</v>
      </c>
      <c r="B200">
        <v>255.29</v>
      </c>
      <c r="C200">
        <v>6940.009765625</v>
      </c>
      <c r="D200" s="8">
        <f t="shared" si="6"/>
        <v>-1.0388804899794657E-2</v>
      </c>
      <c r="E200">
        <f t="shared" si="7"/>
        <v>-5.46044921875</v>
      </c>
      <c r="Q200" s="8"/>
    </row>
    <row r="201" spans="1:17" x14ac:dyDescent="0.2">
      <c r="A201" s="18">
        <v>46042</v>
      </c>
      <c r="B201">
        <v>246.47</v>
      </c>
      <c r="C201">
        <v>6796.85986328125</v>
      </c>
      <c r="D201" s="8">
        <f t="shared" si="6"/>
        <v>-3.454894433781186E-2</v>
      </c>
      <c r="E201">
        <f t="shared" si="7"/>
        <v>-144.14990234375</v>
      </c>
      <c r="Q201" s="8"/>
    </row>
    <row r="202" spans="1:17" x14ac:dyDescent="0.2">
      <c r="A202" s="18">
        <v>46043</v>
      </c>
      <c r="B202">
        <v>247.42</v>
      </c>
      <c r="C202">
        <v>6875.6201171875</v>
      </c>
      <c r="D202" s="8">
        <f t="shared" si="6"/>
        <v>3.8544244735667643E-3</v>
      </c>
      <c r="E202">
        <f t="shared" si="7"/>
        <v>77.76025390625</v>
      </c>
      <c r="Q202" s="8"/>
    </row>
    <row r="203" spans="1:17" x14ac:dyDescent="0.2">
      <c r="A203" s="18">
        <v>46044</v>
      </c>
      <c r="B203">
        <v>248.12</v>
      </c>
      <c r="C203">
        <v>6913.35009765625</v>
      </c>
      <c r="D203" s="8">
        <f t="shared" si="6"/>
        <v>2.8291973163043771E-3</v>
      </c>
      <c r="E203">
        <f t="shared" si="7"/>
        <v>36.72998046875</v>
      </c>
      <c r="Q203" s="8"/>
    </row>
    <row r="204" spans="1:17" x14ac:dyDescent="0.2">
      <c r="A204" s="18">
        <v>46045</v>
      </c>
      <c r="B204">
        <v>247.81</v>
      </c>
      <c r="C204">
        <v>6915.60986328125</v>
      </c>
      <c r="D204" s="8">
        <f t="shared" si="6"/>
        <v>-1.2493954538126406E-3</v>
      </c>
      <c r="E204">
        <f t="shared" si="7"/>
        <v>1.259765625</v>
      </c>
      <c r="Q204" s="8"/>
    </row>
    <row r="205" spans="1:17" x14ac:dyDescent="0.2">
      <c r="A205" s="18">
        <v>46048</v>
      </c>
      <c r="B205">
        <v>255.17</v>
      </c>
      <c r="C205">
        <v>6950.22998046875</v>
      </c>
      <c r="D205" s="8">
        <f t="shared" si="6"/>
        <v>2.9700173520035511E-2</v>
      </c>
      <c r="E205">
        <f t="shared" si="7"/>
        <v>33.6201171875</v>
      </c>
      <c r="Q205" s="8"/>
    </row>
    <row r="206" spans="1:17" x14ac:dyDescent="0.2">
      <c r="A206" s="18">
        <v>46049</v>
      </c>
      <c r="B206">
        <v>258.02999999999997</v>
      </c>
      <c r="C206">
        <v>6978.60009765625</v>
      </c>
      <c r="D206" s="8">
        <f t="shared" si="6"/>
        <v>1.1208214131755323E-2</v>
      </c>
      <c r="E206">
        <f t="shared" si="7"/>
        <v>27.3701171875</v>
      </c>
      <c r="Q206" s="8"/>
    </row>
    <row r="207" spans="1:17" x14ac:dyDescent="0.2">
      <c r="A207" s="18">
        <v>46050</v>
      </c>
      <c r="B207">
        <v>256.2</v>
      </c>
      <c r="C207">
        <v>6978.02978515625</v>
      </c>
      <c r="D207" s="8">
        <f t="shared" si="6"/>
        <v>-7.0921985815601829E-3</v>
      </c>
      <c r="E207">
        <f t="shared" si="7"/>
        <v>-1.5703125</v>
      </c>
      <c r="Q207" s="8"/>
    </row>
    <row r="208" spans="1:17" x14ac:dyDescent="0.2">
      <c r="A208" s="18">
        <v>46051</v>
      </c>
      <c r="B208">
        <v>258.04000000000002</v>
      </c>
      <c r="C208">
        <v>6969.009765625</v>
      </c>
      <c r="D208" s="8">
        <f t="shared" si="6"/>
        <v>7.1818891491024495E-3</v>
      </c>
      <c r="E208">
        <f t="shared" si="7"/>
        <v>-10.02001953125</v>
      </c>
      <c r="Q208" s="8"/>
    </row>
    <row r="209" spans="1:17" x14ac:dyDescent="0.2">
      <c r="A209" s="18">
        <v>46052</v>
      </c>
      <c r="B209">
        <v>259.24</v>
      </c>
      <c r="C209">
        <v>6939.02978515625</v>
      </c>
      <c r="D209" s="8">
        <f t="shared" si="6"/>
        <v>4.6504417919701613E-3</v>
      </c>
      <c r="E209">
        <f t="shared" si="7"/>
        <v>-30.97998046875</v>
      </c>
      <c r="Q209" s="8"/>
    </row>
    <row r="210" spans="1:17" x14ac:dyDescent="0.2">
      <c r="A210" s="18">
        <v>46055</v>
      </c>
      <c r="B210">
        <v>269.76</v>
      </c>
      <c r="C210">
        <v>6976.43994140625</v>
      </c>
      <c r="D210" s="8">
        <f t="shared" si="6"/>
        <v>4.0580157383119708E-2</v>
      </c>
      <c r="E210">
        <f t="shared" si="7"/>
        <v>36.41015625</v>
      </c>
      <c r="Q210" s="8"/>
    </row>
    <row r="211" spans="1:17" x14ac:dyDescent="0.2">
      <c r="A211" s="18">
        <v>46056</v>
      </c>
      <c r="B211">
        <v>269.23</v>
      </c>
      <c r="C211">
        <v>6917.81005859375</v>
      </c>
      <c r="D211" s="8">
        <f t="shared" si="6"/>
        <v>-1.9647093712928942E-3</v>
      </c>
      <c r="E211">
        <f t="shared" si="7"/>
        <v>-59.6298828125</v>
      </c>
      <c r="Q211" s="8"/>
    </row>
    <row r="212" spans="1:17" x14ac:dyDescent="0.2">
      <c r="A212" s="18">
        <v>46057</v>
      </c>
      <c r="B212">
        <v>276.23</v>
      </c>
      <c r="C212">
        <v>6882.72021484375</v>
      </c>
      <c r="D212" s="8">
        <f t="shared" si="6"/>
        <v>2.6000074285926544E-2</v>
      </c>
      <c r="E212">
        <f t="shared" si="7"/>
        <v>-36.08984375</v>
      </c>
      <c r="Q212" s="8"/>
    </row>
    <row r="213" spans="1:17" x14ac:dyDescent="0.2">
      <c r="A213" s="18">
        <v>46058</v>
      </c>
      <c r="B213">
        <v>275.64999999999998</v>
      </c>
      <c r="C213">
        <v>6798.39990234375</v>
      </c>
      <c r="D213" s="8">
        <f t="shared" si="6"/>
        <v>-2.0996995257576145E-3</v>
      </c>
      <c r="E213">
        <f t="shared" si="7"/>
        <v>-85.3203125</v>
      </c>
      <c r="Q213" s="8"/>
    </row>
    <row r="214" spans="1:17" x14ac:dyDescent="0.2">
      <c r="A214" s="18">
        <v>46059</v>
      </c>
      <c r="B214">
        <v>277.86</v>
      </c>
      <c r="C214">
        <v>6932.2998046875</v>
      </c>
      <c r="D214" s="8">
        <f t="shared" si="6"/>
        <v>8.0174133865409392E-3</v>
      </c>
      <c r="E214">
        <f t="shared" si="7"/>
        <v>132.89990234375</v>
      </c>
      <c r="Q214" s="8"/>
    </row>
    <row r="215" spans="1:17" x14ac:dyDescent="0.2">
      <c r="A215" s="18">
        <v>46062</v>
      </c>
      <c r="B215">
        <v>274.62</v>
      </c>
      <c r="C215">
        <v>6964.81982421875</v>
      </c>
      <c r="D215" s="8">
        <f t="shared" si="6"/>
        <v>-1.1660548477650634E-2</v>
      </c>
      <c r="E215">
        <f t="shared" si="7"/>
        <v>31.52001953125</v>
      </c>
      <c r="Q215" s="8"/>
    </row>
    <row r="216" spans="1:17" x14ac:dyDescent="0.2">
      <c r="A216" s="18">
        <v>46063</v>
      </c>
      <c r="B216">
        <v>273.68</v>
      </c>
      <c r="C216">
        <v>6941.81005859375</v>
      </c>
      <c r="D216" s="8">
        <f t="shared" si="6"/>
        <v>-3.4229116597480624E-3</v>
      </c>
      <c r="E216">
        <f t="shared" si="7"/>
        <v>-24.009765625</v>
      </c>
      <c r="Q216" s="8"/>
    </row>
    <row r="217" spans="1:17" x14ac:dyDescent="0.2">
      <c r="A217" s="18">
        <v>46064</v>
      </c>
      <c r="B217">
        <v>275.5</v>
      </c>
      <c r="C217">
        <v>6941.47021484375</v>
      </c>
      <c r="D217" s="8">
        <f t="shared" si="6"/>
        <v>6.6501023092662148E-3</v>
      </c>
      <c r="E217">
        <f t="shared" si="7"/>
        <v>-1.33984375</v>
      </c>
      <c r="Q217" s="8"/>
    </row>
    <row r="218" spans="1:17" x14ac:dyDescent="0.2">
      <c r="A218" s="18">
        <v>46065</v>
      </c>
      <c r="B218">
        <v>261.73</v>
      </c>
      <c r="C218">
        <v>6832.759765625</v>
      </c>
      <c r="D218" s="8">
        <f t="shared" si="6"/>
        <v>-4.9981851179673242E-2</v>
      </c>
      <c r="E218">
        <f t="shared" si="7"/>
        <v>-109.71044921875</v>
      </c>
      <c r="Q218" s="8"/>
    </row>
    <row r="219" spans="1:17" x14ac:dyDescent="0.2">
      <c r="A219" s="18">
        <v>46066</v>
      </c>
      <c r="B219">
        <v>255.78</v>
      </c>
      <c r="C219">
        <v>6836.169921875</v>
      </c>
      <c r="D219" s="8">
        <f t="shared" si="6"/>
        <v>-2.2733351163412796E-2</v>
      </c>
      <c r="E219">
        <f t="shared" si="7"/>
        <v>2.41015625</v>
      </c>
      <c r="Q219" s="8"/>
    </row>
    <row r="220" spans="1:17" x14ac:dyDescent="0.2">
      <c r="A220" s="18">
        <v>46070</v>
      </c>
      <c r="B220">
        <v>263.88</v>
      </c>
      <c r="C220">
        <v>6843.22021484375</v>
      </c>
      <c r="D220" s="8">
        <f t="shared" si="6"/>
        <v>3.1667839549612831E-2</v>
      </c>
      <c r="E220">
        <f t="shared" si="7"/>
        <v>6.05029296875</v>
      </c>
      <c r="Q220" s="8"/>
    </row>
    <row r="221" spans="1:17" x14ac:dyDescent="0.2">
      <c r="A221" s="18">
        <v>46071</v>
      </c>
      <c r="B221">
        <v>264.35000000000002</v>
      </c>
      <c r="C221">
        <v>6881.31005859375</v>
      </c>
      <c r="D221" s="8">
        <f t="shared" si="6"/>
        <v>1.7811126269517974E-3</v>
      </c>
      <c r="E221">
        <f t="shared" si="7"/>
        <v>37.08984375</v>
      </c>
      <c r="Q221" s="8"/>
    </row>
    <row r="222" spans="1:17" x14ac:dyDescent="0.2">
      <c r="A222" s="18">
        <v>46072</v>
      </c>
      <c r="B222">
        <v>260.58</v>
      </c>
      <c r="C222">
        <v>6861.89013671875</v>
      </c>
      <c r="D222" s="8">
        <f t="shared" si="6"/>
        <v>-1.426139587667874E-2</v>
      </c>
      <c r="E222">
        <f t="shared" si="7"/>
        <v>-20.419921875</v>
      </c>
      <c r="Q222" s="8"/>
    </row>
    <row r="223" spans="1:17" x14ac:dyDescent="0.2">
      <c r="A223" s="18">
        <v>46073</v>
      </c>
      <c r="B223">
        <v>264.58</v>
      </c>
      <c r="C223">
        <v>6909.509765625</v>
      </c>
      <c r="D223" s="8">
        <f t="shared" si="6"/>
        <v>1.5350372246526911E-2</v>
      </c>
      <c r="E223">
        <f t="shared" si="7"/>
        <v>46.61962890625</v>
      </c>
      <c r="Q223" s="8"/>
    </row>
    <row r="224" spans="1:17" x14ac:dyDescent="0.2">
      <c r="A224" s="18">
        <v>46076</v>
      </c>
      <c r="B224">
        <v>266.18</v>
      </c>
      <c r="C224">
        <v>6837.75</v>
      </c>
      <c r="D224" s="8">
        <f t="shared" si="6"/>
        <v>6.0473202812005855E-3</v>
      </c>
      <c r="E224">
        <f t="shared" si="7"/>
        <v>-72.759765625</v>
      </c>
      <c r="Q224" s="8"/>
    </row>
    <row r="225" spans="1:17" x14ac:dyDescent="0.2">
      <c r="A225" s="18">
        <v>46077</v>
      </c>
      <c r="B225">
        <v>272.14</v>
      </c>
      <c r="C225">
        <v>6890.06982421875</v>
      </c>
      <c r="D225" s="8">
        <f t="shared" si="6"/>
        <v>2.2390863325569166E-2</v>
      </c>
      <c r="E225">
        <f t="shared" si="7"/>
        <v>51.31982421875</v>
      </c>
      <c r="Q225" s="8"/>
    </row>
    <row r="226" spans="1:17" x14ac:dyDescent="0.2">
      <c r="A226" s="18">
        <v>46078</v>
      </c>
      <c r="B226">
        <v>274.23</v>
      </c>
      <c r="C226">
        <v>6946.1298828125</v>
      </c>
      <c r="D226" s="8">
        <f t="shared" si="6"/>
        <v>7.6798706548102391E-3</v>
      </c>
      <c r="E226">
        <f t="shared" si="7"/>
        <v>55.06005859375</v>
      </c>
      <c r="Q226" s="8"/>
    </row>
    <row r="227" spans="1:17" x14ac:dyDescent="0.2">
      <c r="A227" s="18">
        <v>46079</v>
      </c>
      <c r="B227">
        <v>272.95</v>
      </c>
      <c r="C227">
        <v>6908.85986328125</v>
      </c>
      <c r="D227" s="8">
        <f t="shared" si="6"/>
        <v>-4.6676147759181497E-3</v>
      </c>
      <c r="E227">
        <f t="shared" si="7"/>
        <v>-38.27001953125</v>
      </c>
      <c r="Q227" s="8"/>
    </row>
    <row r="228" spans="1:17" x14ac:dyDescent="0.2">
      <c r="A228" s="18">
        <v>46080</v>
      </c>
      <c r="B228">
        <v>264.18</v>
      </c>
      <c r="C228">
        <v>6878.8798828125</v>
      </c>
      <c r="D228" s="8">
        <f t="shared" si="6"/>
        <v>-3.2130426818098523E-2</v>
      </c>
      <c r="E228">
        <f t="shared" si="7"/>
        <v>-30.97998046875</v>
      </c>
      <c r="Q228" s="8"/>
    </row>
    <row r="229" spans="1:17" x14ac:dyDescent="0.2">
      <c r="A229" s="18">
        <v>46083</v>
      </c>
      <c r="B229">
        <v>264.72000000000003</v>
      </c>
      <c r="C229">
        <v>6881.6201171875</v>
      </c>
      <c r="D229" s="8">
        <f t="shared" si="6"/>
        <v>2.0440608675904581E-3</v>
      </c>
      <c r="E229">
        <f t="shared" si="7"/>
        <v>1.740234375</v>
      </c>
      <c r="Q229" s="8"/>
    </row>
    <row r="230" spans="1:17" x14ac:dyDescent="0.2">
      <c r="A230" s="18">
        <v>46084</v>
      </c>
      <c r="B230">
        <v>263.75</v>
      </c>
      <c r="C230">
        <v>6816.6298828125</v>
      </c>
      <c r="D230" s="8">
        <f t="shared" si="6"/>
        <v>-3.6642490178302456E-3</v>
      </c>
      <c r="E230">
        <f t="shared" si="7"/>
        <v>-65.990234375</v>
      </c>
      <c r="Q230" s="8"/>
    </row>
    <row r="231" spans="1:17" x14ac:dyDescent="0.2">
      <c r="A231" s="18">
        <v>46085</v>
      </c>
      <c r="B231">
        <v>262.52</v>
      </c>
      <c r="C231">
        <v>6869.5</v>
      </c>
      <c r="D231" s="8">
        <f t="shared" si="6"/>
        <v>-4.6635071090047608E-3</v>
      </c>
      <c r="E231">
        <f t="shared" si="7"/>
        <v>51.8701171875</v>
      </c>
      <c r="Q231" s="8"/>
    </row>
    <row r="232" spans="1:17" x14ac:dyDescent="0.2">
      <c r="A232" s="18">
        <v>46086</v>
      </c>
      <c r="B232">
        <v>260.29000000000002</v>
      </c>
      <c r="C232">
        <v>6830.7099609375</v>
      </c>
      <c r="D232" s="8">
        <f t="shared" si="6"/>
        <v>-8.4945908883131693E-3</v>
      </c>
      <c r="E232">
        <f t="shared" si="7"/>
        <v>-39.7900390625</v>
      </c>
      <c r="Q232" s="8"/>
    </row>
    <row r="233" spans="1:17" x14ac:dyDescent="0.2">
      <c r="A233" s="18">
        <v>46087</v>
      </c>
      <c r="B233">
        <v>257.45999999999998</v>
      </c>
      <c r="C233">
        <v>6740.02001953125</v>
      </c>
      <c r="D233" s="8">
        <f t="shared" si="6"/>
        <v>-1.0872488378347422E-2</v>
      </c>
      <c r="E233">
        <f t="shared" si="7"/>
        <v>-91.68994140625</v>
      </c>
      <c r="Q233" s="8"/>
    </row>
    <row r="234" spans="1:17" x14ac:dyDescent="0.2">
      <c r="A234" s="18">
        <v>46090</v>
      </c>
      <c r="B234">
        <v>259.88</v>
      </c>
      <c r="C234">
        <v>6795.990234375</v>
      </c>
      <c r="D234" s="8">
        <f t="shared" si="6"/>
        <v>9.3995183717858755E-3</v>
      </c>
      <c r="E234">
        <f t="shared" si="7"/>
        <v>54.97021484375</v>
      </c>
      <c r="Q234" s="8"/>
    </row>
    <row r="235" spans="1:17" x14ac:dyDescent="0.2">
      <c r="A235" s="18">
        <v>46091</v>
      </c>
      <c r="B235">
        <v>260.83</v>
      </c>
      <c r="C235">
        <v>6781.47998046875</v>
      </c>
      <c r="D235" s="8">
        <f t="shared" si="6"/>
        <v>3.6555333230721132E-3</v>
      </c>
      <c r="E235">
        <f t="shared" si="7"/>
        <v>-15.51025390625</v>
      </c>
      <c r="Q235" s="8"/>
    </row>
    <row r="236" spans="1:17" x14ac:dyDescent="0.2">
      <c r="A236" s="18">
        <v>46092</v>
      </c>
      <c r="B236">
        <v>260.81</v>
      </c>
      <c r="C236">
        <v>6775.7998046875</v>
      </c>
      <c r="D236" s="8">
        <f t="shared" si="6"/>
        <v>-7.6678296208165797E-5</v>
      </c>
      <c r="E236">
        <f t="shared" si="7"/>
        <v>-6.68017578125</v>
      </c>
      <c r="Q236" s="8"/>
    </row>
    <row r="237" spans="1:17" x14ac:dyDescent="0.2">
      <c r="A237" s="18">
        <v>46093</v>
      </c>
      <c r="B237">
        <v>255.76</v>
      </c>
      <c r="C237">
        <v>6672.6201171875</v>
      </c>
      <c r="D237" s="8">
        <f t="shared" si="6"/>
        <v>-1.9362754495609868E-2</v>
      </c>
      <c r="E237">
        <f t="shared" si="7"/>
        <v>-104.1796875</v>
      </c>
      <c r="Q237" s="8"/>
    </row>
    <row r="238" spans="1:17" x14ac:dyDescent="0.2">
      <c r="A238" s="18">
        <v>46094</v>
      </c>
      <c r="B238">
        <v>250.12</v>
      </c>
      <c r="C238">
        <v>6632.18994140625</v>
      </c>
      <c r="D238" s="8">
        <f t="shared" si="6"/>
        <v>-2.2051923678448548E-2</v>
      </c>
      <c r="E238">
        <f t="shared" si="7"/>
        <v>-41.43017578125</v>
      </c>
      <c r="Q238" s="8"/>
    </row>
    <row r="239" spans="1:17" x14ac:dyDescent="0.2">
      <c r="A239" s="18">
        <v>46097</v>
      </c>
      <c r="B239">
        <v>252.82</v>
      </c>
      <c r="C239">
        <v>6699.3798828125</v>
      </c>
      <c r="D239" s="8">
        <f t="shared" si="6"/>
        <v>1.0794818487126046E-2</v>
      </c>
      <c r="E239">
        <f t="shared" si="7"/>
        <v>66.18994140625</v>
      </c>
      <c r="Q239" s="8"/>
    </row>
    <row r="240" spans="1:17" x14ac:dyDescent="0.2">
      <c r="A240" s="18">
        <v>46098</v>
      </c>
      <c r="B240">
        <v>254.23</v>
      </c>
      <c r="C240">
        <v>6716.08984375</v>
      </c>
      <c r="D240" s="8">
        <f t="shared" si="6"/>
        <v>5.5770904200616034E-3</v>
      </c>
      <c r="E240">
        <f t="shared" si="7"/>
        <v>15.7099609375</v>
      </c>
      <c r="Q240" s="8"/>
    </row>
    <row r="241" spans="1:17" x14ac:dyDescent="0.2">
      <c r="A241" s="18">
        <v>46099</v>
      </c>
      <c r="B241">
        <v>249.94</v>
      </c>
      <c r="C241">
        <v>6624.7001953125</v>
      </c>
      <c r="D241" s="8">
        <f t="shared" si="6"/>
        <v>-1.6874483735200396E-2</v>
      </c>
      <c r="E241">
        <f t="shared" si="7"/>
        <v>-92.3896484375</v>
      </c>
      <c r="Q241" s="8"/>
    </row>
    <row r="242" spans="1:17" x14ac:dyDescent="0.2">
      <c r="A242" s="18">
        <v>46100</v>
      </c>
      <c r="B242">
        <v>248.96</v>
      </c>
      <c r="C242">
        <v>6606.490234375</v>
      </c>
      <c r="D242" s="8">
        <f t="shared" si="6"/>
        <v>-3.9209410258461697E-3</v>
      </c>
      <c r="E242">
        <f t="shared" si="7"/>
        <v>-19.2099609375</v>
      </c>
      <c r="Q242" s="8"/>
    </row>
    <row r="243" spans="1:17" x14ac:dyDescent="0.2">
      <c r="A243" s="18">
        <v>46101</v>
      </c>
      <c r="B243">
        <v>247.99</v>
      </c>
      <c r="C243">
        <v>6506.47998046875</v>
      </c>
      <c r="D243" s="8">
        <f t="shared" si="6"/>
        <v>-3.896208226221054E-3</v>
      </c>
      <c r="E243">
        <f t="shared" si="7"/>
        <v>-101.01025390625</v>
      </c>
      <c r="Q243" s="8"/>
    </row>
    <row r="244" spans="1:17" x14ac:dyDescent="0.2">
      <c r="A244" s="18">
        <v>46104</v>
      </c>
      <c r="B244">
        <v>251.49</v>
      </c>
      <c r="C244">
        <v>6581</v>
      </c>
      <c r="D244" s="8">
        <f t="shared" si="6"/>
        <v>1.4113472317432096E-2</v>
      </c>
      <c r="E244">
        <f t="shared" si="7"/>
        <v>73.52001953125</v>
      </c>
      <c r="Q244" s="8"/>
    </row>
    <row r="245" spans="1:17" x14ac:dyDescent="0.2">
      <c r="A245" s="18">
        <v>46105</v>
      </c>
      <c r="B245">
        <v>251.64</v>
      </c>
      <c r="C245">
        <v>6556.3701171875</v>
      </c>
      <c r="D245" s="8">
        <f t="shared" si="6"/>
        <v>5.9644518668733326E-4</v>
      </c>
      <c r="E245">
        <f t="shared" si="7"/>
        <v>-25.6298828125</v>
      </c>
      <c r="Q245" s="8"/>
    </row>
    <row r="246" spans="1:17" x14ac:dyDescent="0.2">
      <c r="A246" s="18">
        <v>46106</v>
      </c>
      <c r="B246">
        <v>252.62</v>
      </c>
      <c r="C246">
        <v>6591.89990234375</v>
      </c>
      <c r="D246" s="8">
        <f t="shared" si="6"/>
        <v>3.8944523923065688E-3</v>
      </c>
      <c r="E246">
        <f t="shared" si="7"/>
        <v>34.52978515625</v>
      </c>
      <c r="Q246" s="8"/>
    </row>
    <row r="247" spans="1:17" x14ac:dyDescent="0.2">
      <c r="A247" s="18">
        <v>46107</v>
      </c>
      <c r="B247">
        <v>252.89</v>
      </c>
      <c r="C247">
        <v>6477.16015625</v>
      </c>
      <c r="D247" s="8">
        <f t="shared" si="6"/>
        <v>1.0687989866200454E-3</v>
      </c>
      <c r="E247">
        <f t="shared" si="7"/>
        <v>-115.73974609375</v>
      </c>
      <c r="Q247" s="8"/>
    </row>
    <row r="248" spans="1:17" x14ac:dyDescent="0.2">
      <c r="A248" s="18">
        <v>46108</v>
      </c>
      <c r="B248">
        <v>248.8</v>
      </c>
      <c r="C248">
        <v>6368.85009765625</v>
      </c>
      <c r="D248" s="8">
        <f t="shared" si="6"/>
        <v>-1.6173039661512845E-2</v>
      </c>
      <c r="E248">
        <f t="shared" si="7"/>
        <v>-109.31005859375</v>
      </c>
      <c r="Q248" s="8"/>
    </row>
    <row r="249" spans="1:17" x14ac:dyDescent="0.2">
      <c r="A249" s="18">
        <v>46111</v>
      </c>
      <c r="B249">
        <v>246.63</v>
      </c>
      <c r="C249">
        <v>6343.72021484375</v>
      </c>
      <c r="D249" s="8">
        <f t="shared" si="6"/>
        <v>-8.7218649517685209E-3</v>
      </c>
      <c r="E249">
        <f t="shared" si="7"/>
        <v>-26.1298828125</v>
      </c>
      <c r="Q249" s="8"/>
    </row>
    <row r="250" spans="1:17" x14ac:dyDescent="0.2">
      <c r="A250" s="18">
        <v>46112</v>
      </c>
      <c r="B250">
        <v>253.79</v>
      </c>
      <c r="C250">
        <v>6528.52001953125</v>
      </c>
      <c r="D250" s="8">
        <f t="shared" si="6"/>
        <v>2.9031342496857571E-2</v>
      </c>
      <c r="E250">
        <f t="shared" si="7"/>
        <v>183.7998046875</v>
      </c>
      <c r="Q250" s="8"/>
    </row>
    <row r="251" spans="1:17" x14ac:dyDescent="0.2">
      <c r="A251" s="18">
        <v>46113</v>
      </c>
      <c r="B251">
        <v>255.63</v>
      </c>
      <c r="C251">
        <v>6575.31982421875</v>
      </c>
      <c r="D251" s="8">
        <f t="shared" si="6"/>
        <v>7.2500886559754285E-3</v>
      </c>
      <c r="E251">
        <f t="shared" si="7"/>
        <v>45.7998046875</v>
      </c>
      <c r="Q251" s="8"/>
    </row>
    <row r="252" spans="1:17" x14ac:dyDescent="0.2">
      <c r="A252" s="18">
        <v>46114</v>
      </c>
      <c r="B252">
        <v>255.92</v>
      </c>
      <c r="C252">
        <v>6582.68994140625</v>
      </c>
      <c r="D252" s="8">
        <f t="shared" si="6"/>
        <v>1.1344521378555683E-3</v>
      </c>
      <c r="E252">
        <f t="shared" si="7"/>
        <v>6.3701171875</v>
      </c>
      <c r="Q252" s="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E15DF-BAAA-FE40-AF7F-2843C9C52FA8}">
  <dimension ref="A1:D6"/>
  <sheetViews>
    <sheetView workbookViewId="0">
      <selection activeCell="N31" sqref="N31"/>
    </sheetView>
  </sheetViews>
  <sheetFormatPr baseColWidth="10" defaultRowHeight="15" x14ac:dyDescent="0.2"/>
  <sheetData>
    <row r="1" spans="1:4" x14ac:dyDescent="0.2">
      <c r="A1" s="14" t="s">
        <v>27</v>
      </c>
      <c r="B1" s="11" t="s">
        <v>186</v>
      </c>
      <c r="C1" s="13" t="s">
        <v>189</v>
      </c>
    </row>
    <row r="2" spans="1:4" x14ac:dyDescent="0.2">
      <c r="A2" s="14" t="s">
        <v>37</v>
      </c>
      <c r="B2" s="14">
        <f>'Cash Flow'!E2+'Cash Flow'!E48</f>
        <v>111443000</v>
      </c>
      <c r="C2" s="13"/>
    </row>
    <row r="3" spans="1:4" x14ac:dyDescent="0.2">
      <c r="A3" s="14" t="s">
        <v>36</v>
      </c>
      <c r="B3" s="14">
        <f>'Cash Flow'!D2+'Cash Flow'!D48</f>
        <v>99584000</v>
      </c>
      <c r="C3" s="13">
        <f>(B3/B2)-1</f>
        <v>-0.1064131439390541</v>
      </c>
    </row>
    <row r="4" spans="1:4" x14ac:dyDescent="0.2">
      <c r="A4" s="14" t="s">
        <v>35</v>
      </c>
      <c r="B4" s="14">
        <f>'Cash Flow'!C2+'Cash Flow'!C48</f>
        <v>108807000</v>
      </c>
      <c r="C4" s="13">
        <f>(B4/B3)-1</f>
        <v>9.2615279562981989E-2</v>
      </c>
      <c r="D4" s="8"/>
    </row>
    <row r="5" spans="1:4" x14ac:dyDescent="0.2">
      <c r="A5" s="14" t="s">
        <v>34</v>
      </c>
      <c r="B5" s="14">
        <f>'Cash Flow'!B2+'Cash Flow'!B48</f>
        <v>98767000</v>
      </c>
      <c r="C5" s="13">
        <f>(B5/B4)-1</f>
        <v>-9.2273475052156551E-2</v>
      </c>
    </row>
    <row r="6" spans="1:4" x14ac:dyDescent="0.2">
      <c r="A6" s="8"/>
      <c r="C6" s="13" t="s">
        <v>186</v>
      </c>
      <c r="D6" s="11" t="s">
        <v>188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8DEB-EF01-8245-986B-9E72C31E4937}">
  <dimension ref="A1:J32"/>
  <sheetViews>
    <sheetView topLeftCell="A2" zoomScale="108" workbookViewId="0">
      <selection activeCell="E28" sqref="E28"/>
    </sheetView>
  </sheetViews>
  <sheetFormatPr baseColWidth="10" defaultRowHeight="15" x14ac:dyDescent="0.2"/>
  <cols>
    <col min="1" max="1" width="37.33203125" customWidth="1"/>
    <col min="2" max="2" width="11" bestFit="1" customWidth="1"/>
    <col min="3" max="3" width="37" customWidth="1"/>
    <col min="4" max="4" width="24.6640625" customWidth="1"/>
    <col min="5" max="5" width="11.83203125" bestFit="1" customWidth="1"/>
    <col min="6" max="6" width="12.1640625" bestFit="1" customWidth="1"/>
    <col min="8" max="8" width="16.5" bestFit="1" customWidth="1"/>
    <col min="10" max="10" width="12.33203125" bestFit="1" customWidth="1"/>
  </cols>
  <sheetData>
    <row r="1" spans="1:8" x14ac:dyDescent="0.2">
      <c r="A1" t="s">
        <v>2226</v>
      </c>
    </row>
    <row r="3" spans="1:8" x14ac:dyDescent="0.2">
      <c r="C3" t="s">
        <v>2218</v>
      </c>
      <c r="D3" s="20" t="s">
        <v>545</v>
      </c>
    </row>
    <row r="4" spans="1:8" x14ac:dyDescent="0.2">
      <c r="C4" t="s">
        <v>284</v>
      </c>
      <c r="D4" s="20" t="s">
        <v>233</v>
      </c>
    </row>
    <row r="5" spans="1:8" x14ac:dyDescent="0.2">
      <c r="A5" t="s">
        <v>2217</v>
      </c>
    </row>
    <row r="6" spans="1:8" x14ac:dyDescent="0.2">
      <c r="B6" t="s">
        <v>2219</v>
      </c>
    </row>
    <row r="7" spans="1:8" x14ac:dyDescent="0.2">
      <c r="A7" t="s">
        <v>2216</v>
      </c>
      <c r="B7" s="14">
        <f>D4/D3</f>
        <v>3.9865392217480769E-2</v>
      </c>
      <c r="D7" t="s">
        <v>2223</v>
      </c>
      <c r="E7">
        <v>3725924237312</v>
      </c>
    </row>
    <row r="8" spans="1:8" x14ac:dyDescent="0.2">
      <c r="D8" t="s">
        <v>2224</v>
      </c>
      <c r="E8" s="8">
        <f>E7+D3</f>
        <v>3726022894312</v>
      </c>
    </row>
    <row r="9" spans="1:8" x14ac:dyDescent="0.2">
      <c r="D9" t="s">
        <v>2225</v>
      </c>
      <c r="E9" s="6">
        <v>0.17199999999999999</v>
      </c>
    </row>
    <row r="10" spans="1:8" x14ac:dyDescent="0.2">
      <c r="D10" t="s">
        <v>2219</v>
      </c>
      <c r="E10" t="s">
        <v>2216</v>
      </c>
      <c r="H10" s="8">
        <f>D4/D3</f>
        <v>3.9865392217480769E-2</v>
      </c>
    </row>
    <row r="11" spans="1:8" x14ac:dyDescent="0.2">
      <c r="B11" t="s">
        <v>2221</v>
      </c>
      <c r="C11" t="s">
        <v>2222</v>
      </c>
    </row>
    <row r="12" spans="1:8" x14ac:dyDescent="0.2">
      <c r="B12" s="11" t="s">
        <v>2221</v>
      </c>
      <c r="C12" s="14">
        <f>(E7/E8*E9)+(D3/E8*H10*(1-E12))</f>
        <v>0.17199633659113558</v>
      </c>
      <c r="E12" s="6">
        <v>0.15609999999999999</v>
      </c>
    </row>
    <row r="17" spans="3:10" x14ac:dyDescent="0.2">
      <c r="C17" t="s">
        <v>27</v>
      </c>
      <c r="D17" t="s">
        <v>2227</v>
      </c>
      <c r="E17" t="s">
        <v>2230</v>
      </c>
      <c r="F17" t="s">
        <v>2231</v>
      </c>
      <c r="H17" s="11" t="s">
        <v>2235</v>
      </c>
    </row>
    <row r="18" spans="3:10" x14ac:dyDescent="0.2">
      <c r="C18">
        <v>2022</v>
      </c>
      <c r="D18">
        <f>98767000*(1+0.03)</f>
        <v>101730010</v>
      </c>
      <c r="E18">
        <f>1/(1+0.171996337)^1</f>
        <v>0.85324498757371126</v>
      </c>
      <c r="F18">
        <f>D18*E18</f>
        <v>86800621.11832352</v>
      </c>
      <c r="H18" s="21">
        <f>SUM(F18:F21)+F22</f>
        <v>1035026472.4286833</v>
      </c>
      <c r="J18">
        <v>111443000</v>
      </c>
    </row>
    <row r="19" spans="3:10" x14ac:dyDescent="0.2">
      <c r="C19">
        <v>2023</v>
      </c>
      <c r="D19">
        <f>D18*(1+0.03)</f>
        <v>104781910.3</v>
      </c>
      <c r="E19">
        <f>1/(1+0.171996337)^2</f>
        <v>0.72802700881966265</v>
      </c>
      <c r="F19">
        <f t="shared" ref="F19:F21" si="0">D19*E19</f>
        <v>76284060.734119192</v>
      </c>
      <c r="J19">
        <v>99584000</v>
      </c>
    </row>
    <row r="20" spans="3:10" x14ac:dyDescent="0.2">
      <c r="C20">
        <v>2024</v>
      </c>
      <c r="D20">
        <f>D19*(1+0.03)</f>
        <v>107925367.609</v>
      </c>
      <c r="E20">
        <f>1/(1+0.171996337)^3</f>
        <v>0.62118539609365919</v>
      </c>
      <c r="F20">
        <f t="shared" si="0"/>
        <v>67041662.226750441</v>
      </c>
      <c r="J20">
        <v>108807000</v>
      </c>
    </row>
    <row r="21" spans="3:10" x14ac:dyDescent="0.2">
      <c r="C21">
        <v>2025</v>
      </c>
      <c r="D21">
        <f>D20*(1+0.03)</f>
        <v>111163128.63727</v>
      </c>
      <c r="E21">
        <f>1/(1+0.171996337)^4</f>
        <v>0.53002332557090515</v>
      </c>
      <c r="F21">
        <f t="shared" si="0"/>
        <v>58919051.121192165</v>
      </c>
      <c r="J21">
        <v>98767000</v>
      </c>
    </row>
    <row r="22" spans="3:10" x14ac:dyDescent="0.2">
      <c r="E22" s="11" t="s">
        <v>2233</v>
      </c>
      <c r="F22" s="11">
        <f>D21*(1+0.02)/(0.171996337-0.02)</f>
        <v>745981077.22829795</v>
      </c>
    </row>
    <row r="23" spans="3:10" x14ac:dyDescent="0.2">
      <c r="H23" s="11" t="s">
        <v>2236</v>
      </c>
      <c r="J23" s="21">
        <f>H18/J25</f>
        <v>7.0500415664497662E-2</v>
      </c>
    </row>
    <row r="25" spans="3:10" x14ac:dyDescent="0.2">
      <c r="C25" t="s">
        <v>2228</v>
      </c>
      <c r="H25" t="s">
        <v>2237</v>
      </c>
      <c r="J25" s="5">
        <v>14681140000</v>
      </c>
    </row>
    <row r="26" spans="3:10" x14ac:dyDescent="0.2">
      <c r="C26" t="s">
        <v>2229</v>
      </c>
    </row>
    <row r="27" spans="3:10" x14ac:dyDescent="0.2">
      <c r="C27" t="s">
        <v>2232</v>
      </c>
    </row>
    <row r="28" spans="3:10" x14ac:dyDescent="0.2">
      <c r="H28" t="s">
        <v>2238</v>
      </c>
      <c r="J28" s="5">
        <v>253.5</v>
      </c>
    </row>
    <row r="32" spans="3:10" x14ac:dyDescent="0.2">
      <c r="C32" t="s">
        <v>2234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SP500_10Y_Prices</vt:lpstr>
      <vt:lpstr>AAPL_Dividends</vt:lpstr>
      <vt:lpstr>Risk_Free_Rate_DGS10</vt:lpstr>
      <vt:lpstr>AAPL_Info</vt:lpstr>
      <vt:lpstr>Cash Flow</vt:lpstr>
      <vt:lpstr>INCOME STATEMENT</vt:lpstr>
      <vt:lpstr>Balance Sheet</vt:lpstr>
      <vt:lpstr>Historical Data</vt:lpstr>
      <vt:lpstr>Regression data</vt:lpstr>
      <vt:lpstr>Ratio Analysis</vt:lpstr>
      <vt:lpstr>CAPM and Beta calulation</vt:lpstr>
      <vt:lpstr>Free Cash Flow</vt:lpstr>
      <vt:lpstr> Valuation Using WACC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 Gunasekaran</cp:lastModifiedBy>
  <dcterms:created xsi:type="dcterms:W3CDTF">2026-04-08T03:54:35Z</dcterms:created>
  <dcterms:modified xsi:type="dcterms:W3CDTF">2026-04-15T23:30:22Z</dcterms:modified>
</cp:coreProperties>
</file>